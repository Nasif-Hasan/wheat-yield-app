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v\work_2022\NN_agriculture\"/>
    </mc:Choice>
  </mc:AlternateContent>
  <bookViews>
    <workbookView xWindow="0" yWindow="0" windowWidth="38400" windowHeight="17130" activeTab="1"/>
  </bookViews>
  <sheets>
    <sheet name="output_all_farms_sunflower" sheetId="1" r:id="rId1"/>
    <sheet name="output_all_farms_wheat" sheetId="2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AF22" i="2" l="1"/>
  <c r="AE22" i="2"/>
  <c r="AD22" i="2"/>
  <c r="AC22" i="2"/>
  <c r="AB22" i="2"/>
  <c r="X22" i="2"/>
  <c r="W22" i="2"/>
  <c r="V22" i="2"/>
  <c r="U22" i="2"/>
  <c r="T22" i="2"/>
  <c r="Y22" i="2" s="1"/>
  <c r="AF21" i="2"/>
  <c r="AE21" i="2"/>
  <c r="AD21" i="2"/>
  <c r="AC21" i="2"/>
  <c r="AB21" i="2"/>
  <c r="X21" i="2"/>
  <c r="W21" i="2"/>
  <c r="V21" i="2"/>
  <c r="U21" i="2"/>
  <c r="T21" i="2"/>
  <c r="AF20" i="2"/>
  <c r="AE20" i="2"/>
  <c r="AD20" i="2"/>
  <c r="AC20" i="2"/>
  <c r="AB20" i="2"/>
  <c r="X20" i="2"/>
  <c r="W20" i="2"/>
  <c r="V20" i="2"/>
  <c r="U20" i="2"/>
  <c r="T20" i="2"/>
  <c r="Y20" i="2" s="1"/>
  <c r="AF19" i="2"/>
  <c r="AE19" i="2"/>
  <c r="AD19" i="2"/>
  <c r="AC19" i="2"/>
  <c r="AB19" i="2"/>
  <c r="X19" i="2"/>
  <c r="W19" i="2"/>
  <c r="V19" i="2"/>
  <c r="U19" i="2"/>
  <c r="T19" i="2"/>
  <c r="Y19" i="2" s="1"/>
  <c r="AF18" i="2"/>
  <c r="AE18" i="2"/>
  <c r="AD18" i="2"/>
  <c r="AC18" i="2"/>
  <c r="AB18" i="2"/>
  <c r="X18" i="2"/>
  <c r="W18" i="2"/>
  <c r="V18" i="2"/>
  <c r="U18" i="2"/>
  <c r="T18" i="2"/>
  <c r="AF17" i="2"/>
  <c r="AE17" i="2"/>
  <c r="AD17" i="2"/>
  <c r="AC17" i="2"/>
  <c r="AB17" i="2"/>
  <c r="X17" i="2"/>
  <c r="W17" i="2"/>
  <c r="V17" i="2"/>
  <c r="U17" i="2"/>
  <c r="T17" i="2"/>
  <c r="Y17" i="2" s="1"/>
  <c r="AF16" i="2"/>
  <c r="AE16" i="2"/>
  <c r="AD16" i="2"/>
  <c r="AC16" i="2"/>
  <c r="AB16" i="2"/>
  <c r="X16" i="2"/>
  <c r="W16" i="2"/>
  <c r="V16" i="2"/>
  <c r="U16" i="2"/>
  <c r="T16" i="2"/>
  <c r="AF15" i="2"/>
  <c r="AE15" i="2"/>
  <c r="AD15" i="2"/>
  <c r="AC15" i="2"/>
  <c r="AB15" i="2"/>
  <c r="X15" i="2"/>
  <c r="W15" i="2"/>
  <c r="V15" i="2"/>
  <c r="U15" i="2"/>
  <c r="T15" i="2"/>
  <c r="Y15" i="2" s="1"/>
  <c r="AF14" i="2"/>
  <c r="AE14" i="2"/>
  <c r="AD14" i="2"/>
  <c r="AC14" i="2"/>
  <c r="AB14" i="2"/>
  <c r="X14" i="2"/>
  <c r="W14" i="2"/>
  <c r="V14" i="2"/>
  <c r="U14" i="2"/>
  <c r="T14" i="2"/>
  <c r="AF13" i="2"/>
  <c r="AE13" i="2"/>
  <c r="AD13" i="2"/>
  <c r="AC13" i="2"/>
  <c r="AB13" i="2"/>
  <c r="X13" i="2"/>
  <c r="W13" i="2"/>
  <c r="V13" i="2"/>
  <c r="U13" i="2"/>
  <c r="T13" i="2"/>
  <c r="AF12" i="2"/>
  <c r="AE12" i="2"/>
  <c r="AD12" i="2"/>
  <c r="AC12" i="2"/>
  <c r="AB12" i="2"/>
  <c r="X12" i="2"/>
  <c r="W12" i="2"/>
  <c r="V12" i="2"/>
  <c r="U12" i="2"/>
  <c r="T12" i="2"/>
  <c r="AF11" i="2"/>
  <c r="AE11" i="2"/>
  <c r="AD11" i="2"/>
  <c r="AC11" i="2"/>
  <c r="AB11" i="2"/>
  <c r="X11" i="2"/>
  <c r="W11" i="2"/>
  <c r="V11" i="2"/>
  <c r="U11" i="2"/>
  <c r="Y11" i="2" s="1"/>
  <c r="T11" i="2"/>
  <c r="AF10" i="2"/>
  <c r="AE10" i="2"/>
  <c r="AD10" i="2"/>
  <c r="AC10" i="2"/>
  <c r="AB10" i="2"/>
  <c r="X10" i="2"/>
  <c r="W10" i="2"/>
  <c r="V10" i="2"/>
  <c r="U10" i="2"/>
  <c r="T10" i="2"/>
  <c r="AF9" i="2"/>
  <c r="AE9" i="2"/>
  <c r="AD9" i="2"/>
  <c r="AC9" i="2"/>
  <c r="AB9" i="2"/>
  <c r="X9" i="2"/>
  <c r="W9" i="2"/>
  <c r="V9" i="2"/>
  <c r="U9" i="2"/>
  <c r="T9" i="2"/>
  <c r="AF8" i="2"/>
  <c r="AE8" i="2"/>
  <c r="AD8" i="2"/>
  <c r="AC8" i="2"/>
  <c r="AB8" i="2"/>
  <c r="X8" i="2"/>
  <c r="W8" i="2"/>
  <c r="V8" i="2"/>
  <c r="U8" i="2"/>
  <c r="T8" i="2"/>
  <c r="AF7" i="2"/>
  <c r="AE7" i="2"/>
  <c r="AD7" i="2"/>
  <c r="AC7" i="2"/>
  <c r="AB7" i="2"/>
  <c r="X7" i="2"/>
  <c r="W7" i="2"/>
  <c r="V7" i="2"/>
  <c r="U7" i="2"/>
  <c r="T7" i="2"/>
  <c r="AF6" i="2"/>
  <c r="AE6" i="2"/>
  <c r="AD6" i="2"/>
  <c r="AC6" i="2"/>
  <c r="AB6" i="2"/>
  <c r="X6" i="2"/>
  <c r="W6" i="2"/>
  <c r="V6" i="2"/>
  <c r="U6" i="2"/>
  <c r="T6" i="2"/>
  <c r="AF5" i="2"/>
  <c r="AE5" i="2"/>
  <c r="AD5" i="2"/>
  <c r="AC5" i="2"/>
  <c r="AB5" i="2"/>
  <c r="X5" i="2"/>
  <c r="W5" i="2"/>
  <c r="V5" i="2"/>
  <c r="U5" i="2"/>
  <c r="T5" i="2"/>
  <c r="AF4" i="2"/>
  <c r="AE4" i="2"/>
  <c r="AD4" i="2"/>
  <c r="AC4" i="2"/>
  <c r="AB4" i="2"/>
  <c r="X4" i="2"/>
  <c r="W4" i="2"/>
  <c r="V4" i="2"/>
  <c r="U4" i="2"/>
  <c r="T4" i="2"/>
  <c r="AF3" i="2"/>
  <c r="AE3" i="2"/>
  <c r="AD3" i="2"/>
  <c r="AC3" i="2"/>
  <c r="AC24" i="2" s="1"/>
  <c r="AB3" i="2"/>
  <c r="X3" i="2"/>
  <c r="W3" i="2"/>
  <c r="V3" i="2"/>
  <c r="U3" i="2"/>
  <c r="T3" i="2"/>
  <c r="Y3" i="2" s="1"/>
  <c r="Y4" i="2" l="1"/>
  <c r="Y10" i="2"/>
  <c r="AF24" i="2"/>
  <c r="Y16" i="2"/>
  <c r="Y9" i="2"/>
  <c r="Y21" i="2"/>
  <c r="Y8" i="2"/>
  <c r="Y14" i="2"/>
  <c r="Y7" i="2"/>
  <c r="Y13" i="2"/>
  <c r="AB23" i="2"/>
  <c r="Y6" i="2"/>
  <c r="Y12" i="2"/>
  <c r="AD23" i="2"/>
  <c r="Y18" i="2"/>
  <c r="AE24" i="2"/>
  <c r="Y5" i="2"/>
  <c r="AE23" i="2"/>
  <c r="AE25" i="2" s="1"/>
  <c r="AF23" i="2"/>
  <c r="AF25" i="2" s="1"/>
  <c r="AC23" i="2"/>
  <c r="AC25" i="2" s="1"/>
  <c r="AB24" i="2"/>
  <c r="AD24" i="2"/>
  <c r="AD25" i="2" s="1"/>
  <c r="AG22" i="1"/>
  <c r="AF22" i="1"/>
  <c r="AE22" i="1"/>
  <c r="AD22" i="1"/>
  <c r="AC22" i="1"/>
  <c r="Y22" i="1"/>
  <c r="X22" i="1"/>
  <c r="W22" i="1"/>
  <c r="V22" i="1"/>
  <c r="U22" i="1"/>
  <c r="Z22" i="1" s="1"/>
  <c r="AG21" i="1"/>
  <c r="AF21" i="1"/>
  <c r="AE21" i="1"/>
  <c r="AD21" i="1"/>
  <c r="AC21" i="1"/>
  <c r="Y21" i="1"/>
  <c r="X21" i="1"/>
  <c r="W21" i="1"/>
  <c r="V21" i="1"/>
  <c r="U21" i="1"/>
  <c r="AG20" i="1"/>
  <c r="AF20" i="1"/>
  <c r="AE20" i="1"/>
  <c r="AD20" i="1"/>
  <c r="AC20" i="1"/>
  <c r="Y20" i="1"/>
  <c r="X20" i="1"/>
  <c r="W20" i="1"/>
  <c r="V20" i="1"/>
  <c r="U20" i="1"/>
  <c r="AG19" i="1"/>
  <c r="AF19" i="1"/>
  <c r="AE19" i="1"/>
  <c r="AD19" i="1"/>
  <c r="AC19" i="1"/>
  <c r="Y19" i="1"/>
  <c r="X19" i="1"/>
  <c r="W19" i="1"/>
  <c r="V19" i="1"/>
  <c r="U19" i="1"/>
  <c r="AG18" i="1"/>
  <c r="AF18" i="1"/>
  <c r="AE18" i="1"/>
  <c r="AD18" i="1"/>
  <c r="AC18" i="1"/>
  <c r="Y18" i="1"/>
  <c r="X18" i="1"/>
  <c r="W18" i="1"/>
  <c r="V18" i="1"/>
  <c r="U18" i="1"/>
  <c r="AG17" i="1"/>
  <c r="AF17" i="1"/>
  <c r="AE17" i="1"/>
  <c r="AD17" i="1"/>
  <c r="AC17" i="1"/>
  <c r="Y17" i="1"/>
  <c r="X17" i="1"/>
  <c r="W17" i="1"/>
  <c r="V17" i="1"/>
  <c r="U17" i="1"/>
  <c r="AG16" i="1"/>
  <c r="AF16" i="1"/>
  <c r="AE16" i="1"/>
  <c r="AD16" i="1"/>
  <c r="AC16" i="1"/>
  <c r="Y16" i="1"/>
  <c r="X16" i="1"/>
  <c r="W16" i="1"/>
  <c r="V16" i="1"/>
  <c r="U16" i="1"/>
  <c r="Z16" i="1" s="1"/>
  <c r="AG15" i="1"/>
  <c r="AF15" i="1"/>
  <c r="AE15" i="1"/>
  <c r="AD15" i="1"/>
  <c r="AC15" i="1"/>
  <c r="Y15" i="1"/>
  <c r="X15" i="1"/>
  <c r="W15" i="1"/>
  <c r="V15" i="1"/>
  <c r="U15" i="1"/>
  <c r="AG14" i="1"/>
  <c r="AF14" i="1"/>
  <c r="AE14" i="1"/>
  <c r="AD14" i="1"/>
  <c r="AC14" i="1"/>
  <c r="Y14" i="1"/>
  <c r="X14" i="1"/>
  <c r="W14" i="1"/>
  <c r="V14" i="1"/>
  <c r="U14" i="1"/>
  <c r="AG13" i="1"/>
  <c r="AF13" i="1"/>
  <c r="AE13" i="1"/>
  <c r="AD13" i="1"/>
  <c r="AC13" i="1"/>
  <c r="Y13" i="1"/>
  <c r="X13" i="1"/>
  <c r="W13" i="1"/>
  <c r="V13" i="1"/>
  <c r="U13" i="1"/>
  <c r="AG12" i="1"/>
  <c r="AF12" i="1"/>
  <c r="AE12" i="1"/>
  <c r="AD12" i="1"/>
  <c r="AC12" i="1"/>
  <c r="Y12" i="1"/>
  <c r="X12" i="1"/>
  <c r="W12" i="1"/>
  <c r="V12" i="1"/>
  <c r="U12" i="1"/>
  <c r="AG11" i="1"/>
  <c r="AF11" i="1"/>
  <c r="AE11" i="1"/>
  <c r="AD11" i="1"/>
  <c r="AC11" i="1"/>
  <c r="Y11" i="1"/>
  <c r="X11" i="1"/>
  <c r="W11" i="1"/>
  <c r="V11" i="1"/>
  <c r="U11" i="1"/>
  <c r="AG10" i="1"/>
  <c r="AF10" i="1"/>
  <c r="AE10" i="1"/>
  <c r="AD10" i="1"/>
  <c r="AC10" i="1"/>
  <c r="Y10" i="1"/>
  <c r="X10" i="1"/>
  <c r="W10" i="1"/>
  <c r="V10" i="1"/>
  <c r="U10" i="1"/>
  <c r="AG9" i="1"/>
  <c r="AF9" i="1"/>
  <c r="AE9" i="1"/>
  <c r="AD9" i="1"/>
  <c r="AC9" i="1"/>
  <c r="Y9" i="1"/>
  <c r="X9" i="1"/>
  <c r="W9" i="1"/>
  <c r="V9" i="1"/>
  <c r="U9" i="1"/>
  <c r="AG8" i="1"/>
  <c r="AF8" i="1"/>
  <c r="AE8" i="1"/>
  <c r="AD8" i="1"/>
  <c r="AC8" i="1"/>
  <c r="Y8" i="1"/>
  <c r="X8" i="1"/>
  <c r="W8" i="1"/>
  <c r="V8" i="1"/>
  <c r="U8" i="1"/>
  <c r="AG7" i="1"/>
  <c r="AF7" i="1"/>
  <c r="AE7" i="1"/>
  <c r="AD7" i="1"/>
  <c r="AC7" i="1"/>
  <c r="Y7" i="1"/>
  <c r="X7" i="1"/>
  <c r="W7" i="1"/>
  <c r="V7" i="1"/>
  <c r="U7" i="1"/>
  <c r="AG6" i="1"/>
  <c r="AF6" i="1"/>
  <c r="AE6" i="1"/>
  <c r="AD6" i="1"/>
  <c r="AC6" i="1"/>
  <c r="Y6" i="1"/>
  <c r="X6" i="1"/>
  <c r="W6" i="1"/>
  <c r="V6" i="1"/>
  <c r="U6" i="1"/>
  <c r="AG5" i="1"/>
  <c r="AF5" i="1"/>
  <c r="AE5" i="1"/>
  <c r="AD5" i="1"/>
  <c r="AC5" i="1"/>
  <c r="Y5" i="1"/>
  <c r="X5" i="1"/>
  <c r="W5" i="1"/>
  <c r="V5" i="1"/>
  <c r="U5" i="1"/>
  <c r="AG4" i="1"/>
  <c r="AF4" i="1"/>
  <c r="AE4" i="1"/>
  <c r="AD4" i="1"/>
  <c r="AC4" i="1"/>
  <c r="Y4" i="1"/>
  <c r="X4" i="1"/>
  <c r="W4" i="1"/>
  <c r="V4" i="1"/>
  <c r="U4" i="1"/>
  <c r="AG3" i="1"/>
  <c r="AF3" i="1"/>
  <c r="AE3" i="1"/>
  <c r="AD3" i="1"/>
  <c r="AC3" i="1"/>
  <c r="Y3" i="1"/>
  <c r="X3" i="1"/>
  <c r="W3" i="1"/>
  <c r="V3" i="1"/>
  <c r="U3" i="1"/>
  <c r="AE24" i="1" l="1"/>
  <c r="AE25" i="1" s="1"/>
  <c r="AE23" i="1"/>
  <c r="AF24" i="1"/>
  <c r="AF23" i="1"/>
  <c r="Z5" i="1"/>
  <c r="Z11" i="1"/>
  <c r="Z17" i="1"/>
  <c r="Z4" i="1"/>
  <c r="Z10" i="1"/>
  <c r="Z9" i="1"/>
  <c r="Z3" i="1"/>
  <c r="AC24" i="1"/>
  <c r="AC25" i="1" s="1"/>
  <c r="AC23" i="1"/>
  <c r="AG24" i="1"/>
  <c r="AG23" i="1"/>
  <c r="AG25" i="1" s="1"/>
  <c r="AD24" i="1"/>
  <c r="AD23" i="1"/>
  <c r="Z18" i="1"/>
  <c r="AB25" i="2"/>
  <c r="Z15" i="1"/>
  <c r="Z8" i="1"/>
  <c r="Z21" i="1"/>
  <c r="Z14" i="1"/>
  <c r="Z7" i="1"/>
  <c r="Z20" i="1"/>
  <c r="Z13" i="1"/>
  <c r="Z6" i="1"/>
  <c r="Z19" i="1"/>
  <c r="Z12" i="1"/>
  <c r="AD25" i="1" l="1"/>
  <c r="AF25" i="1"/>
</calcChain>
</file>

<file path=xl/sharedStrings.xml><?xml version="1.0" encoding="utf-8"?>
<sst xmlns="http://schemas.openxmlformats.org/spreadsheetml/2006/main" count="5022" uniqueCount="32">
  <si>
    <t>Region</t>
  </si>
  <si>
    <t>farm</t>
  </si>
  <si>
    <t>mean soil depth</t>
  </si>
  <si>
    <t>cultivar</t>
  </si>
  <si>
    <t>sowing</t>
  </si>
  <si>
    <t>anthesis</t>
  </si>
  <si>
    <t>biomass kg/ha</t>
  </si>
  <si>
    <t>yield kg/ha</t>
  </si>
  <si>
    <t>irrigation</t>
  </si>
  <si>
    <t>rain</t>
  </si>
  <si>
    <t>rain fallow</t>
  </si>
  <si>
    <t>N applied</t>
  </si>
  <si>
    <t>Tmax</t>
  </si>
  <si>
    <t>Tmin</t>
  </si>
  <si>
    <t>Rs</t>
  </si>
  <si>
    <t xml:space="preserve"> farm production (kg)</t>
  </si>
  <si>
    <t>LOBA</t>
  </si>
  <si>
    <t>A353</t>
  </si>
  <si>
    <t>SW101</t>
  </si>
  <si>
    <t>BECO</t>
  </si>
  <si>
    <t>COCO</t>
  </si>
  <si>
    <t>BAGR</t>
  </si>
  <si>
    <t>CSCS</t>
  </si>
  <si>
    <t>Production t</t>
  </si>
  <si>
    <t xml:space="preserve">Total </t>
  </si>
  <si>
    <t>average</t>
  </si>
  <si>
    <t>SD</t>
  </si>
  <si>
    <t>CV</t>
  </si>
  <si>
    <t>Gen. 1</t>
  </si>
  <si>
    <t>Gen. 2</t>
  </si>
  <si>
    <t>year sowing</t>
  </si>
  <si>
    <t>rain (inc. Fallow)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</si>
</sst>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64" fontId="0" fillId="0" borderId="10" xfId="0" applyNumberFormat="1" applyBorder="1"/>
    <xf numFmtId="1" fontId="0" fillId="0" borderId="10" xfId="0" applyNumberFormat="1" applyBorder="1"/>
    <xf numFmtId="0" fontId="0" fillId="0" borderId="10" xfId="0" applyBorder="1" applyAlignment="1">
      <alignment horizontal="center"/>
    </xf>
    <xf numFmtId="164" fontId="0" fillId="0" borderId="0" xfId="0" applyNumberFormat="1"/>
    <xf numFmtId="164" fontId="0" fillId="0" borderId="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[1]output_all_farms_wheat!$I$1</c:f>
              <c:strCache>
                <c:ptCount val="1"/>
                <c:pt idx="0">
                  <c:v>yield kg/ha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[1]output_all_farms_wheat!$I$2:$I$1241</c:f>
              <c:numCache>
                <c:formatCode>General</c:formatCode>
                <c:ptCount val="1240"/>
                <c:pt idx="0">
                  <c:v>2284</c:v>
                </c:pt>
                <c:pt idx="1">
                  <c:v>3561</c:v>
                </c:pt>
                <c:pt idx="2">
                  <c:v>526</c:v>
                </c:pt>
                <c:pt idx="3">
                  <c:v>3358</c:v>
                </c:pt>
                <c:pt idx="4">
                  <c:v>1583</c:v>
                </c:pt>
                <c:pt idx="5">
                  <c:v>4502</c:v>
                </c:pt>
                <c:pt idx="6">
                  <c:v>4220</c:v>
                </c:pt>
                <c:pt idx="7">
                  <c:v>3403</c:v>
                </c:pt>
                <c:pt idx="8">
                  <c:v>3323</c:v>
                </c:pt>
                <c:pt idx="9">
                  <c:v>2584</c:v>
                </c:pt>
                <c:pt idx="10">
                  <c:v>4133</c:v>
                </c:pt>
                <c:pt idx="11">
                  <c:v>2227</c:v>
                </c:pt>
                <c:pt idx="12">
                  <c:v>4802</c:v>
                </c:pt>
                <c:pt idx="13">
                  <c:v>3727</c:v>
                </c:pt>
                <c:pt idx="14">
                  <c:v>4811</c:v>
                </c:pt>
                <c:pt idx="15">
                  <c:v>3519</c:v>
                </c:pt>
                <c:pt idx="16">
                  <c:v>4567</c:v>
                </c:pt>
                <c:pt idx="17">
                  <c:v>3803</c:v>
                </c:pt>
                <c:pt idx="18">
                  <c:v>3564</c:v>
                </c:pt>
                <c:pt idx="19">
                  <c:v>3481</c:v>
                </c:pt>
                <c:pt idx="20">
                  <c:v>2284</c:v>
                </c:pt>
                <c:pt idx="21">
                  <c:v>3267</c:v>
                </c:pt>
                <c:pt idx="22">
                  <c:v>431</c:v>
                </c:pt>
                <c:pt idx="23">
                  <c:v>3961</c:v>
                </c:pt>
                <c:pt idx="24">
                  <c:v>2502</c:v>
                </c:pt>
                <c:pt idx="25">
                  <c:v>4581</c:v>
                </c:pt>
                <c:pt idx="26">
                  <c:v>4208</c:v>
                </c:pt>
                <c:pt idx="27">
                  <c:v>5057</c:v>
                </c:pt>
                <c:pt idx="28">
                  <c:v>4251</c:v>
                </c:pt>
                <c:pt idx="29">
                  <c:v>4163</c:v>
                </c:pt>
                <c:pt idx="30">
                  <c:v>4143</c:v>
                </c:pt>
                <c:pt idx="31">
                  <c:v>2237</c:v>
                </c:pt>
                <c:pt idx="32">
                  <c:v>4727</c:v>
                </c:pt>
                <c:pt idx="33">
                  <c:v>4376</c:v>
                </c:pt>
                <c:pt idx="34">
                  <c:v>4413</c:v>
                </c:pt>
                <c:pt idx="35">
                  <c:v>3882</c:v>
                </c:pt>
                <c:pt idx="36">
                  <c:v>5312</c:v>
                </c:pt>
                <c:pt idx="37">
                  <c:v>4874</c:v>
                </c:pt>
                <c:pt idx="38">
                  <c:v>2426</c:v>
                </c:pt>
                <c:pt idx="39">
                  <c:v>3375</c:v>
                </c:pt>
                <c:pt idx="40">
                  <c:v>2122</c:v>
                </c:pt>
                <c:pt idx="41">
                  <c:v>3298</c:v>
                </c:pt>
                <c:pt idx="42">
                  <c:v>462</c:v>
                </c:pt>
                <c:pt idx="43">
                  <c:v>3330</c:v>
                </c:pt>
                <c:pt idx="44">
                  <c:v>1478</c:v>
                </c:pt>
                <c:pt idx="45">
                  <c:v>4492</c:v>
                </c:pt>
                <c:pt idx="46">
                  <c:v>4006</c:v>
                </c:pt>
                <c:pt idx="47">
                  <c:v>3345</c:v>
                </c:pt>
                <c:pt idx="48">
                  <c:v>4067</c:v>
                </c:pt>
                <c:pt idx="49">
                  <c:v>2717</c:v>
                </c:pt>
                <c:pt idx="50">
                  <c:v>3829</c:v>
                </c:pt>
                <c:pt idx="51">
                  <c:v>2025</c:v>
                </c:pt>
                <c:pt idx="52">
                  <c:v>4779</c:v>
                </c:pt>
                <c:pt idx="53">
                  <c:v>3428</c:v>
                </c:pt>
                <c:pt idx="54">
                  <c:v>4404</c:v>
                </c:pt>
                <c:pt idx="55">
                  <c:v>3411</c:v>
                </c:pt>
                <c:pt idx="56">
                  <c:v>4416</c:v>
                </c:pt>
                <c:pt idx="57">
                  <c:v>3736</c:v>
                </c:pt>
                <c:pt idx="58">
                  <c:v>3284</c:v>
                </c:pt>
                <c:pt idx="59">
                  <c:v>3430</c:v>
                </c:pt>
                <c:pt idx="60">
                  <c:v>2282</c:v>
                </c:pt>
                <c:pt idx="61">
                  <c:v>3431</c:v>
                </c:pt>
                <c:pt idx="62">
                  <c:v>455</c:v>
                </c:pt>
                <c:pt idx="63">
                  <c:v>3359</c:v>
                </c:pt>
                <c:pt idx="64">
                  <c:v>1670</c:v>
                </c:pt>
                <c:pt idx="65">
                  <c:v>4488</c:v>
                </c:pt>
                <c:pt idx="66">
                  <c:v>4221</c:v>
                </c:pt>
                <c:pt idx="67">
                  <c:v>3425</c:v>
                </c:pt>
                <c:pt idx="68">
                  <c:v>3321</c:v>
                </c:pt>
                <c:pt idx="69">
                  <c:v>3302</c:v>
                </c:pt>
                <c:pt idx="70">
                  <c:v>4086</c:v>
                </c:pt>
                <c:pt idx="71">
                  <c:v>1836</c:v>
                </c:pt>
                <c:pt idx="72">
                  <c:v>4795</c:v>
                </c:pt>
                <c:pt idx="73">
                  <c:v>3756</c:v>
                </c:pt>
                <c:pt idx="74">
                  <c:v>4730</c:v>
                </c:pt>
                <c:pt idx="75">
                  <c:v>3613</c:v>
                </c:pt>
                <c:pt idx="76">
                  <c:v>4577</c:v>
                </c:pt>
                <c:pt idx="77">
                  <c:v>3256</c:v>
                </c:pt>
                <c:pt idx="78">
                  <c:v>2721</c:v>
                </c:pt>
                <c:pt idx="79">
                  <c:v>3402</c:v>
                </c:pt>
                <c:pt idx="80">
                  <c:v>2388</c:v>
                </c:pt>
                <c:pt idx="81">
                  <c:v>3645</c:v>
                </c:pt>
                <c:pt idx="82">
                  <c:v>562</c:v>
                </c:pt>
                <c:pt idx="83">
                  <c:v>3363</c:v>
                </c:pt>
                <c:pt idx="84">
                  <c:v>1643</c:v>
                </c:pt>
                <c:pt idx="85">
                  <c:v>4493</c:v>
                </c:pt>
                <c:pt idx="86">
                  <c:v>4216</c:v>
                </c:pt>
                <c:pt idx="87">
                  <c:v>3427</c:v>
                </c:pt>
                <c:pt idx="88">
                  <c:v>3342</c:v>
                </c:pt>
                <c:pt idx="89">
                  <c:v>3360</c:v>
                </c:pt>
                <c:pt idx="90">
                  <c:v>4325</c:v>
                </c:pt>
                <c:pt idx="91">
                  <c:v>2243</c:v>
                </c:pt>
                <c:pt idx="92">
                  <c:v>4811</c:v>
                </c:pt>
                <c:pt idx="93">
                  <c:v>3780</c:v>
                </c:pt>
                <c:pt idx="94">
                  <c:v>4893</c:v>
                </c:pt>
                <c:pt idx="95">
                  <c:v>3645</c:v>
                </c:pt>
                <c:pt idx="96">
                  <c:v>4593</c:v>
                </c:pt>
                <c:pt idx="97">
                  <c:v>3814</c:v>
                </c:pt>
                <c:pt idx="98">
                  <c:v>3486</c:v>
                </c:pt>
                <c:pt idx="99">
                  <c:v>3455</c:v>
                </c:pt>
                <c:pt idx="100">
                  <c:v>2635</c:v>
                </c:pt>
                <c:pt idx="101">
                  <c:v>3382</c:v>
                </c:pt>
                <c:pt idx="102">
                  <c:v>1213</c:v>
                </c:pt>
                <c:pt idx="103">
                  <c:v>4383</c:v>
                </c:pt>
                <c:pt idx="104">
                  <c:v>2094</c:v>
                </c:pt>
                <c:pt idx="105">
                  <c:v>4521</c:v>
                </c:pt>
                <c:pt idx="106">
                  <c:v>3993</c:v>
                </c:pt>
                <c:pt idx="107">
                  <c:v>4229</c:v>
                </c:pt>
                <c:pt idx="108">
                  <c:v>3734</c:v>
                </c:pt>
                <c:pt idx="109">
                  <c:v>3867</c:v>
                </c:pt>
                <c:pt idx="110">
                  <c:v>4226</c:v>
                </c:pt>
                <c:pt idx="111">
                  <c:v>2046</c:v>
                </c:pt>
                <c:pt idx="112">
                  <c:v>4775</c:v>
                </c:pt>
                <c:pt idx="113">
                  <c:v>4568</c:v>
                </c:pt>
                <c:pt idx="114">
                  <c:v>3967</c:v>
                </c:pt>
                <c:pt idx="115">
                  <c:v>5198</c:v>
                </c:pt>
                <c:pt idx="116">
                  <c:v>5775</c:v>
                </c:pt>
                <c:pt idx="117">
                  <c:v>4897</c:v>
                </c:pt>
                <c:pt idx="118">
                  <c:v>2646</c:v>
                </c:pt>
                <c:pt idx="119">
                  <c:v>3899</c:v>
                </c:pt>
                <c:pt idx="120">
                  <c:v>2281</c:v>
                </c:pt>
                <c:pt idx="121">
                  <c:v>3420</c:v>
                </c:pt>
                <c:pt idx="122">
                  <c:v>451</c:v>
                </c:pt>
                <c:pt idx="123">
                  <c:v>3358</c:v>
                </c:pt>
                <c:pt idx="124">
                  <c:v>1653</c:v>
                </c:pt>
                <c:pt idx="125">
                  <c:v>4483</c:v>
                </c:pt>
                <c:pt idx="126">
                  <c:v>4220</c:v>
                </c:pt>
                <c:pt idx="127">
                  <c:v>3421</c:v>
                </c:pt>
                <c:pt idx="128">
                  <c:v>3310</c:v>
                </c:pt>
                <c:pt idx="129">
                  <c:v>2653</c:v>
                </c:pt>
                <c:pt idx="130">
                  <c:v>3340</c:v>
                </c:pt>
                <c:pt idx="131">
                  <c:v>1812</c:v>
                </c:pt>
                <c:pt idx="132">
                  <c:v>4794</c:v>
                </c:pt>
                <c:pt idx="133">
                  <c:v>3748</c:v>
                </c:pt>
                <c:pt idx="134">
                  <c:v>4703</c:v>
                </c:pt>
                <c:pt idx="135">
                  <c:v>3595</c:v>
                </c:pt>
                <c:pt idx="136">
                  <c:v>4576</c:v>
                </c:pt>
                <c:pt idx="137">
                  <c:v>3250</c:v>
                </c:pt>
                <c:pt idx="138">
                  <c:v>2709</c:v>
                </c:pt>
                <c:pt idx="139">
                  <c:v>3398</c:v>
                </c:pt>
                <c:pt idx="140">
                  <c:v>2283</c:v>
                </c:pt>
                <c:pt idx="141">
                  <c:v>3343</c:v>
                </c:pt>
                <c:pt idx="142">
                  <c:v>400</c:v>
                </c:pt>
                <c:pt idx="143">
                  <c:v>3959</c:v>
                </c:pt>
                <c:pt idx="144">
                  <c:v>2359</c:v>
                </c:pt>
                <c:pt idx="145">
                  <c:v>4581</c:v>
                </c:pt>
                <c:pt idx="146">
                  <c:v>4191</c:v>
                </c:pt>
                <c:pt idx="147">
                  <c:v>4024</c:v>
                </c:pt>
                <c:pt idx="148">
                  <c:v>3418</c:v>
                </c:pt>
                <c:pt idx="149">
                  <c:v>4087</c:v>
                </c:pt>
                <c:pt idx="150">
                  <c:v>4241</c:v>
                </c:pt>
                <c:pt idx="151">
                  <c:v>2394</c:v>
                </c:pt>
                <c:pt idx="152">
                  <c:v>4733</c:v>
                </c:pt>
                <c:pt idx="153">
                  <c:v>4307</c:v>
                </c:pt>
                <c:pt idx="154">
                  <c:v>4346</c:v>
                </c:pt>
                <c:pt idx="155">
                  <c:v>3879</c:v>
                </c:pt>
                <c:pt idx="156">
                  <c:v>5280</c:v>
                </c:pt>
                <c:pt idx="157">
                  <c:v>4964</c:v>
                </c:pt>
                <c:pt idx="158">
                  <c:v>2359</c:v>
                </c:pt>
                <c:pt idx="159">
                  <c:v>3508</c:v>
                </c:pt>
                <c:pt idx="160">
                  <c:v>2283</c:v>
                </c:pt>
                <c:pt idx="161">
                  <c:v>3255</c:v>
                </c:pt>
                <c:pt idx="162">
                  <c:v>423</c:v>
                </c:pt>
                <c:pt idx="163">
                  <c:v>3961</c:v>
                </c:pt>
                <c:pt idx="164">
                  <c:v>2479</c:v>
                </c:pt>
                <c:pt idx="165">
                  <c:v>4579</c:v>
                </c:pt>
                <c:pt idx="166">
                  <c:v>4198</c:v>
                </c:pt>
                <c:pt idx="167">
                  <c:v>4049</c:v>
                </c:pt>
                <c:pt idx="168">
                  <c:v>3384</c:v>
                </c:pt>
                <c:pt idx="169">
                  <c:v>3348</c:v>
                </c:pt>
                <c:pt idx="170">
                  <c:v>3367</c:v>
                </c:pt>
                <c:pt idx="171">
                  <c:v>2218</c:v>
                </c:pt>
                <c:pt idx="172">
                  <c:v>4729</c:v>
                </c:pt>
                <c:pt idx="173">
                  <c:v>4360</c:v>
                </c:pt>
                <c:pt idx="174">
                  <c:v>4386</c:v>
                </c:pt>
                <c:pt idx="175">
                  <c:v>3876</c:v>
                </c:pt>
                <c:pt idx="176">
                  <c:v>5309</c:v>
                </c:pt>
                <c:pt idx="177">
                  <c:v>4866</c:v>
                </c:pt>
                <c:pt idx="178">
                  <c:v>2406</c:v>
                </c:pt>
                <c:pt idx="179">
                  <c:v>3352</c:v>
                </c:pt>
                <c:pt idx="180">
                  <c:v>2377</c:v>
                </c:pt>
                <c:pt idx="181">
                  <c:v>3108</c:v>
                </c:pt>
                <c:pt idx="182">
                  <c:v>1281</c:v>
                </c:pt>
                <c:pt idx="183">
                  <c:v>4368</c:v>
                </c:pt>
                <c:pt idx="184">
                  <c:v>2096</c:v>
                </c:pt>
                <c:pt idx="185">
                  <c:v>4516</c:v>
                </c:pt>
                <c:pt idx="186">
                  <c:v>3965</c:v>
                </c:pt>
                <c:pt idx="187">
                  <c:v>4225</c:v>
                </c:pt>
                <c:pt idx="188">
                  <c:v>4637</c:v>
                </c:pt>
                <c:pt idx="189">
                  <c:v>3373</c:v>
                </c:pt>
                <c:pt idx="190">
                  <c:v>4094</c:v>
                </c:pt>
                <c:pt idx="191">
                  <c:v>2050</c:v>
                </c:pt>
                <c:pt idx="192">
                  <c:v>4765</c:v>
                </c:pt>
                <c:pt idx="193">
                  <c:v>4523</c:v>
                </c:pt>
                <c:pt idx="194">
                  <c:v>3903</c:v>
                </c:pt>
                <c:pt idx="195">
                  <c:v>5184</c:v>
                </c:pt>
                <c:pt idx="196">
                  <c:v>5662</c:v>
                </c:pt>
                <c:pt idx="197">
                  <c:v>4802</c:v>
                </c:pt>
                <c:pt idx="198">
                  <c:v>2624</c:v>
                </c:pt>
                <c:pt idx="199">
                  <c:v>3771</c:v>
                </c:pt>
                <c:pt idx="200">
                  <c:v>2122</c:v>
                </c:pt>
                <c:pt idx="201">
                  <c:v>3093</c:v>
                </c:pt>
                <c:pt idx="202">
                  <c:v>393</c:v>
                </c:pt>
                <c:pt idx="203">
                  <c:v>3337</c:v>
                </c:pt>
                <c:pt idx="204">
                  <c:v>1521</c:v>
                </c:pt>
                <c:pt idx="205">
                  <c:v>4462</c:v>
                </c:pt>
                <c:pt idx="206">
                  <c:v>4073</c:v>
                </c:pt>
                <c:pt idx="207">
                  <c:v>3351</c:v>
                </c:pt>
                <c:pt idx="208">
                  <c:v>3244</c:v>
                </c:pt>
                <c:pt idx="209">
                  <c:v>2360</c:v>
                </c:pt>
                <c:pt idx="210">
                  <c:v>3070</c:v>
                </c:pt>
                <c:pt idx="211">
                  <c:v>1650</c:v>
                </c:pt>
                <c:pt idx="212">
                  <c:v>4771</c:v>
                </c:pt>
                <c:pt idx="213">
                  <c:v>3533</c:v>
                </c:pt>
                <c:pt idx="214">
                  <c:v>4239</c:v>
                </c:pt>
                <c:pt idx="215">
                  <c:v>3512</c:v>
                </c:pt>
                <c:pt idx="216">
                  <c:v>4495</c:v>
                </c:pt>
                <c:pt idx="217">
                  <c:v>3133</c:v>
                </c:pt>
                <c:pt idx="218">
                  <c:v>2505</c:v>
                </c:pt>
                <c:pt idx="219">
                  <c:v>3402</c:v>
                </c:pt>
                <c:pt idx="220">
                  <c:v>1825</c:v>
                </c:pt>
                <c:pt idx="221">
                  <c:v>3060</c:v>
                </c:pt>
                <c:pt idx="222">
                  <c:v>235</c:v>
                </c:pt>
                <c:pt idx="223">
                  <c:v>3913</c:v>
                </c:pt>
                <c:pt idx="224">
                  <c:v>1927</c:v>
                </c:pt>
                <c:pt idx="225">
                  <c:v>4565</c:v>
                </c:pt>
                <c:pt idx="226">
                  <c:v>4028</c:v>
                </c:pt>
                <c:pt idx="227">
                  <c:v>3922</c:v>
                </c:pt>
                <c:pt idx="228">
                  <c:v>4157</c:v>
                </c:pt>
                <c:pt idx="229">
                  <c:v>3338</c:v>
                </c:pt>
                <c:pt idx="230">
                  <c:v>3690</c:v>
                </c:pt>
                <c:pt idx="231">
                  <c:v>2306</c:v>
                </c:pt>
                <c:pt idx="232">
                  <c:v>4687</c:v>
                </c:pt>
                <c:pt idx="233">
                  <c:v>3804</c:v>
                </c:pt>
                <c:pt idx="234">
                  <c:v>3887</c:v>
                </c:pt>
                <c:pt idx="235">
                  <c:v>3794</c:v>
                </c:pt>
                <c:pt idx="236">
                  <c:v>4939</c:v>
                </c:pt>
                <c:pt idx="237">
                  <c:v>4512</c:v>
                </c:pt>
                <c:pt idx="238">
                  <c:v>2046</c:v>
                </c:pt>
                <c:pt idx="239">
                  <c:v>3509</c:v>
                </c:pt>
                <c:pt idx="240">
                  <c:v>2047</c:v>
                </c:pt>
                <c:pt idx="241">
                  <c:v>2986</c:v>
                </c:pt>
                <c:pt idx="242">
                  <c:v>938</c:v>
                </c:pt>
                <c:pt idx="243">
                  <c:v>4335</c:v>
                </c:pt>
                <c:pt idx="244">
                  <c:v>1456</c:v>
                </c:pt>
                <c:pt idx="245">
                  <c:v>4517</c:v>
                </c:pt>
                <c:pt idx="246">
                  <c:v>3926</c:v>
                </c:pt>
                <c:pt idx="247">
                  <c:v>4119</c:v>
                </c:pt>
                <c:pt idx="248">
                  <c:v>3575</c:v>
                </c:pt>
                <c:pt idx="249">
                  <c:v>3013</c:v>
                </c:pt>
                <c:pt idx="250">
                  <c:v>3527</c:v>
                </c:pt>
                <c:pt idx="251">
                  <c:v>1984</c:v>
                </c:pt>
                <c:pt idx="252">
                  <c:v>4611</c:v>
                </c:pt>
                <c:pt idx="253">
                  <c:v>3949</c:v>
                </c:pt>
                <c:pt idx="254">
                  <c:v>3711</c:v>
                </c:pt>
                <c:pt idx="255">
                  <c:v>5170</c:v>
                </c:pt>
                <c:pt idx="256">
                  <c:v>4971</c:v>
                </c:pt>
                <c:pt idx="257">
                  <c:v>4592</c:v>
                </c:pt>
                <c:pt idx="258">
                  <c:v>2250</c:v>
                </c:pt>
                <c:pt idx="259">
                  <c:v>3832</c:v>
                </c:pt>
                <c:pt idx="260">
                  <c:v>2283</c:v>
                </c:pt>
                <c:pt idx="261">
                  <c:v>3255</c:v>
                </c:pt>
                <c:pt idx="262">
                  <c:v>423</c:v>
                </c:pt>
                <c:pt idx="263">
                  <c:v>3961</c:v>
                </c:pt>
                <c:pt idx="264">
                  <c:v>2482</c:v>
                </c:pt>
                <c:pt idx="265">
                  <c:v>4578</c:v>
                </c:pt>
                <c:pt idx="266">
                  <c:v>4196</c:v>
                </c:pt>
                <c:pt idx="267">
                  <c:v>5043</c:v>
                </c:pt>
                <c:pt idx="268">
                  <c:v>4248</c:v>
                </c:pt>
                <c:pt idx="269">
                  <c:v>4133</c:v>
                </c:pt>
                <c:pt idx="270">
                  <c:v>4115</c:v>
                </c:pt>
                <c:pt idx="271">
                  <c:v>2217</c:v>
                </c:pt>
                <c:pt idx="272">
                  <c:v>4730</c:v>
                </c:pt>
                <c:pt idx="273">
                  <c:v>4358</c:v>
                </c:pt>
                <c:pt idx="274">
                  <c:v>4386</c:v>
                </c:pt>
                <c:pt idx="275">
                  <c:v>3879</c:v>
                </c:pt>
                <c:pt idx="276">
                  <c:v>5309</c:v>
                </c:pt>
                <c:pt idx="277">
                  <c:v>4865</c:v>
                </c:pt>
                <c:pt idx="278">
                  <c:v>2405</c:v>
                </c:pt>
                <c:pt idx="279">
                  <c:v>3350</c:v>
                </c:pt>
                <c:pt idx="280">
                  <c:v>2389</c:v>
                </c:pt>
                <c:pt idx="281">
                  <c:v>3585</c:v>
                </c:pt>
                <c:pt idx="282">
                  <c:v>477</c:v>
                </c:pt>
                <c:pt idx="283">
                  <c:v>3362</c:v>
                </c:pt>
                <c:pt idx="284">
                  <c:v>1704</c:v>
                </c:pt>
                <c:pt idx="285">
                  <c:v>4449</c:v>
                </c:pt>
                <c:pt idx="286">
                  <c:v>4214</c:v>
                </c:pt>
                <c:pt idx="287">
                  <c:v>3452</c:v>
                </c:pt>
                <c:pt idx="288">
                  <c:v>3307</c:v>
                </c:pt>
                <c:pt idx="289">
                  <c:v>3453</c:v>
                </c:pt>
                <c:pt idx="290">
                  <c:v>4300</c:v>
                </c:pt>
                <c:pt idx="291">
                  <c:v>1837</c:v>
                </c:pt>
                <c:pt idx="292">
                  <c:v>4809</c:v>
                </c:pt>
                <c:pt idx="293">
                  <c:v>3770</c:v>
                </c:pt>
                <c:pt idx="294">
                  <c:v>4801</c:v>
                </c:pt>
                <c:pt idx="295">
                  <c:v>3714</c:v>
                </c:pt>
                <c:pt idx="296">
                  <c:v>4598</c:v>
                </c:pt>
                <c:pt idx="297">
                  <c:v>3255</c:v>
                </c:pt>
                <c:pt idx="298">
                  <c:v>2748</c:v>
                </c:pt>
                <c:pt idx="299">
                  <c:v>3372</c:v>
                </c:pt>
                <c:pt idx="300">
                  <c:v>3915</c:v>
                </c:pt>
                <c:pt idx="301">
                  <c:v>3180</c:v>
                </c:pt>
                <c:pt idx="302">
                  <c:v>4510</c:v>
                </c:pt>
                <c:pt idx="303">
                  <c:v>3803</c:v>
                </c:pt>
                <c:pt idx="304">
                  <c:v>2203</c:v>
                </c:pt>
                <c:pt idx="305">
                  <c:v>2369</c:v>
                </c:pt>
                <c:pt idx="306">
                  <c:v>4004</c:v>
                </c:pt>
                <c:pt idx="307">
                  <c:v>2952</c:v>
                </c:pt>
                <c:pt idx="308">
                  <c:v>5609</c:v>
                </c:pt>
                <c:pt idx="309">
                  <c:v>3961</c:v>
                </c:pt>
                <c:pt idx="310">
                  <c:v>4490</c:v>
                </c:pt>
                <c:pt idx="311">
                  <c:v>1450</c:v>
                </c:pt>
                <c:pt idx="312">
                  <c:v>4487</c:v>
                </c:pt>
                <c:pt idx="313">
                  <c:v>5087</c:v>
                </c:pt>
                <c:pt idx="314">
                  <c:v>5131</c:v>
                </c:pt>
                <c:pt idx="315">
                  <c:v>2512</c:v>
                </c:pt>
                <c:pt idx="316">
                  <c:v>5495</c:v>
                </c:pt>
                <c:pt idx="317">
                  <c:v>3422</c:v>
                </c:pt>
                <c:pt idx="318">
                  <c:v>2344</c:v>
                </c:pt>
                <c:pt idx="319">
                  <c:v>2584</c:v>
                </c:pt>
                <c:pt idx="320">
                  <c:v>3588</c:v>
                </c:pt>
                <c:pt idx="321">
                  <c:v>3242</c:v>
                </c:pt>
                <c:pt idx="322">
                  <c:v>3243</c:v>
                </c:pt>
                <c:pt idx="323">
                  <c:v>3101</c:v>
                </c:pt>
                <c:pt idx="324">
                  <c:v>2735</c:v>
                </c:pt>
                <c:pt idx="325">
                  <c:v>1805</c:v>
                </c:pt>
                <c:pt idx="326">
                  <c:v>4599</c:v>
                </c:pt>
                <c:pt idx="327">
                  <c:v>2297</c:v>
                </c:pt>
                <c:pt idx="328">
                  <c:v>4508</c:v>
                </c:pt>
                <c:pt idx="329">
                  <c:v>1323</c:v>
                </c:pt>
                <c:pt idx="330">
                  <c:v>4685</c:v>
                </c:pt>
                <c:pt idx="331">
                  <c:v>3288</c:v>
                </c:pt>
                <c:pt idx="332">
                  <c:v>4754</c:v>
                </c:pt>
                <c:pt idx="333">
                  <c:v>3657</c:v>
                </c:pt>
                <c:pt idx="334">
                  <c:v>5016</c:v>
                </c:pt>
                <c:pt idx="335">
                  <c:v>1764</c:v>
                </c:pt>
                <c:pt idx="336">
                  <c:v>4900</c:v>
                </c:pt>
                <c:pt idx="337">
                  <c:v>2081</c:v>
                </c:pt>
                <c:pt idx="338">
                  <c:v>4239</c:v>
                </c:pt>
                <c:pt idx="339">
                  <c:v>2502</c:v>
                </c:pt>
                <c:pt idx="340">
                  <c:v>3798</c:v>
                </c:pt>
                <c:pt idx="341">
                  <c:v>2931</c:v>
                </c:pt>
                <c:pt idx="342">
                  <c:v>3402</c:v>
                </c:pt>
                <c:pt idx="343">
                  <c:v>3606</c:v>
                </c:pt>
                <c:pt idx="344">
                  <c:v>927</c:v>
                </c:pt>
                <c:pt idx="345">
                  <c:v>2029</c:v>
                </c:pt>
                <c:pt idx="346">
                  <c:v>3972</c:v>
                </c:pt>
                <c:pt idx="347">
                  <c:v>1466</c:v>
                </c:pt>
                <c:pt idx="348">
                  <c:v>3345</c:v>
                </c:pt>
                <c:pt idx="349">
                  <c:v>3184</c:v>
                </c:pt>
                <c:pt idx="350">
                  <c:v>3787</c:v>
                </c:pt>
                <c:pt idx="351">
                  <c:v>577</c:v>
                </c:pt>
                <c:pt idx="352">
                  <c:v>4435</c:v>
                </c:pt>
                <c:pt idx="353">
                  <c:v>4155</c:v>
                </c:pt>
                <c:pt idx="354">
                  <c:v>3575</c:v>
                </c:pt>
                <c:pt idx="355">
                  <c:v>2145</c:v>
                </c:pt>
                <c:pt idx="356">
                  <c:v>3766</c:v>
                </c:pt>
                <c:pt idx="357">
                  <c:v>3361</c:v>
                </c:pt>
                <c:pt idx="358">
                  <c:v>1503</c:v>
                </c:pt>
                <c:pt idx="359">
                  <c:v>2463</c:v>
                </c:pt>
                <c:pt idx="360">
                  <c:v>3906</c:v>
                </c:pt>
                <c:pt idx="361">
                  <c:v>3429</c:v>
                </c:pt>
                <c:pt idx="362">
                  <c:v>3821</c:v>
                </c:pt>
                <c:pt idx="363">
                  <c:v>3816</c:v>
                </c:pt>
                <c:pt idx="364">
                  <c:v>1064</c:v>
                </c:pt>
                <c:pt idx="365">
                  <c:v>2090</c:v>
                </c:pt>
                <c:pt idx="366">
                  <c:v>4069</c:v>
                </c:pt>
                <c:pt idx="367">
                  <c:v>1623</c:v>
                </c:pt>
                <c:pt idx="368">
                  <c:v>3376</c:v>
                </c:pt>
                <c:pt idx="369">
                  <c:v>3706</c:v>
                </c:pt>
                <c:pt idx="370">
                  <c:v>4342</c:v>
                </c:pt>
                <c:pt idx="371">
                  <c:v>575</c:v>
                </c:pt>
                <c:pt idx="372">
                  <c:v>4489</c:v>
                </c:pt>
                <c:pt idx="373">
                  <c:v>4925</c:v>
                </c:pt>
                <c:pt idx="374">
                  <c:v>3833</c:v>
                </c:pt>
                <c:pt idx="375">
                  <c:v>2191</c:v>
                </c:pt>
                <c:pt idx="376">
                  <c:v>3996</c:v>
                </c:pt>
                <c:pt idx="377">
                  <c:v>3425</c:v>
                </c:pt>
                <c:pt idx="378">
                  <c:v>1717</c:v>
                </c:pt>
                <c:pt idx="379">
                  <c:v>2480</c:v>
                </c:pt>
                <c:pt idx="380">
                  <c:v>3950</c:v>
                </c:pt>
                <c:pt idx="381">
                  <c:v>3705</c:v>
                </c:pt>
                <c:pt idx="382">
                  <c:v>4242</c:v>
                </c:pt>
                <c:pt idx="383">
                  <c:v>3987</c:v>
                </c:pt>
                <c:pt idx="384">
                  <c:v>1237</c:v>
                </c:pt>
                <c:pt idx="385">
                  <c:v>2145</c:v>
                </c:pt>
                <c:pt idx="386">
                  <c:v>4176</c:v>
                </c:pt>
                <c:pt idx="387">
                  <c:v>2101</c:v>
                </c:pt>
                <c:pt idx="388">
                  <c:v>4262</c:v>
                </c:pt>
                <c:pt idx="389">
                  <c:v>4544</c:v>
                </c:pt>
                <c:pt idx="390">
                  <c:v>4901</c:v>
                </c:pt>
                <c:pt idx="391">
                  <c:v>631</c:v>
                </c:pt>
                <c:pt idx="392">
                  <c:v>4489</c:v>
                </c:pt>
                <c:pt idx="393">
                  <c:v>5052</c:v>
                </c:pt>
                <c:pt idx="394">
                  <c:v>4209</c:v>
                </c:pt>
                <c:pt idx="395">
                  <c:v>2282</c:v>
                </c:pt>
                <c:pt idx="396">
                  <c:v>4051</c:v>
                </c:pt>
                <c:pt idx="397">
                  <c:v>3436</c:v>
                </c:pt>
                <c:pt idx="398">
                  <c:v>1994</c:v>
                </c:pt>
                <c:pt idx="399">
                  <c:v>2502</c:v>
                </c:pt>
                <c:pt idx="400">
                  <c:v>3955</c:v>
                </c:pt>
                <c:pt idx="401">
                  <c:v>3592</c:v>
                </c:pt>
                <c:pt idx="402">
                  <c:v>4974</c:v>
                </c:pt>
                <c:pt idx="403">
                  <c:v>3998</c:v>
                </c:pt>
                <c:pt idx="404">
                  <c:v>2431</c:v>
                </c:pt>
                <c:pt idx="405">
                  <c:v>2458</c:v>
                </c:pt>
                <c:pt idx="406">
                  <c:v>4119</c:v>
                </c:pt>
                <c:pt idx="407">
                  <c:v>2458</c:v>
                </c:pt>
                <c:pt idx="408">
                  <c:v>4494</c:v>
                </c:pt>
                <c:pt idx="409">
                  <c:v>3703</c:v>
                </c:pt>
                <c:pt idx="410">
                  <c:v>4896</c:v>
                </c:pt>
                <c:pt idx="411">
                  <c:v>1705</c:v>
                </c:pt>
                <c:pt idx="412">
                  <c:v>4489</c:v>
                </c:pt>
                <c:pt idx="413">
                  <c:v>5233</c:v>
                </c:pt>
                <c:pt idx="414">
                  <c:v>5537</c:v>
                </c:pt>
                <c:pt idx="415">
                  <c:v>2635</c:v>
                </c:pt>
                <c:pt idx="416">
                  <c:v>5586</c:v>
                </c:pt>
                <c:pt idx="417">
                  <c:v>3435</c:v>
                </c:pt>
                <c:pt idx="418">
                  <c:v>2830</c:v>
                </c:pt>
                <c:pt idx="419">
                  <c:v>2602</c:v>
                </c:pt>
                <c:pt idx="420">
                  <c:v>3568</c:v>
                </c:pt>
                <c:pt idx="421">
                  <c:v>3648</c:v>
                </c:pt>
                <c:pt idx="422">
                  <c:v>3661</c:v>
                </c:pt>
                <c:pt idx="423">
                  <c:v>4003</c:v>
                </c:pt>
                <c:pt idx="424">
                  <c:v>1321</c:v>
                </c:pt>
                <c:pt idx="425">
                  <c:v>1806</c:v>
                </c:pt>
                <c:pt idx="426">
                  <c:v>4657</c:v>
                </c:pt>
                <c:pt idx="427">
                  <c:v>1917</c:v>
                </c:pt>
                <c:pt idx="428">
                  <c:v>3685</c:v>
                </c:pt>
                <c:pt idx="429">
                  <c:v>2274</c:v>
                </c:pt>
                <c:pt idx="430">
                  <c:v>3019</c:v>
                </c:pt>
                <c:pt idx="431">
                  <c:v>1138</c:v>
                </c:pt>
                <c:pt idx="432">
                  <c:v>5379</c:v>
                </c:pt>
                <c:pt idx="433">
                  <c:v>3153</c:v>
                </c:pt>
                <c:pt idx="434">
                  <c:v>4965</c:v>
                </c:pt>
                <c:pt idx="435">
                  <c:v>1836</c:v>
                </c:pt>
                <c:pt idx="436">
                  <c:v>5063</c:v>
                </c:pt>
                <c:pt idx="437">
                  <c:v>2099</c:v>
                </c:pt>
                <c:pt idx="438">
                  <c:v>2635</c:v>
                </c:pt>
                <c:pt idx="439">
                  <c:v>2139</c:v>
                </c:pt>
                <c:pt idx="440">
                  <c:v>3954</c:v>
                </c:pt>
                <c:pt idx="441">
                  <c:v>3711</c:v>
                </c:pt>
                <c:pt idx="442">
                  <c:v>4244</c:v>
                </c:pt>
                <c:pt idx="443">
                  <c:v>3979</c:v>
                </c:pt>
                <c:pt idx="444">
                  <c:v>1246</c:v>
                </c:pt>
                <c:pt idx="445">
                  <c:v>2147</c:v>
                </c:pt>
                <c:pt idx="446">
                  <c:v>4114</c:v>
                </c:pt>
                <c:pt idx="447">
                  <c:v>1677</c:v>
                </c:pt>
                <c:pt idx="448">
                  <c:v>3409</c:v>
                </c:pt>
                <c:pt idx="449">
                  <c:v>3673</c:v>
                </c:pt>
                <c:pt idx="450">
                  <c:v>3928</c:v>
                </c:pt>
                <c:pt idx="451">
                  <c:v>650</c:v>
                </c:pt>
                <c:pt idx="452">
                  <c:v>4489</c:v>
                </c:pt>
                <c:pt idx="453">
                  <c:v>5056</c:v>
                </c:pt>
                <c:pt idx="454">
                  <c:v>4187</c:v>
                </c:pt>
                <c:pt idx="455">
                  <c:v>2287</c:v>
                </c:pt>
                <c:pt idx="456">
                  <c:v>4047</c:v>
                </c:pt>
                <c:pt idx="457">
                  <c:v>3435</c:v>
                </c:pt>
                <c:pt idx="458">
                  <c:v>1972</c:v>
                </c:pt>
                <c:pt idx="459">
                  <c:v>2494</c:v>
                </c:pt>
                <c:pt idx="460">
                  <c:v>3704</c:v>
                </c:pt>
                <c:pt idx="461">
                  <c:v>3805</c:v>
                </c:pt>
                <c:pt idx="462">
                  <c:v>3848</c:v>
                </c:pt>
                <c:pt idx="463">
                  <c:v>3441</c:v>
                </c:pt>
                <c:pt idx="464">
                  <c:v>2201</c:v>
                </c:pt>
                <c:pt idx="465">
                  <c:v>1613</c:v>
                </c:pt>
                <c:pt idx="466">
                  <c:v>4659</c:v>
                </c:pt>
                <c:pt idx="467">
                  <c:v>2320</c:v>
                </c:pt>
                <c:pt idx="468">
                  <c:v>4490</c:v>
                </c:pt>
                <c:pt idx="469">
                  <c:v>1730</c:v>
                </c:pt>
                <c:pt idx="470">
                  <c:v>3896</c:v>
                </c:pt>
                <c:pt idx="471">
                  <c:v>2039</c:v>
                </c:pt>
                <c:pt idx="472">
                  <c:v>4847</c:v>
                </c:pt>
                <c:pt idx="473">
                  <c:v>3575</c:v>
                </c:pt>
                <c:pt idx="474">
                  <c:v>5401</c:v>
                </c:pt>
                <c:pt idx="475">
                  <c:v>1890</c:v>
                </c:pt>
                <c:pt idx="476">
                  <c:v>4885</c:v>
                </c:pt>
                <c:pt idx="477">
                  <c:v>2189</c:v>
                </c:pt>
                <c:pt idx="478">
                  <c:v>3661</c:v>
                </c:pt>
                <c:pt idx="479">
                  <c:v>2551</c:v>
                </c:pt>
                <c:pt idx="480">
                  <c:v>3752</c:v>
                </c:pt>
                <c:pt idx="481">
                  <c:v>3978</c:v>
                </c:pt>
                <c:pt idx="482">
                  <c:v>3957</c:v>
                </c:pt>
                <c:pt idx="483">
                  <c:v>3494</c:v>
                </c:pt>
                <c:pt idx="484">
                  <c:v>2940</c:v>
                </c:pt>
                <c:pt idx="485">
                  <c:v>1816</c:v>
                </c:pt>
                <c:pt idx="486">
                  <c:v>4597</c:v>
                </c:pt>
                <c:pt idx="487">
                  <c:v>2390</c:v>
                </c:pt>
                <c:pt idx="488">
                  <c:v>4533</c:v>
                </c:pt>
                <c:pt idx="489">
                  <c:v>1814</c:v>
                </c:pt>
                <c:pt idx="490">
                  <c:v>4876</c:v>
                </c:pt>
                <c:pt idx="491">
                  <c:v>3514</c:v>
                </c:pt>
                <c:pt idx="492">
                  <c:v>4845</c:v>
                </c:pt>
                <c:pt idx="493">
                  <c:v>4902</c:v>
                </c:pt>
                <c:pt idx="494">
                  <c:v>5462</c:v>
                </c:pt>
                <c:pt idx="495">
                  <c:v>1921</c:v>
                </c:pt>
                <c:pt idx="496">
                  <c:v>4909</c:v>
                </c:pt>
                <c:pt idx="497">
                  <c:v>2112</c:v>
                </c:pt>
                <c:pt idx="498">
                  <c:v>4083</c:v>
                </c:pt>
                <c:pt idx="499">
                  <c:v>2583</c:v>
                </c:pt>
                <c:pt idx="500">
                  <c:v>3672</c:v>
                </c:pt>
                <c:pt idx="501">
                  <c:v>3652</c:v>
                </c:pt>
                <c:pt idx="502">
                  <c:v>3619</c:v>
                </c:pt>
                <c:pt idx="503">
                  <c:v>3323</c:v>
                </c:pt>
                <c:pt idx="504">
                  <c:v>2484</c:v>
                </c:pt>
                <c:pt idx="505">
                  <c:v>1788</c:v>
                </c:pt>
                <c:pt idx="506">
                  <c:v>4459</c:v>
                </c:pt>
                <c:pt idx="507">
                  <c:v>2368</c:v>
                </c:pt>
                <c:pt idx="508">
                  <c:v>4521</c:v>
                </c:pt>
                <c:pt idx="509">
                  <c:v>1552</c:v>
                </c:pt>
                <c:pt idx="510">
                  <c:v>4732</c:v>
                </c:pt>
                <c:pt idx="511">
                  <c:v>2821</c:v>
                </c:pt>
                <c:pt idx="512">
                  <c:v>4829</c:v>
                </c:pt>
                <c:pt idx="513">
                  <c:v>4423</c:v>
                </c:pt>
                <c:pt idx="514">
                  <c:v>5024</c:v>
                </c:pt>
                <c:pt idx="515">
                  <c:v>1846</c:v>
                </c:pt>
                <c:pt idx="516">
                  <c:v>4901</c:v>
                </c:pt>
                <c:pt idx="517">
                  <c:v>2076</c:v>
                </c:pt>
                <c:pt idx="518">
                  <c:v>3776</c:v>
                </c:pt>
                <c:pt idx="519">
                  <c:v>2523</c:v>
                </c:pt>
                <c:pt idx="520">
                  <c:v>3756</c:v>
                </c:pt>
                <c:pt idx="521">
                  <c:v>4039</c:v>
                </c:pt>
                <c:pt idx="522">
                  <c:v>4133</c:v>
                </c:pt>
                <c:pt idx="523">
                  <c:v>4362</c:v>
                </c:pt>
                <c:pt idx="524">
                  <c:v>1517</c:v>
                </c:pt>
                <c:pt idx="525">
                  <c:v>1881</c:v>
                </c:pt>
                <c:pt idx="526">
                  <c:v>4738</c:v>
                </c:pt>
                <c:pt idx="527">
                  <c:v>2071</c:v>
                </c:pt>
                <c:pt idx="528">
                  <c:v>3717</c:v>
                </c:pt>
                <c:pt idx="529">
                  <c:v>2768</c:v>
                </c:pt>
                <c:pt idx="530">
                  <c:v>3298</c:v>
                </c:pt>
                <c:pt idx="531">
                  <c:v>1230</c:v>
                </c:pt>
                <c:pt idx="532">
                  <c:v>5425</c:v>
                </c:pt>
                <c:pt idx="533">
                  <c:v>3746</c:v>
                </c:pt>
                <c:pt idx="534">
                  <c:v>5556</c:v>
                </c:pt>
                <c:pt idx="535">
                  <c:v>1867</c:v>
                </c:pt>
                <c:pt idx="536">
                  <c:v>5088</c:v>
                </c:pt>
                <c:pt idx="537">
                  <c:v>2117</c:v>
                </c:pt>
                <c:pt idx="538">
                  <c:v>2721</c:v>
                </c:pt>
                <c:pt idx="539">
                  <c:v>2190</c:v>
                </c:pt>
                <c:pt idx="540">
                  <c:v>2708</c:v>
                </c:pt>
                <c:pt idx="541">
                  <c:v>3169</c:v>
                </c:pt>
                <c:pt idx="542">
                  <c:v>3978</c:v>
                </c:pt>
                <c:pt idx="543">
                  <c:v>3315</c:v>
                </c:pt>
                <c:pt idx="544">
                  <c:v>1772</c:v>
                </c:pt>
                <c:pt idx="545">
                  <c:v>3942</c:v>
                </c:pt>
                <c:pt idx="546">
                  <c:v>3120</c:v>
                </c:pt>
                <c:pt idx="547">
                  <c:v>1289</c:v>
                </c:pt>
                <c:pt idx="548">
                  <c:v>3647</c:v>
                </c:pt>
                <c:pt idx="549">
                  <c:v>4736</c:v>
                </c:pt>
                <c:pt idx="550">
                  <c:v>4910</c:v>
                </c:pt>
                <c:pt idx="551">
                  <c:v>67</c:v>
                </c:pt>
                <c:pt idx="552">
                  <c:v>4989</c:v>
                </c:pt>
                <c:pt idx="553">
                  <c:v>3916</c:v>
                </c:pt>
                <c:pt idx="554">
                  <c:v>1942</c:v>
                </c:pt>
                <c:pt idx="555">
                  <c:v>3906</c:v>
                </c:pt>
                <c:pt idx="556">
                  <c:v>3441</c:v>
                </c:pt>
                <c:pt idx="557">
                  <c:v>3715</c:v>
                </c:pt>
                <c:pt idx="558">
                  <c:v>1380</c:v>
                </c:pt>
                <c:pt idx="559">
                  <c:v>2112</c:v>
                </c:pt>
                <c:pt idx="560">
                  <c:v>2481</c:v>
                </c:pt>
                <c:pt idx="561">
                  <c:v>2398</c:v>
                </c:pt>
                <c:pt idx="562">
                  <c:v>3366</c:v>
                </c:pt>
                <c:pt idx="563">
                  <c:v>3222</c:v>
                </c:pt>
                <c:pt idx="564">
                  <c:v>2214</c:v>
                </c:pt>
                <c:pt idx="565">
                  <c:v>4033</c:v>
                </c:pt>
                <c:pt idx="566">
                  <c:v>2909</c:v>
                </c:pt>
                <c:pt idx="567">
                  <c:v>1641</c:v>
                </c:pt>
                <c:pt idx="568">
                  <c:v>4183</c:v>
                </c:pt>
                <c:pt idx="569">
                  <c:v>3732</c:v>
                </c:pt>
                <c:pt idx="570">
                  <c:v>4561</c:v>
                </c:pt>
                <c:pt idx="571">
                  <c:v>93</c:v>
                </c:pt>
                <c:pt idx="572">
                  <c:v>4245</c:v>
                </c:pt>
                <c:pt idx="573">
                  <c:v>3829</c:v>
                </c:pt>
                <c:pt idx="574">
                  <c:v>2544</c:v>
                </c:pt>
                <c:pt idx="575">
                  <c:v>3305</c:v>
                </c:pt>
                <c:pt idx="576">
                  <c:v>4846</c:v>
                </c:pt>
                <c:pt idx="577">
                  <c:v>3824</c:v>
                </c:pt>
                <c:pt idx="578">
                  <c:v>1387</c:v>
                </c:pt>
                <c:pt idx="579">
                  <c:v>1856</c:v>
                </c:pt>
                <c:pt idx="580">
                  <c:v>2708</c:v>
                </c:pt>
                <c:pt idx="581">
                  <c:v>3046</c:v>
                </c:pt>
                <c:pt idx="582">
                  <c:v>3973</c:v>
                </c:pt>
                <c:pt idx="583">
                  <c:v>3069</c:v>
                </c:pt>
                <c:pt idx="584">
                  <c:v>1652</c:v>
                </c:pt>
                <c:pt idx="585">
                  <c:v>3934</c:v>
                </c:pt>
                <c:pt idx="586">
                  <c:v>2897</c:v>
                </c:pt>
                <c:pt idx="587">
                  <c:v>1273</c:v>
                </c:pt>
                <c:pt idx="588">
                  <c:v>2899</c:v>
                </c:pt>
                <c:pt idx="589">
                  <c:v>4722</c:v>
                </c:pt>
                <c:pt idx="590">
                  <c:v>4760</c:v>
                </c:pt>
                <c:pt idx="591">
                  <c:v>53</c:v>
                </c:pt>
                <c:pt idx="592">
                  <c:v>4980</c:v>
                </c:pt>
                <c:pt idx="593">
                  <c:v>3841</c:v>
                </c:pt>
                <c:pt idx="594">
                  <c:v>1639</c:v>
                </c:pt>
                <c:pt idx="595">
                  <c:v>3821</c:v>
                </c:pt>
                <c:pt idx="596">
                  <c:v>3524</c:v>
                </c:pt>
                <c:pt idx="597">
                  <c:v>3481</c:v>
                </c:pt>
                <c:pt idx="598">
                  <c:v>1339</c:v>
                </c:pt>
                <c:pt idx="599">
                  <c:v>2072</c:v>
                </c:pt>
                <c:pt idx="600">
                  <c:v>2708</c:v>
                </c:pt>
                <c:pt idx="601">
                  <c:v>2951</c:v>
                </c:pt>
                <c:pt idx="602">
                  <c:v>3973</c:v>
                </c:pt>
                <c:pt idx="603">
                  <c:v>3001</c:v>
                </c:pt>
                <c:pt idx="604">
                  <c:v>1568</c:v>
                </c:pt>
                <c:pt idx="605">
                  <c:v>3894</c:v>
                </c:pt>
                <c:pt idx="606">
                  <c:v>2693</c:v>
                </c:pt>
                <c:pt idx="607">
                  <c:v>1250</c:v>
                </c:pt>
                <c:pt idx="608">
                  <c:v>2869</c:v>
                </c:pt>
                <c:pt idx="609">
                  <c:v>3776</c:v>
                </c:pt>
                <c:pt idx="610">
                  <c:v>4648</c:v>
                </c:pt>
                <c:pt idx="611">
                  <c:v>34</c:v>
                </c:pt>
                <c:pt idx="612">
                  <c:v>4973</c:v>
                </c:pt>
                <c:pt idx="613">
                  <c:v>3718</c:v>
                </c:pt>
                <c:pt idx="614">
                  <c:v>1338</c:v>
                </c:pt>
                <c:pt idx="615">
                  <c:v>3697</c:v>
                </c:pt>
                <c:pt idx="616">
                  <c:v>3516</c:v>
                </c:pt>
                <c:pt idx="617">
                  <c:v>3225</c:v>
                </c:pt>
                <c:pt idx="618">
                  <c:v>1295</c:v>
                </c:pt>
                <c:pt idx="619">
                  <c:v>2015</c:v>
                </c:pt>
                <c:pt idx="620">
                  <c:v>2134</c:v>
                </c:pt>
                <c:pt idx="621">
                  <c:v>1920</c:v>
                </c:pt>
                <c:pt idx="622">
                  <c:v>3117</c:v>
                </c:pt>
                <c:pt idx="623">
                  <c:v>2894</c:v>
                </c:pt>
                <c:pt idx="624">
                  <c:v>1953</c:v>
                </c:pt>
                <c:pt idx="625">
                  <c:v>3922</c:v>
                </c:pt>
                <c:pt idx="626">
                  <c:v>3091</c:v>
                </c:pt>
                <c:pt idx="627">
                  <c:v>2063</c:v>
                </c:pt>
                <c:pt idx="628">
                  <c:v>3075</c:v>
                </c:pt>
                <c:pt idx="629">
                  <c:v>2874</c:v>
                </c:pt>
                <c:pt idx="630">
                  <c:v>4153</c:v>
                </c:pt>
                <c:pt idx="631">
                  <c:v>283</c:v>
                </c:pt>
                <c:pt idx="632">
                  <c:v>4576</c:v>
                </c:pt>
                <c:pt idx="633">
                  <c:v>3382</c:v>
                </c:pt>
                <c:pt idx="634">
                  <c:v>3184</c:v>
                </c:pt>
                <c:pt idx="635">
                  <c:v>2965</c:v>
                </c:pt>
                <c:pt idx="636">
                  <c:v>4719</c:v>
                </c:pt>
                <c:pt idx="637">
                  <c:v>3653</c:v>
                </c:pt>
                <c:pt idx="638">
                  <c:v>2298</c:v>
                </c:pt>
                <c:pt idx="639">
                  <c:v>2393</c:v>
                </c:pt>
                <c:pt idx="640">
                  <c:v>2482</c:v>
                </c:pt>
                <c:pt idx="641">
                  <c:v>2382</c:v>
                </c:pt>
                <c:pt idx="642">
                  <c:v>3366</c:v>
                </c:pt>
                <c:pt idx="643">
                  <c:v>3237</c:v>
                </c:pt>
                <c:pt idx="644">
                  <c:v>2177</c:v>
                </c:pt>
                <c:pt idx="645">
                  <c:v>4034</c:v>
                </c:pt>
                <c:pt idx="646">
                  <c:v>2879</c:v>
                </c:pt>
                <c:pt idx="647">
                  <c:v>1633</c:v>
                </c:pt>
                <c:pt idx="648">
                  <c:v>3326</c:v>
                </c:pt>
                <c:pt idx="649">
                  <c:v>2981</c:v>
                </c:pt>
                <c:pt idx="650">
                  <c:v>3653</c:v>
                </c:pt>
                <c:pt idx="651">
                  <c:v>88</c:v>
                </c:pt>
                <c:pt idx="652">
                  <c:v>4245</c:v>
                </c:pt>
                <c:pt idx="653">
                  <c:v>3796</c:v>
                </c:pt>
                <c:pt idx="654">
                  <c:v>2471</c:v>
                </c:pt>
                <c:pt idx="655">
                  <c:v>3271</c:v>
                </c:pt>
                <c:pt idx="656">
                  <c:v>4803</c:v>
                </c:pt>
                <c:pt idx="657">
                  <c:v>3793</c:v>
                </c:pt>
                <c:pt idx="658">
                  <c:v>1363</c:v>
                </c:pt>
                <c:pt idx="659">
                  <c:v>1856</c:v>
                </c:pt>
                <c:pt idx="660">
                  <c:v>2481</c:v>
                </c:pt>
                <c:pt idx="661">
                  <c:v>2470</c:v>
                </c:pt>
                <c:pt idx="662">
                  <c:v>3367</c:v>
                </c:pt>
                <c:pt idx="663">
                  <c:v>3239</c:v>
                </c:pt>
                <c:pt idx="664">
                  <c:v>2308</c:v>
                </c:pt>
                <c:pt idx="665">
                  <c:v>4034</c:v>
                </c:pt>
                <c:pt idx="666">
                  <c:v>3030</c:v>
                </c:pt>
                <c:pt idx="667">
                  <c:v>1672</c:v>
                </c:pt>
                <c:pt idx="668">
                  <c:v>3375</c:v>
                </c:pt>
                <c:pt idx="669">
                  <c:v>3746</c:v>
                </c:pt>
                <c:pt idx="670">
                  <c:v>4560</c:v>
                </c:pt>
                <c:pt idx="671">
                  <c:v>118</c:v>
                </c:pt>
                <c:pt idx="672">
                  <c:v>4245</c:v>
                </c:pt>
                <c:pt idx="673">
                  <c:v>3891</c:v>
                </c:pt>
                <c:pt idx="674">
                  <c:v>2740</c:v>
                </c:pt>
                <c:pt idx="675">
                  <c:v>3407</c:v>
                </c:pt>
                <c:pt idx="676">
                  <c:v>4958</c:v>
                </c:pt>
                <c:pt idx="677">
                  <c:v>3891</c:v>
                </c:pt>
                <c:pt idx="678">
                  <c:v>1446</c:v>
                </c:pt>
                <c:pt idx="679">
                  <c:v>1870</c:v>
                </c:pt>
                <c:pt idx="680">
                  <c:v>2482</c:v>
                </c:pt>
                <c:pt idx="681">
                  <c:v>2482</c:v>
                </c:pt>
                <c:pt idx="682">
                  <c:v>3367</c:v>
                </c:pt>
                <c:pt idx="683">
                  <c:v>3248</c:v>
                </c:pt>
                <c:pt idx="684">
                  <c:v>2298</c:v>
                </c:pt>
                <c:pt idx="685">
                  <c:v>4035</c:v>
                </c:pt>
                <c:pt idx="686">
                  <c:v>3037</c:v>
                </c:pt>
                <c:pt idx="687">
                  <c:v>1672</c:v>
                </c:pt>
                <c:pt idx="688">
                  <c:v>3366</c:v>
                </c:pt>
                <c:pt idx="689">
                  <c:v>3746</c:v>
                </c:pt>
                <c:pt idx="690">
                  <c:v>4565</c:v>
                </c:pt>
                <c:pt idx="691">
                  <c:v>130</c:v>
                </c:pt>
                <c:pt idx="692">
                  <c:v>4245</c:v>
                </c:pt>
                <c:pt idx="693">
                  <c:v>3891</c:v>
                </c:pt>
                <c:pt idx="694">
                  <c:v>2743</c:v>
                </c:pt>
                <c:pt idx="695">
                  <c:v>3409</c:v>
                </c:pt>
                <c:pt idx="696">
                  <c:v>4954</c:v>
                </c:pt>
                <c:pt idx="697">
                  <c:v>3888</c:v>
                </c:pt>
                <c:pt idx="698">
                  <c:v>1443</c:v>
                </c:pt>
                <c:pt idx="699">
                  <c:v>1874</c:v>
                </c:pt>
                <c:pt idx="700">
                  <c:v>2124</c:v>
                </c:pt>
                <c:pt idx="701">
                  <c:v>1711</c:v>
                </c:pt>
                <c:pt idx="702">
                  <c:v>3117</c:v>
                </c:pt>
                <c:pt idx="703">
                  <c:v>2892</c:v>
                </c:pt>
                <c:pt idx="704">
                  <c:v>1749</c:v>
                </c:pt>
                <c:pt idx="705">
                  <c:v>3895</c:v>
                </c:pt>
                <c:pt idx="706">
                  <c:v>2976</c:v>
                </c:pt>
                <c:pt idx="707">
                  <c:v>2019</c:v>
                </c:pt>
                <c:pt idx="708">
                  <c:v>3042</c:v>
                </c:pt>
                <c:pt idx="709">
                  <c:v>2302</c:v>
                </c:pt>
                <c:pt idx="710">
                  <c:v>4154</c:v>
                </c:pt>
                <c:pt idx="711">
                  <c:v>230</c:v>
                </c:pt>
                <c:pt idx="712">
                  <c:v>4574</c:v>
                </c:pt>
                <c:pt idx="713">
                  <c:v>3188</c:v>
                </c:pt>
                <c:pt idx="714">
                  <c:v>2961</c:v>
                </c:pt>
                <c:pt idx="715">
                  <c:v>2710</c:v>
                </c:pt>
                <c:pt idx="716">
                  <c:v>4706</c:v>
                </c:pt>
                <c:pt idx="717">
                  <c:v>3595</c:v>
                </c:pt>
                <c:pt idx="718">
                  <c:v>2184</c:v>
                </c:pt>
                <c:pt idx="719">
                  <c:v>2376</c:v>
                </c:pt>
                <c:pt idx="720">
                  <c:v>2480</c:v>
                </c:pt>
                <c:pt idx="721">
                  <c:v>2402</c:v>
                </c:pt>
                <c:pt idx="722">
                  <c:v>3366</c:v>
                </c:pt>
                <c:pt idx="723">
                  <c:v>3202</c:v>
                </c:pt>
                <c:pt idx="724">
                  <c:v>2225</c:v>
                </c:pt>
                <c:pt idx="725">
                  <c:v>4032</c:v>
                </c:pt>
                <c:pt idx="726">
                  <c:v>2925</c:v>
                </c:pt>
                <c:pt idx="727">
                  <c:v>1634</c:v>
                </c:pt>
                <c:pt idx="728">
                  <c:v>3355</c:v>
                </c:pt>
                <c:pt idx="729">
                  <c:v>2983</c:v>
                </c:pt>
                <c:pt idx="730">
                  <c:v>3645</c:v>
                </c:pt>
                <c:pt idx="731">
                  <c:v>96</c:v>
                </c:pt>
                <c:pt idx="732">
                  <c:v>4245</c:v>
                </c:pt>
                <c:pt idx="733">
                  <c:v>3842</c:v>
                </c:pt>
                <c:pt idx="734">
                  <c:v>2573</c:v>
                </c:pt>
                <c:pt idx="735">
                  <c:v>3323</c:v>
                </c:pt>
                <c:pt idx="736">
                  <c:v>4872</c:v>
                </c:pt>
                <c:pt idx="737">
                  <c:v>3838</c:v>
                </c:pt>
                <c:pt idx="738">
                  <c:v>1384</c:v>
                </c:pt>
                <c:pt idx="739">
                  <c:v>1857</c:v>
                </c:pt>
                <c:pt idx="740">
                  <c:v>2124</c:v>
                </c:pt>
                <c:pt idx="741">
                  <c:v>1731</c:v>
                </c:pt>
                <c:pt idx="742">
                  <c:v>3117</c:v>
                </c:pt>
                <c:pt idx="743">
                  <c:v>2892</c:v>
                </c:pt>
                <c:pt idx="744">
                  <c:v>1759</c:v>
                </c:pt>
                <c:pt idx="745">
                  <c:v>3897</c:v>
                </c:pt>
                <c:pt idx="746">
                  <c:v>2977</c:v>
                </c:pt>
                <c:pt idx="747">
                  <c:v>2032</c:v>
                </c:pt>
                <c:pt idx="748">
                  <c:v>3798</c:v>
                </c:pt>
                <c:pt idx="749">
                  <c:v>2880</c:v>
                </c:pt>
                <c:pt idx="750">
                  <c:v>4154</c:v>
                </c:pt>
                <c:pt idx="751">
                  <c:v>236</c:v>
                </c:pt>
                <c:pt idx="752">
                  <c:v>4576</c:v>
                </c:pt>
                <c:pt idx="753">
                  <c:v>3227</c:v>
                </c:pt>
                <c:pt idx="754">
                  <c:v>3017</c:v>
                </c:pt>
                <c:pt idx="755">
                  <c:v>2784</c:v>
                </c:pt>
                <c:pt idx="756">
                  <c:v>4708</c:v>
                </c:pt>
                <c:pt idx="757">
                  <c:v>3602</c:v>
                </c:pt>
                <c:pt idx="758">
                  <c:v>2200</c:v>
                </c:pt>
                <c:pt idx="759">
                  <c:v>2382</c:v>
                </c:pt>
                <c:pt idx="760">
                  <c:v>4193</c:v>
                </c:pt>
                <c:pt idx="761">
                  <c:v>2458</c:v>
                </c:pt>
                <c:pt idx="762">
                  <c:v>4269</c:v>
                </c:pt>
                <c:pt idx="763">
                  <c:v>1448</c:v>
                </c:pt>
                <c:pt idx="764">
                  <c:v>723</c:v>
                </c:pt>
                <c:pt idx="765">
                  <c:v>1465</c:v>
                </c:pt>
                <c:pt idx="766">
                  <c:v>1805</c:v>
                </c:pt>
                <c:pt idx="767">
                  <c:v>243</c:v>
                </c:pt>
                <c:pt idx="768">
                  <c:v>3152</c:v>
                </c:pt>
                <c:pt idx="769">
                  <c:v>3556</c:v>
                </c:pt>
                <c:pt idx="770">
                  <c:v>4466</c:v>
                </c:pt>
                <c:pt idx="771">
                  <c:v>962</c:v>
                </c:pt>
                <c:pt idx="772">
                  <c:v>4668</c:v>
                </c:pt>
                <c:pt idx="773">
                  <c:v>3838</c:v>
                </c:pt>
                <c:pt idx="774">
                  <c:v>2183</c:v>
                </c:pt>
                <c:pt idx="775">
                  <c:v>307</c:v>
                </c:pt>
                <c:pt idx="776">
                  <c:v>3061</c:v>
                </c:pt>
                <c:pt idx="777">
                  <c:v>3986</c:v>
                </c:pt>
                <c:pt idx="778">
                  <c:v>1985</c:v>
                </c:pt>
                <c:pt idx="779">
                  <c:v>3441</c:v>
                </c:pt>
                <c:pt idx="780">
                  <c:v>3470</c:v>
                </c:pt>
                <c:pt idx="781">
                  <c:v>1977</c:v>
                </c:pt>
                <c:pt idx="782">
                  <c:v>3741</c:v>
                </c:pt>
                <c:pt idx="783">
                  <c:v>1684</c:v>
                </c:pt>
                <c:pt idx="784">
                  <c:v>423</c:v>
                </c:pt>
                <c:pt idx="785">
                  <c:v>1128</c:v>
                </c:pt>
                <c:pt idx="786">
                  <c:v>1720</c:v>
                </c:pt>
                <c:pt idx="787">
                  <c:v>311</c:v>
                </c:pt>
                <c:pt idx="788">
                  <c:v>2185</c:v>
                </c:pt>
                <c:pt idx="789">
                  <c:v>3615</c:v>
                </c:pt>
                <c:pt idx="790">
                  <c:v>2899</c:v>
                </c:pt>
                <c:pt idx="791">
                  <c:v>1118</c:v>
                </c:pt>
                <c:pt idx="792">
                  <c:v>3727</c:v>
                </c:pt>
                <c:pt idx="793">
                  <c:v>3424</c:v>
                </c:pt>
                <c:pt idx="794">
                  <c:v>1522</c:v>
                </c:pt>
                <c:pt idx="795">
                  <c:v>336</c:v>
                </c:pt>
                <c:pt idx="796">
                  <c:v>2315</c:v>
                </c:pt>
                <c:pt idx="797">
                  <c:v>3593</c:v>
                </c:pt>
                <c:pt idx="798">
                  <c:v>2146</c:v>
                </c:pt>
                <c:pt idx="799">
                  <c:v>4067</c:v>
                </c:pt>
                <c:pt idx="800">
                  <c:v>4214</c:v>
                </c:pt>
                <c:pt idx="801">
                  <c:v>2820</c:v>
                </c:pt>
                <c:pt idx="802">
                  <c:v>3640</c:v>
                </c:pt>
                <c:pt idx="803">
                  <c:v>1527</c:v>
                </c:pt>
                <c:pt idx="804">
                  <c:v>1081</c:v>
                </c:pt>
                <c:pt idx="805">
                  <c:v>1698</c:v>
                </c:pt>
                <c:pt idx="806">
                  <c:v>1419</c:v>
                </c:pt>
                <c:pt idx="807">
                  <c:v>354</c:v>
                </c:pt>
                <c:pt idx="808">
                  <c:v>4062</c:v>
                </c:pt>
                <c:pt idx="809">
                  <c:v>2722</c:v>
                </c:pt>
                <c:pt idx="810">
                  <c:v>4384</c:v>
                </c:pt>
                <c:pt idx="811">
                  <c:v>1067</c:v>
                </c:pt>
                <c:pt idx="812">
                  <c:v>5132</c:v>
                </c:pt>
                <c:pt idx="813">
                  <c:v>3786</c:v>
                </c:pt>
                <c:pt idx="814">
                  <c:v>2339</c:v>
                </c:pt>
                <c:pt idx="815">
                  <c:v>283</c:v>
                </c:pt>
                <c:pt idx="816">
                  <c:v>3336</c:v>
                </c:pt>
                <c:pt idx="817">
                  <c:v>4363</c:v>
                </c:pt>
                <c:pt idx="818">
                  <c:v>1963</c:v>
                </c:pt>
                <c:pt idx="819">
                  <c:v>3879</c:v>
                </c:pt>
                <c:pt idx="820">
                  <c:v>3305</c:v>
                </c:pt>
                <c:pt idx="821">
                  <c:v>1898</c:v>
                </c:pt>
                <c:pt idx="822">
                  <c:v>3536</c:v>
                </c:pt>
                <c:pt idx="823">
                  <c:v>1653</c:v>
                </c:pt>
                <c:pt idx="824">
                  <c:v>419</c:v>
                </c:pt>
                <c:pt idx="825">
                  <c:v>1107</c:v>
                </c:pt>
                <c:pt idx="826">
                  <c:v>1715</c:v>
                </c:pt>
                <c:pt idx="827">
                  <c:v>387</c:v>
                </c:pt>
                <c:pt idx="828">
                  <c:v>2731</c:v>
                </c:pt>
                <c:pt idx="829">
                  <c:v>4406</c:v>
                </c:pt>
                <c:pt idx="830">
                  <c:v>3307</c:v>
                </c:pt>
                <c:pt idx="831">
                  <c:v>1104</c:v>
                </c:pt>
                <c:pt idx="832">
                  <c:v>3683</c:v>
                </c:pt>
                <c:pt idx="833">
                  <c:v>3258</c:v>
                </c:pt>
                <c:pt idx="834">
                  <c:v>1487</c:v>
                </c:pt>
                <c:pt idx="835">
                  <c:v>326</c:v>
                </c:pt>
                <c:pt idx="836">
                  <c:v>2276</c:v>
                </c:pt>
                <c:pt idx="837">
                  <c:v>3576</c:v>
                </c:pt>
                <c:pt idx="838">
                  <c:v>2115</c:v>
                </c:pt>
                <c:pt idx="839">
                  <c:v>4024</c:v>
                </c:pt>
                <c:pt idx="840">
                  <c:v>4170</c:v>
                </c:pt>
                <c:pt idx="841">
                  <c:v>2726</c:v>
                </c:pt>
                <c:pt idx="842">
                  <c:v>3631</c:v>
                </c:pt>
                <c:pt idx="843">
                  <c:v>1450</c:v>
                </c:pt>
                <c:pt idx="844">
                  <c:v>1080</c:v>
                </c:pt>
                <c:pt idx="845">
                  <c:v>1700</c:v>
                </c:pt>
                <c:pt idx="846">
                  <c:v>1417</c:v>
                </c:pt>
                <c:pt idx="847">
                  <c:v>354</c:v>
                </c:pt>
                <c:pt idx="848">
                  <c:v>5077</c:v>
                </c:pt>
                <c:pt idx="849">
                  <c:v>3219</c:v>
                </c:pt>
                <c:pt idx="850">
                  <c:v>5448</c:v>
                </c:pt>
                <c:pt idx="851">
                  <c:v>1067</c:v>
                </c:pt>
                <c:pt idx="852">
                  <c:v>5132</c:v>
                </c:pt>
                <c:pt idx="853">
                  <c:v>3735</c:v>
                </c:pt>
                <c:pt idx="854">
                  <c:v>2326</c:v>
                </c:pt>
                <c:pt idx="855">
                  <c:v>286</c:v>
                </c:pt>
                <c:pt idx="856">
                  <c:v>3339</c:v>
                </c:pt>
                <c:pt idx="857">
                  <c:v>4301</c:v>
                </c:pt>
                <c:pt idx="858">
                  <c:v>1921</c:v>
                </c:pt>
                <c:pt idx="859">
                  <c:v>3906</c:v>
                </c:pt>
                <c:pt idx="860">
                  <c:v>3951</c:v>
                </c:pt>
                <c:pt idx="861">
                  <c:v>2606</c:v>
                </c:pt>
                <c:pt idx="862">
                  <c:v>3581</c:v>
                </c:pt>
                <c:pt idx="863">
                  <c:v>1223</c:v>
                </c:pt>
                <c:pt idx="864">
                  <c:v>1070</c:v>
                </c:pt>
                <c:pt idx="865">
                  <c:v>1665</c:v>
                </c:pt>
                <c:pt idx="866">
                  <c:v>1420</c:v>
                </c:pt>
                <c:pt idx="867">
                  <c:v>347</c:v>
                </c:pt>
                <c:pt idx="868">
                  <c:v>5075</c:v>
                </c:pt>
                <c:pt idx="869">
                  <c:v>2756</c:v>
                </c:pt>
                <c:pt idx="870">
                  <c:v>4939</c:v>
                </c:pt>
                <c:pt idx="871">
                  <c:v>1033</c:v>
                </c:pt>
                <c:pt idx="872">
                  <c:v>5128</c:v>
                </c:pt>
                <c:pt idx="873">
                  <c:v>3741</c:v>
                </c:pt>
                <c:pt idx="874">
                  <c:v>2213</c:v>
                </c:pt>
                <c:pt idx="875">
                  <c:v>267</c:v>
                </c:pt>
                <c:pt idx="876">
                  <c:v>3285</c:v>
                </c:pt>
                <c:pt idx="877">
                  <c:v>4118</c:v>
                </c:pt>
                <c:pt idx="878">
                  <c:v>1737</c:v>
                </c:pt>
                <c:pt idx="879">
                  <c:v>3736</c:v>
                </c:pt>
                <c:pt idx="880">
                  <c:v>4585</c:v>
                </c:pt>
                <c:pt idx="881">
                  <c:v>2416</c:v>
                </c:pt>
                <c:pt idx="882">
                  <c:v>4308</c:v>
                </c:pt>
                <c:pt idx="883">
                  <c:v>1473</c:v>
                </c:pt>
                <c:pt idx="884">
                  <c:v>727</c:v>
                </c:pt>
                <c:pt idx="885">
                  <c:v>1482</c:v>
                </c:pt>
                <c:pt idx="886">
                  <c:v>1811</c:v>
                </c:pt>
                <c:pt idx="887">
                  <c:v>244</c:v>
                </c:pt>
                <c:pt idx="888">
                  <c:v>3158</c:v>
                </c:pt>
                <c:pt idx="889">
                  <c:v>3601</c:v>
                </c:pt>
                <c:pt idx="890">
                  <c:v>4737</c:v>
                </c:pt>
                <c:pt idx="891">
                  <c:v>980</c:v>
                </c:pt>
                <c:pt idx="892">
                  <c:v>4702</c:v>
                </c:pt>
                <c:pt idx="893">
                  <c:v>3986</c:v>
                </c:pt>
                <c:pt idx="894">
                  <c:v>2212</c:v>
                </c:pt>
                <c:pt idx="895">
                  <c:v>316</c:v>
                </c:pt>
                <c:pt idx="896">
                  <c:v>3090</c:v>
                </c:pt>
                <c:pt idx="897">
                  <c:v>4044</c:v>
                </c:pt>
                <c:pt idx="898">
                  <c:v>2022</c:v>
                </c:pt>
                <c:pt idx="899">
                  <c:v>3645</c:v>
                </c:pt>
                <c:pt idx="900">
                  <c:v>3651</c:v>
                </c:pt>
                <c:pt idx="901">
                  <c:v>1780</c:v>
                </c:pt>
                <c:pt idx="902">
                  <c:v>3168</c:v>
                </c:pt>
                <c:pt idx="903">
                  <c:v>1619</c:v>
                </c:pt>
                <c:pt idx="904">
                  <c:v>410</c:v>
                </c:pt>
                <c:pt idx="905">
                  <c:v>1083</c:v>
                </c:pt>
                <c:pt idx="906">
                  <c:v>1681</c:v>
                </c:pt>
                <c:pt idx="907">
                  <c:v>306</c:v>
                </c:pt>
                <c:pt idx="908">
                  <c:v>2184</c:v>
                </c:pt>
                <c:pt idx="909">
                  <c:v>3646</c:v>
                </c:pt>
                <c:pt idx="910">
                  <c:v>2600</c:v>
                </c:pt>
                <c:pt idx="911">
                  <c:v>1104</c:v>
                </c:pt>
                <c:pt idx="912">
                  <c:v>3672</c:v>
                </c:pt>
                <c:pt idx="913">
                  <c:v>3268</c:v>
                </c:pt>
                <c:pt idx="914">
                  <c:v>1401</c:v>
                </c:pt>
                <c:pt idx="915">
                  <c:v>425</c:v>
                </c:pt>
                <c:pt idx="916">
                  <c:v>2194</c:v>
                </c:pt>
                <c:pt idx="917">
                  <c:v>3551</c:v>
                </c:pt>
                <c:pt idx="918">
                  <c:v>2088</c:v>
                </c:pt>
                <c:pt idx="919">
                  <c:v>4193</c:v>
                </c:pt>
                <c:pt idx="920">
                  <c:v>3840</c:v>
                </c:pt>
                <c:pt idx="921">
                  <c:v>1982</c:v>
                </c:pt>
                <c:pt idx="922">
                  <c:v>3742</c:v>
                </c:pt>
                <c:pt idx="923">
                  <c:v>1696</c:v>
                </c:pt>
                <c:pt idx="924">
                  <c:v>426</c:v>
                </c:pt>
                <c:pt idx="925">
                  <c:v>1137</c:v>
                </c:pt>
                <c:pt idx="926">
                  <c:v>1710</c:v>
                </c:pt>
                <c:pt idx="927">
                  <c:v>311</c:v>
                </c:pt>
                <c:pt idx="928">
                  <c:v>2193</c:v>
                </c:pt>
                <c:pt idx="929">
                  <c:v>3720</c:v>
                </c:pt>
                <c:pt idx="930">
                  <c:v>3100</c:v>
                </c:pt>
                <c:pt idx="931">
                  <c:v>1131</c:v>
                </c:pt>
                <c:pt idx="932">
                  <c:v>3739</c:v>
                </c:pt>
                <c:pt idx="933">
                  <c:v>3618</c:v>
                </c:pt>
                <c:pt idx="934">
                  <c:v>1539</c:v>
                </c:pt>
                <c:pt idx="935">
                  <c:v>413</c:v>
                </c:pt>
                <c:pt idx="936">
                  <c:v>2318</c:v>
                </c:pt>
                <c:pt idx="937">
                  <c:v>3603</c:v>
                </c:pt>
                <c:pt idx="938">
                  <c:v>2169</c:v>
                </c:pt>
                <c:pt idx="939">
                  <c:v>4223</c:v>
                </c:pt>
                <c:pt idx="940">
                  <c:v>4530</c:v>
                </c:pt>
                <c:pt idx="941">
                  <c:v>2725</c:v>
                </c:pt>
                <c:pt idx="942">
                  <c:v>4624</c:v>
                </c:pt>
                <c:pt idx="943">
                  <c:v>1666</c:v>
                </c:pt>
                <c:pt idx="944">
                  <c:v>750</c:v>
                </c:pt>
                <c:pt idx="945">
                  <c:v>1561</c:v>
                </c:pt>
                <c:pt idx="946">
                  <c:v>1832</c:v>
                </c:pt>
                <c:pt idx="947">
                  <c:v>314</c:v>
                </c:pt>
                <c:pt idx="948">
                  <c:v>3953</c:v>
                </c:pt>
                <c:pt idx="949">
                  <c:v>3849</c:v>
                </c:pt>
                <c:pt idx="950">
                  <c:v>5461</c:v>
                </c:pt>
                <c:pt idx="951">
                  <c:v>1047</c:v>
                </c:pt>
                <c:pt idx="952">
                  <c:v>4705</c:v>
                </c:pt>
                <c:pt idx="953">
                  <c:v>4275</c:v>
                </c:pt>
                <c:pt idx="954">
                  <c:v>2385</c:v>
                </c:pt>
                <c:pt idx="955">
                  <c:v>313</c:v>
                </c:pt>
                <c:pt idx="956">
                  <c:v>3153</c:v>
                </c:pt>
                <c:pt idx="957">
                  <c:v>4175</c:v>
                </c:pt>
                <c:pt idx="958">
                  <c:v>2179</c:v>
                </c:pt>
                <c:pt idx="959">
                  <c:v>3479</c:v>
                </c:pt>
                <c:pt idx="960">
                  <c:v>3922</c:v>
                </c:pt>
                <c:pt idx="961">
                  <c:v>2618</c:v>
                </c:pt>
                <c:pt idx="962">
                  <c:v>3578</c:v>
                </c:pt>
                <c:pt idx="963">
                  <c:v>1213</c:v>
                </c:pt>
                <c:pt idx="964">
                  <c:v>1069</c:v>
                </c:pt>
                <c:pt idx="965">
                  <c:v>1660</c:v>
                </c:pt>
                <c:pt idx="966">
                  <c:v>1420</c:v>
                </c:pt>
                <c:pt idx="967">
                  <c:v>432</c:v>
                </c:pt>
                <c:pt idx="968">
                  <c:v>5074</c:v>
                </c:pt>
                <c:pt idx="969">
                  <c:v>2632</c:v>
                </c:pt>
                <c:pt idx="970">
                  <c:v>4905</c:v>
                </c:pt>
                <c:pt idx="971">
                  <c:v>1028</c:v>
                </c:pt>
                <c:pt idx="972">
                  <c:v>5127</c:v>
                </c:pt>
                <c:pt idx="973">
                  <c:v>3751</c:v>
                </c:pt>
                <c:pt idx="974">
                  <c:v>2202</c:v>
                </c:pt>
                <c:pt idx="975">
                  <c:v>263</c:v>
                </c:pt>
                <c:pt idx="976">
                  <c:v>3274</c:v>
                </c:pt>
                <c:pt idx="977">
                  <c:v>4106</c:v>
                </c:pt>
                <c:pt idx="978">
                  <c:v>1725</c:v>
                </c:pt>
                <c:pt idx="979">
                  <c:v>3710</c:v>
                </c:pt>
                <c:pt idx="980">
                  <c:v>4364</c:v>
                </c:pt>
                <c:pt idx="981">
                  <c:v>2755</c:v>
                </c:pt>
                <c:pt idx="982">
                  <c:v>4623</c:v>
                </c:pt>
                <c:pt idx="983">
                  <c:v>1650</c:v>
                </c:pt>
                <c:pt idx="984">
                  <c:v>747</c:v>
                </c:pt>
                <c:pt idx="985">
                  <c:v>1547</c:v>
                </c:pt>
                <c:pt idx="986">
                  <c:v>1828</c:v>
                </c:pt>
                <c:pt idx="987">
                  <c:v>251</c:v>
                </c:pt>
                <c:pt idx="988">
                  <c:v>3156</c:v>
                </c:pt>
                <c:pt idx="989">
                  <c:v>3378</c:v>
                </c:pt>
                <c:pt idx="990">
                  <c:v>4279</c:v>
                </c:pt>
                <c:pt idx="991">
                  <c:v>1029</c:v>
                </c:pt>
                <c:pt idx="992">
                  <c:v>4705</c:v>
                </c:pt>
                <c:pt idx="993">
                  <c:v>4210</c:v>
                </c:pt>
                <c:pt idx="994">
                  <c:v>2354</c:v>
                </c:pt>
                <c:pt idx="995">
                  <c:v>300</c:v>
                </c:pt>
                <c:pt idx="996">
                  <c:v>3127</c:v>
                </c:pt>
                <c:pt idx="997">
                  <c:v>4159</c:v>
                </c:pt>
                <c:pt idx="998">
                  <c:v>2158</c:v>
                </c:pt>
                <c:pt idx="999">
                  <c:v>3394</c:v>
                </c:pt>
                <c:pt idx="1000">
                  <c:v>869</c:v>
                </c:pt>
                <c:pt idx="1001">
                  <c:v>1335</c:v>
                </c:pt>
                <c:pt idx="1002">
                  <c:v>2513</c:v>
                </c:pt>
                <c:pt idx="1003">
                  <c:v>1992</c:v>
                </c:pt>
                <c:pt idx="1004">
                  <c:v>2234</c:v>
                </c:pt>
                <c:pt idx="1005">
                  <c:v>2482</c:v>
                </c:pt>
                <c:pt idx="1006">
                  <c:v>2009</c:v>
                </c:pt>
                <c:pt idx="1007">
                  <c:v>2587</c:v>
                </c:pt>
                <c:pt idx="1008">
                  <c:v>1855</c:v>
                </c:pt>
                <c:pt idx="1009">
                  <c:v>2846</c:v>
                </c:pt>
                <c:pt idx="1010">
                  <c:v>2006</c:v>
                </c:pt>
                <c:pt idx="1011">
                  <c:v>2711</c:v>
                </c:pt>
                <c:pt idx="1012">
                  <c:v>1339</c:v>
                </c:pt>
                <c:pt idx="1013">
                  <c:v>1810</c:v>
                </c:pt>
                <c:pt idx="1014">
                  <c:v>2554</c:v>
                </c:pt>
                <c:pt idx="1015">
                  <c:v>1185</c:v>
                </c:pt>
                <c:pt idx="1016">
                  <c:v>3175</c:v>
                </c:pt>
                <c:pt idx="1017">
                  <c:v>1141</c:v>
                </c:pt>
                <c:pt idx="1018">
                  <c:v>950</c:v>
                </c:pt>
                <c:pt idx="1019">
                  <c:v>2673</c:v>
                </c:pt>
                <c:pt idx="1020">
                  <c:v>1183</c:v>
                </c:pt>
                <c:pt idx="1021">
                  <c:v>1673</c:v>
                </c:pt>
                <c:pt idx="1022">
                  <c:v>3004</c:v>
                </c:pt>
                <c:pt idx="1023">
                  <c:v>1768</c:v>
                </c:pt>
                <c:pt idx="1024">
                  <c:v>2448</c:v>
                </c:pt>
                <c:pt idx="1025">
                  <c:v>3420</c:v>
                </c:pt>
                <c:pt idx="1026">
                  <c:v>2256</c:v>
                </c:pt>
                <c:pt idx="1027">
                  <c:v>3127</c:v>
                </c:pt>
                <c:pt idx="1028">
                  <c:v>2414</c:v>
                </c:pt>
                <c:pt idx="1029">
                  <c:v>2989</c:v>
                </c:pt>
                <c:pt idx="1030">
                  <c:v>2604</c:v>
                </c:pt>
                <c:pt idx="1031">
                  <c:v>2862</c:v>
                </c:pt>
                <c:pt idx="1032">
                  <c:v>3415</c:v>
                </c:pt>
                <c:pt idx="1033">
                  <c:v>942</c:v>
                </c:pt>
                <c:pt idx="1034">
                  <c:v>3615</c:v>
                </c:pt>
                <c:pt idx="1035">
                  <c:v>2207</c:v>
                </c:pt>
                <c:pt idx="1036">
                  <c:v>4028</c:v>
                </c:pt>
                <c:pt idx="1037">
                  <c:v>1963</c:v>
                </c:pt>
                <c:pt idx="1038">
                  <c:v>1451</c:v>
                </c:pt>
                <c:pt idx="1039">
                  <c:v>2610</c:v>
                </c:pt>
                <c:pt idx="1040">
                  <c:v>1802</c:v>
                </c:pt>
                <c:pt idx="1041">
                  <c:v>1925</c:v>
                </c:pt>
                <c:pt idx="1042">
                  <c:v>2529</c:v>
                </c:pt>
                <c:pt idx="1043">
                  <c:v>2660</c:v>
                </c:pt>
                <c:pt idx="1044">
                  <c:v>2510</c:v>
                </c:pt>
                <c:pt idx="1045">
                  <c:v>3398</c:v>
                </c:pt>
                <c:pt idx="1046">
                  <c:v>1818</c:v>
                </c:pt>
                <c:pt idx="1047">
                  <c:v>2134</c:v>
                </c:pt>
                <c:pt idx="1048">
                  <c:v>2598</c:v>
                </c:pt>
                <c:pt idx="1049">
                  <c:v>2966</c:v>
                </c:pt>
                <c:pt idx="1050">
                  <c:v>1485</c:v>
                </c:pt>
                <c:pt idx="1051">
                  <c:v>3950</c:v>
                </c:pt>
                <c:pt idx="1052">
                  <c:v>2146</c:v>
                </c:pt>
                <c:pt idx="1053">
                  <c:v>1726</c:v>
                </c:pt>
                <c:pt idx="1054">
                  <c:v>3127</c:v>
                </c:pt>
                <c:pt idx="1055">
                  <c:v>1078</c:v>
                </c:pt>
                <c:pt idx="1056">
                  <c:v>3393</c:v>
                </c:pt>
                <c:pt idx="1057">
                  <c:v>1173</c:v>
                </c:pt>
                <c:pt idx="1058">
                  <c:v>1116</c:v>
                </c:pt>
                <c:pt idx="1059">
                  <c:v>2715</c:v>
                </c:pt>
                <c:pt idx="1060">
                  <c:v>1121</c:v>
                </c:pt>
                <c:pt idx="1061">
                  <c:v>1555</c:v>
                </c:pt>
                <c:pt idx="1062">
                  <c:v>2937</c:v>
                </c:pt>
                <c:pt idx="1063">
                  <c:v>1388</c:v>
                </c:pt>
                <c:pt idx="1064">
                  <c:v>2444</c:v>
                </c:pt>
                <c:pt idx="1065">
                  <c:v>3008</c:v>
                </c:pt>
                <c:pt idx="1066">
                  <c:v>2179</c:v>
                </c:pt>
                <c:pt idx="1067">
                  <c:v>3575</c:v>
                </c:pt>
                <c:pt idx="1068">
                  <c:v>2792</c:v>
                </c:pt>
                <c:pt idx="1069">
                  <c:v>3264</c:v>
                </c:pt>
                <c:pt idx="1070">
                  <c:v>2496</c:v>
                </c:pt>
                <c:pt idx="1071">
                  <c:v>2525</c:v>
                </c:pt>
                <c:pt idx="1072">
                  <c:v>2971</c:v>
                </c:pt>
                <c:pt idx="1073">
                  <c:v>1012</c:v>
                </c:pt>
                <c:pt idx="1074">
                  <c:v>3374</c:v>
                </c:pt>
                <c:pt idx="1075">
                  <c:v>1721</c:v>
                </c:pt>
                <c:pt idx="1076">
                  <c:v>3349</c:v>
                </c:pt>
                <c:pt idx="1077">
                  <c:v>1657</c:v>
                </c:pt>
                <c:pt idx="1078">
                  <c:v>1195</c:v>
                </c:pt>
                <c:pt idx="1079">
                  <c:v>2465</c:v>
                </c:pt>
                <c:pt idx="1080">
                  <c:v>1613</c:v>
                </c:pt>
                <c:pt idx="1081">
                  <c:v>1772</c:v>
                </c:pt>
                <c:pt idx="1082">
                  <c:v>2514</c:v>
                </c:pt>
                <c:pt idx="1083">
                  <c:v>2609</c:v>
                </c:pt>
                <c:pt idx="1084">
                  <c:v>2410</c:v>
                </c:pt>
                <c:pt idx="1085">
                  <c:v>3085</c:v>
                </c:pt>
                <c:pt idx="1086">
                  <c:v>1690</c:v>
                </c:pt>
                <c:pt idx="1087">
                  <c:v>2011</c:v>
                </c:pt>
                <c:pt idx="1088">
                  <c:v>2989</c:v>
                </c:pt>
                <c:pt idx="1089">
                  <c:v>3319</c:v>
                </c:pt>
                <c:pt idx="1090">
                  <c:v>1821</c:v>
                </c:pt>
                <c:pt idx="1091">
                  <c:v>3895</c:v>
                </c:pt>
                <c:pt idx="1092">
                  <c:v>1893</c:v>
                </c:pt>
                <c:pt idx="1093">
                  <c:v>1932</c:v>
                </c:pt>
                <c:pt idx="1094">
                  <c:v>3133</c:v>
                </c:pt>
                <c:pt idx="1095">
                  <c:v>789</c:v>
                </c:pt>
                <c:pt idx="1096">
                  <c:v>3240</c:v>
                </c:pt>
                <c:pt idx="1097">
                  <c:v>1124</c:v>
                </c:pt>
                <c:pt idx="1098">
                  <c:v>1050</c:v>
                </c:pt>
                <c:pt idx="1099">
                  <c:v>2576</c:v>
                </c:pt>
                <c:pt idx="1100">
                  <c:v>1386</c:v>
                </c:pt>
                <c:pt idx="1101">
                  <c:v>1520</c:v>
                </c:pt>
                <c:pt idx="1102">
                  <c:v>2442</c:v>
                </c:pt>
                <c:pt idx="1103">
                  <c:v>2224</c:v>
                </c:pt>
                <c:pt idx="1104">
                  <c:v>2248</c:v>
                </c:pt>
                <c:pt idx="1105">
                  <c:v>2509</c:v>
                </c:pt>
                <c:pt idx="1106">
                  <c:v>1421</c:v>
                </c:pt>
                <c:pt idx="1107">
                  <c:v>1863</c:v>
                </c:pt>
                <c:pt idx="1108">
                  <c:v>2543</c:v>
                </c:pt>
                <c:pt idx="1109">
                  <c:v>2340</c:v>
                </c:pt>
                <c:pt idx="1110">
                  <c:v>2067</c:v>
                </c:pt>
                <c:pt idx="1111">
                  <c:v>3392</c:v>
                </c:pt>
                <c:pt idx="1112">
                  <c:v>1736</c:v>
                </c:pt>
                <c:pt idx="1113">
                  <c:v>1894</c:v>
                </c:pt>
                <c:pt idx="1114">
                  <c:v>2857</c:v>
                </c:pt>
                <c:pt idx="1115">
                  <c:v>470</c:v>
                </c:pt>
                <c:pt idx="1116">
                  <c:v>2848</c:v>
                </c:pt>
                <c:pt idx="1117">
                  <c:v>895</c:v>
                </c:pt>
                <c:pt idx="1118">
                  <c:v>1011</c:v>
                </c:pt>
                <c:pt idx="1119">
                  <c:v>2339</c:v>
                </c:pt>
                <c:pt idx="1120">
                  <c:v>872</c:v>
                </c:pt>
                <c:pt idx="1121">
                  <c:v>1348</c:v>
                </c:pt>
                <c:pt idx="1122">
                  <c:v>2560</c:v>
                </c:pt>
                <c:pt idx="1123">
                  <c:v>2082</c:v>
                </c:pt>
                <c:pt idx="1124">
                  <c:v>2246</c:v>
                </c:pt>
                <c:pt idx="1125">
                  <c:v>2525</c:v>
                </c:pt>
                <c:pt idx="1126">
                  <c:v>2056</c:v>
                </c:pt>
                <c:pt idx="1127">
                  <c:v>2614</c:v>
                </c:pt>
                <c:pt idx="1128">
                  <c:v>1886</c:v>
                </c:pt>
                <c:pt idx="1129">
                  <c:v>2456</c:v>
                </c:pt>
                <c:pt idx="1130">
                  <c:v>2051</c:v>
                </c:pt>
                <c:pt idx="1131">
                  <c:v>2776</c:v>
                </c:pt>
                <c:pt idx="1132">
                  <c:v>1427</c:v>
                </c:pt>
                <c:pt idx="1133">
                  <c:v>1797</c:v>
                </c:pt>
                <c:pt idx="1134">
                  <c:v>2597</c:v>
                </c:pt>
                <c:pt idx="1135">
                  <c:v>1319</c:v>
                </c:pt>
                <c:pt idx="1136">
                  <c:v>3273</c:v>
                </c:pt>
                <c:pt idx="1137">
                  <c:v>1155</c:v>
                </c:pt>
                <c:pt idx="1138">
                  <c:v>961</c:v>
                </c:pt>
                <c:pt idx="1139">
                  <c:v>2706</c:v>
                </c:pt>
                <c:pt idx="1140">
                  <c:v>987</c:v>
                </c:pt>
                <c:pt idx="1141">
                  <c:v>1425</c:v>
                </c:pt>
                <c:pt idx="1142">
                  <c:v>2879</c:v>
                </c:pt>
                <c:pt idx="1143">
                  <c:v>1000</c:v>
                </c:pt>
                <c:pt idx="1144">
                  <c:v>2371</c:v>
                </c:pt>
                <c:pt idx="1145">
                  <c:v>2448</c:v>
                </c:pt>
                <c:pt idx="1146">
                  <c:v>2130</c:v>
                </c:pt>
                <c:pt idx="1147">
                  <c:v>2612</c:v>
                </c:pt>
                <c:pt idx="1148">
                  <c:v>2028</c:v>
                </c:pt>
                <c:pt idx="1149">
                  <c:v>2173</c:v>
                </c:pt>
                <c:pt idx="1150">
                  <c:v>2189</c:v>
                </c:pt>
                <c:pt idx="1151">
                  <c:v>2344</c:v>
                </c:pt>
                <c:pt idx="1152">
                  <c:v>2403</c:v>
                </c:pt>
                <c:pt idx="1153">
                  <c:v>1277</c:v>
                </c:pt>
                <c:pt idx="1154">
                  <c:v>3129</c:v>
                </c:pt>
                <c:pt idx="1155">
                  <c:v>1441</c:v>
                </c:pt>
                <c:pt idx="1156">
                  <c:v>2781</c:v>
                </c:pt>
                <c:pt idx="1157">
                  <c:v>1391</c:v>
                </c:pt>
                <c:pt idx="1158">
                  <c:v>932</c:v>
                </c:pt>
                <c:pt idx="1159">
                  <c:v>2185</c:v>
                </c:pt>
                <c:pt idx="1160">
                  <c:v>1186</c:v>
                </c:pt>
                <c:pt idx="1161">
                  <c:v>1682</c:v>
                </c:pt>
                <c:pt idx="1162">
                  <c:v>3035</c:v>
                </c:pt>
                <c:pt idx="1163">
                  <c:v>1831</c:v>
                </c:pt>
                <c:pt idx="1164">
                  <c:v>2467</c:v>
                </c:pt>
                <c:pt idx="1165">
                  <c:v>3443</c:v>
                </c:pt>
                <c:pt idx="1166">
                  <c:v>2278</c:v>
                </c:pt>
                <c:pt idx="1167">
                  <c:v>3143</c:v>
                </c:pt>
                <c:pt idx="1168">
                  <c:v>2422</c:v>
                </c:pt>
                <c:pt idx="1169">
                  <c:v>3015</c:v>
                </c:pt>
                <c:pt idx="1170">
                  <c:v>2642</c:v>
                </c:pt>
                <c:pt idx="1171">
                  <c:v>2931</c:v>
                </c:pt>
                <c:pt idx="1172">
                  <c:v>3461</c:v>
                </c:pt>
                <c:pt idx="1173">
                  <c:v>953</c:v>
                </c:pt>
                <c:pt idx="1174">
                  <c:v>3645</c:v>
                </c:pt>
                <c:pt idx="1175">
                  <c:v>2374</c:v>
                </c:pt>
                <c:pt idx="1176">
                  <c:v>4206</c:v>
                </c:pt>
                <c:pt idx="1177">
                  <c:v>1990</c:v>
                </c:pt>
                <c:pt idx="1178">
                  <c:v>1549</c:v>
                </c:pt>
                <c:pt idx="1179">
                  <c:v>2643</c:v>
                </c:pt>
                <c:pt idx="1180">
                  <c:v>1029</c:v>
                </c:pt>
                <c:pt idx="1181">
                  <c:v>1505</c:v>
                </c:pt>
                <c:pt idx="1182">
                  <c:v>2524</c:v>
                </c:pt>
                <c:pt idx="1183">
                  <c:v>2315</c:v>
                </c:pt>
                <c:pt idx="1184">
                  <c:v>2337</c:v>
                </c:pt>
                <c:pt idx="1185">
                  <c:v>3027</c:v>
                </c:pt>
                <c:pt idx="1186">
                  <c:v>2146</c:v>
                </c:pt>
                <c:pt idx="1187">
                  <c:v>3386</c:v>
                </c:pt>
                <c:pt idx="1188">
                  <c:v>2739</c:v>
                </c:pt>
                <c:pt idx="1189">
                  <c:v>3842</c:v>
                </c:pt>
                <c:pt idx="1190">
                  <c:v>2113</c:v>
                </c:pt>
                <c:pt idx="1191">
                  <c:v>2899</c:v>
                </c:pt>
                <c:pt idx="1192">
                  <c:v>2090</c:v>
                </c:pt>
                <c:pt idx="1193">
                  <c:v>1523</c:v>
                </c:pt>
                <c:pt idx="1194">
                  <c:v>2692</c:v>
                </c:pt>
                <c:pt idx="1195">
                  <c:v>1635</c:v>
                </c:pt>
                <c:pt idx="1196">
                  <c:v>3869</c:v>
                </c:pt>
                <c:pt idx="1197">
                  <c:v>1337</c:v>
                </c:pt>
                <c:pt idx="1198">
                  <c:v>996</c:v>
                </c:pt>
                <c:pt idx="1199">
                  <c:v>2910</c:v>
                </c:pt>
                <c:pt idx="1200">
                  <c:v>1384</c:v>
                </c:pt>
                <c:pt idx="1201">
                  <c:v>1513</c:v>
                </c:pt>
                <c:pt idx="1202">
                  <c:v>2434</c:v>
                </c:pt>
                <c:pt idx="1203">
                  <c:v>2209</c:v>
                </c:pt>
                <c:pt idx="1204">
                  <c:v>2244</c:v>
                </c:pt>
                <c:pt idx="1205">
                  <c:v>2497</c:v>
                </c:pt>
                <c:pt idx="1206">
                  <c:v>1403</c:v>
                </c:pt>
                <c:pt idx="1207">
                  <c:v>2272</c:v>
                </c:pt>
                <c:pt idx="1208">
                  <c:v>2534</c:v>
                </c:pt>
                <c:pt idx="1209">
                  <c:v>2316</c:v>
                </c:pt>
                <c:pt idx="1210">
                  <c:v>2059</c:v>
                </c:pt>
                <c:pt idx="1211">
                  <c:v>3368</c:v>
                </c:pt>
                <c:pt idx="1212">
                  <c:v>1726</c:v>
                </c:pt>
                <c:pt idx="1213">
                  <c:v>1890</c:v>
                </c:pt>
                <c:pt idx="1214">
                  <c:v>2843</c:v>
                </c:pt>
                <c:pt idx="1215">
                  <c:v>446</c:v>
                </c:pt>
                <c:pt idx="1216">
                  <c:v>2832</c:v>
                </c:pt>
                <c:pt idx="1217">
                  <c:v>894</c:v>
                </c:pt>
                <c:pt idx="1218">
                  <c:v>1000</c:v>
                </c:pt>
                <c:pt idx="1219">
                  <c:v>2326</c:v>
                </c:pt>
                <c:pt idx="1220">
                  <c:v>1026</c:v>
                </c:pt>
                <c:pt idx="1221">
                  <c:v>1497</c:v>
                </c:pt>
                <c:pt idx="1222">
                  <c:v>2466</c:v>
                </c:pt>
                <c:pt idx="1223">
                  <c:v>2260</c:v>
                </c:pt>
                <c:pt idx="1224">
                  <c:v>2325</c:v>
                </c:pt>
                <c:pt idx="1225">
                  <c:v>3000</c:v>
                </c:pt>
                <c:pt idx="1226">
                  <c:v>2092</c:v>
                </c:pt>
                <c:pt idx="1227">
                  <c:v>2713</c:v>
                </c:pt>
                <c:pt idx="1228">
                  <c:v>2206</c:v>
                </c:pt>
                <c:pt idx="1229">
                  <c:v>3053</c:v>
                </c:pt>
                <c:pt idx="1230">
                  <c:v>1697</c:v>
                </c:pt>
                <c:pt idx="1231">
                  <c:v>2861</c:v>
                </c:pt>
                <c:pt idx="1232">
                  <c:v>1991</c:v>
                </c:pt>
                <c:pt idx="1233">
                  <c:v>1563</c:v>
                </c:pt>
                <c:pt idx="1234">
                  <c:v>2660</c:v>
                </c:pt>
                <c:pt idx="1235">
                  <c:v>1480</c:v>
                </c:pt>
                <c:pt idx="1236">
                  <c:v>3807</c:v>
                </c:pt>
                <c:pt idx="1237">
                  <c:v>1315</c:v>
                </c:pt>
                <c:pt idx="1238">
                  <c:v>983</c:v>
                </c:pt>
                <c:pt idx="1239">
                  <c:v>2889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6E-4B1A-9459-F1CBD8966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3219904"/>
        <c:axId val="1633216160"/>
      </c:lineChart>
      <c:catAx>
        <c:axId val="1633219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216160"/>
        <c:crosses val="autoZero"/>
        <c:auto val="1"/>
        <c:lblAlgn val="ctr"/>
        <c:lblOffset val="100"/>
        <c:noMultiLvlLbl val="0"/>
      </c:catAx>
      <c:valAx>
        <c:axId val="163321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21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870</xdr:row>
      <xdr:rowOff>123825</xdr:rowOff>
    </xdr:from>
    <xdr:to>
      <xdr:col>18</xdr:col>
      <xdr:colOff>0</xdr:colOff>
      <xdr:row>885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alyze_dssat_wheat/bin/Debug/output_all_farms_whe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_all_farms_wheat"/>
    </sheetNames>
    <sheetDataSet>
      <sheetData sheetId="0">
        <row r="1">
          <cell r="I1" t="str">
            <v>yield kg/ha</v>
          </cell>
        </row>
        <row r="2">
          <cell r="I2">
            <v>2284</v>
          </cell>
        </row>
        <row r="3">
          <cell r="I3">
            <v>3561</v>
          </cell>
          <cell r="AA3">
            <v>2001</v>
          </cell>
          <cell r="AB3">
            <v>2259</v>
          </cell>
          <cell r="AC3">
            <v>3793.1666666666665</v>
          </cell>
          <cell r="AF3">
            <v>1204.8333333333333</v>
          </cell>
        </row>
        <row r="4">
          <cell r="I4">
            <v>526</v>
          </cell>
          <cell r="AA4">
            <v>2002</v>
          </cell>
          <cell r="AB4">
            <v>3312.6</v>
          </cell>
          <cell r="AC4">
            <v>3576</v>
          </cell>
          <cell r="AF4">
            <v>1562.5</v>
          </cell>
        </row>
        <row r="5">
          <cell r="I5">
            <v>3358</v>
          </cell>
          <cell r="AA5">
            <v>2003</v>
          </cell>
          <cell r="AB5">
            <v>578</v>
          </cell>
          <cell r="AC5">
            <v>3971.1666666666665</v>
          </cell>
          <cell r="AF5">
            <v>2653.0833333333335</v>
          </cell>
        </row>
        <row r="6">
          <cell r="I6">
            <v>1583</v>
          </cell>
          <cell r="AA6">
            <v>2004</v>
          </cell>
          <cell r="AB6">
            <v>3753.8666666666668</v>
          </cell>
          <cell r="AC6">
            <v>3742.75</v>
          </cell>
          <cell r="AF6">
            <v>2028.1666666666667</v>
          </cell>
        </row>
        <row r="7">
          <cell r="I7">
            <v>4502</v>
          </cell>
          <cell r="AA7">
            <v>2005</v>
          </cell>
          <cell r="AB7">
            <v>1909.8</v>
          </cell>
          <cell r="AC7">
            <v>1858.8333333333333</v>
          </cell>
          <cell r="AF7">
            <v>2357</v>
          </cell>
        </row>
        <row r="8">
          <cell r="I8">
            <v>4220</v>
          </cell>
          <cell r="AA8">
            <v>2006</v>
          </cell>
          <cell r="AB8">
            <v>4520.4666666666662</v>
          </cell>
          <cell r="AC8">
            <v>1995.5833333333333</v>
          </cell>
          <cell r="AF8">
            <v>2903.5</v>
          </cell>
        </row>
        <row r="9">
          <cell r="I9">
            <v>3403</v>
          </cell>
          <cell r="AA9">
            <v>2007</v>
          </cell>
          <cell r="AB9">
            <v>4125</v>
          </cell>
          <cell r="AC9">
            <v>4346.916666666667</v>
          </cell>
          <cell r="AF9">
            <v>1956.5</v>
          </cell>
        </row>
        <row r="10">
          <cell r="I10">
            <v>3323</v>
          </cell>
          <cell r="AA10">
            <v>2008</v>
          </cell>
          <cell r="AB10">
            <v>3899.4666666666667</v>
          </cell>
          <cell r="AC10">
            <v>2136.6666666666665</v>
          </cell>
          <cell r="AF10">
            <v>2669.75</v>
          </cell>
        </row>
        <row r="11">
          <cell r="I11">
            <v>2584</v>
          </cell>
          <cell r="AA11">
            <v>2009</v>
          </cell>
          <cell r="AB11">
            <v>3687.8666666666668</v>
          </cell>
          <cell r="AC11">
            <v>4162.416666666667</v>
          </cell>
          <cell r="AF11">
            <v>2417.1666666666665</v>
          </cell>
        </row>
        <row r="12">
          <cell r="I12">
            <v>4133</v>
          </cell>
          <cell r="AA12">
            <v>2010</v>
          </cell>
          <cell r="AB12">
            <v>3316.7333333333331</v>
          </cell>
          <cell r="AC12">
            <v>2852.6666666666665</v>
          </cell>
          <cell r="AF12">
            <v>2881.5833333333335</v>
          </cell>
        </row>
        <row r="13">
          <cell r="I13">
            <v>2227</v>
          </cell>
          <cell r="AA13">
            <v>2011</v>
          </cell>
          <cell r="AB13">
            <v>3899.0666666666666</v>
          </cell>
          <cell r="AC13">
            <v>4237.5</v>
          </cell>
          <cell r="AF13">
            <v>2102.5</v>
          </cell>
        </row>
        <row r="14">
          <cell r="I14">
            <v>4802</v>
          </cell>
          <cell r="AA14">
            <v>2012</v>
          </cell>
          <cell r="AB14">
            <v>2072.1333333333332</v>
          </cell>
          <cell r="AC14">
            <v>1634.8333333333333</v>
          </cell>
          <cell r="AF14">
            <v>3042.8333333333335</v>
          </cell>
        </row>
        <row r="15">
          <cell r="I15">
            <v>3727</v>
          </cell>
          <cell r="AA15">
            <v>2013</v>
          </cell>
          <cell r="AB15">
            <v>4754.5333333333338</v>
          </cell>
          <cell r="AC15">
            <v>4746.416666666667</v>
          </cell>
          <cell r="AF15">
            <v>2216.5</v>
          </cell>
        </row>
        <row r="16">
          <cell r="I16">
            <v>4811</v>
          </cell>
          <cell r="AA16">
            <v>2014</v>
          </cell>
          <cell r="AB16">
            <v>3999.1333333333332</v>
          </cell>
          <cell r="AC16">
            <v>4413.666666666667</v>
          </cell>
          <cell r="AF16">
            <v>1526.5833333333333</v>
          </cell>
        </row>
        <row r="17">
          <cell r="I17">
            <v>3519</v>
          </cell>
          <cell r="AA17">
            <v>2015</v>
          </cell>
          <cell r="AB17">
            <v>4372</v>
          </cell>
          <cell r="AC17">
            <v>4824.666666666667</v>
          </cell>
          <cell r="AF17">
            <v>3018.8333333333335</v>
          </cell>
        </row>
        <row r="18">
          <cell r="I18">
            <v>4567</v>
          </cell>
          <cell r="AA18">
            <v>2016</v>
          </cell>
          <cell r="AB18">
            <v>3991.4</v>
          </cell>
          <cell r="AC18">
            <v>2098</v>
          </cell>
          <cell r="AF18">
            <v>1345.4166666666667</v>
          </cell>
        </row>
        <row r="19">
          <cell r="I19">
            <v>3803</v>
          </cell>
          <cell r="AA19">
            <v>2017</v>
          </cell>
          <cell r="AB19">
            <v>4958.6000000000004</v>
          </cell>
          <cell r="AC19">
            <v>4723.916666666667</v>
          </cell>
          <cell r="AF19">
            <v>3400.0833333333335</v>
          </cell>
        </row>
        <row r="20">
          <cell r="I20">
            <v>3564</v>
          </cell>
          <cell r="AA20">
            <v>2018</v>
          </cell>
          <cell r="AB20">
            <v>4174.6000000000004</v>
          </cell>
          <cell r="AC20">
            <v>2765.6666666666665</v>
          </cell>
          <cell r="AF20">
            <v>1336.25</v>
          </cell>
        </row>
        <row r="21">
          <cell r="I21">
            <v>3481</v>
          </cell>
          <cell r="AA21">
            <v>2019</v>
          </cell>
          <cell r="AB21">
            <v>2678.6</v>
          </cell>
          <cell r="AC21">
            <v>2789.5833333333335</v>
          </cell>
          <cell r="AF21">
            <v>1099.5</v>
          </cell>
        </row>
        <row r="22">
          <cell r="I22">
            <v>2284</v>
          </cell>
          <cell r="AA22">
            <v>2020</v>
          </cell>
          <cell r="AB22">
            <v>3502.4</v>
          </cell>
          <cell r="AC22">
            <v>2467.75</v>
          </cell>
          <cell r="AF22">
            <v>2586.4166666666665</v>
          </cell>
        </row>
        <row r="23">
          <cell r="I23">
            <v>3267</v>
          </cell>
        </row>
        <row r="24">
          <cell r="I24">
            <v>431</v>
          </cell>
        </row>
        <row r="25">
          <cell r="I25">
            <v>3961</v>
          </cell>
        </row>
        <row r="26">
          <cell r="I26">
            <v>2502</v>
          </cell>
        </row>
        <row r="27">
          <cell r="I27">
            <v>4581</v>
          </cell>
        </row>
        <row r="28">
          <cell r="I28">
            <v>4208</v>
          </cell>
        </row>
        <row r="29">
          <cell r="I29">
            <v>5057</v>
          </cell>
        </row>
        <row r="30">
          <cell r="I30">
            <v>4251</v>
          </cell>
        </row>
        <row r="31">
          <cell r="I31">
            <v>4163</v>
          </cell>
        </row>
        <row r="32">
          <cell r="I32">
            <v>4143</v>
          </cell>
        </row>
        <row r="33">
          <cell r="I33">
            <v>2237</v>
          </cell>
        </row>
        <row r="34">
          <cell r="I34">
            <v>4727</v>
          </cell>
        </row>
        <row r="35">
          <cell r="I35">
            <v>4376</v>
          </cell>
        </row>
        <row r="36">
          <cell r="I36">
            <v>4413</v>
          </cell>
        </row>
        <row r="37">
          <cell r="I37">
            <v>3882</v>
          </cell>
        </row>
        <row r="38">
          <cell r="I38">
            <v>5312</v>
          </cell>
        </row>
        <row r="39">
          <cell r="I39">
            <v>4874</v>
          </cell>
        </row>
        <row r="40">
          <cell r="I40">
            <v>2426</v>
          </cell>
        </row>
        <row r="41">
          <cell r="I41">
            <v>3375</v>
          </cell>
        </row>
        <row r="42">
          <cell r="I42">
            <v>2122</v>
          </cell>
        </row>
        <row r="43">
          <cell r="I43">
            <v>3298</v>
          </cell>
        </row>
        <row r="44">
          <cell r="I44">
            <v>462</v>
          </cell>
        </row>
        <row r="45">
          <cell r="I45">
            <v>3330</v>
          </cell>
        </row>
        <row r="46">
          <cell r="I46">
            <v>1478</v>
          </cell>
        </row>
        <row r="47">
          <cell r="I47">
            <v>4492</v>
          </cell>
        </row>
        <row r="48">
          <cell r="I48">
            <v>4006</v>
          </cell>
        </row>
        <row r="49">
          <cell r="I49">
            <v>3345</v>
          </cell>
        </row>
        <row r="50">
          <cell r="I50">
            <v>4067</v>
          </cell>
        </row>
        <row r="51">
          <cell r="I51">
            <v>2717</v>
          </cell>
        </row>
        <row r="52">
          <cell r="I52">
            <v>3829</v>
          </cell>
        </row>
        <row r="53">
          <cell r="I53">
            <v>2025</v>
          </cell>
        </row>
        <row r="54">
          <cell r="I54">
            <v>4779</v>
          </cell>
        </row>
        <row r="55">
          <cell r="I55">
            <v>3428</v>
          </cell>
        </row>
        <row r="56">
          <cell r="I56">
            <v>4404</v>
          </cell>
        </row>
        <row r="57">
          <cell r="I57">
            <v>3411</v>
          </cell>
        </row>
        <row r="58">
          <cell r="I58">
            <v>4416</v>
          </cell>
        </row>
        <row r="59">
          <cell r="I59">
            <v>3736</v>
          </cell>
        </row>
        <row r="60">
          <cell r="I60">
            <v>3284</v>
          </cell>
        </row>
        <row r="61">
          <cell r="I61">
            <v>3430</v>
          </cell>
        </row>
        <row r="62">
          <cell r="I62">
            <v>2282</v>
          </cell>
        </row>
        <row r="63">
          <cell r="I63">
            <v>3431</v>
          </cell>
        </row>
        <row r="64">
          <cell r="I64">
            <v>455</v>
          </cell>
        </row>
        <row r="65">
          <cell r="I65">
            <v>3359</v>
          </cell>
        </row>
        <row r="66">
          <cell r="I66">
            <v>1670</v>
          </cell>
        </row>
        <row r="67">
          <cell r="I67">
            <v>4488</v>
          </cell>
        </row>
        <row r="68">
          <cell r="I68">
            <v>4221</v>
          </cell>
        </row>
        <row r="69">
          <cell r="I69">
            <v>3425</v>
          </cell>
        </row>
        <row r="70">
          <cell r="I70">
            <v>3321</v>
          </cell>
        </row>
        <row r="71">
          <cell r="I71">
            <v>3302</v>
          </cell>
        </row>
        <row r="72">
          <cell r="I72">
            <v>4086</v>
          </cell>
        </row>
        <row r="73">
          <cell r="I73">
            <v>1836</v>
          </cell>
        </row>
        <row r="74">
          <cell r="I74">
            <v>4795</v>
          </cell>
        </row>
        <row r="75">
          <cell r="I75">
            <v>3756</v>
          </cell>
        </row>
        <row r="76">
          <cell r="I76">
            <v>4730</v>
          </cell>
        </row>
        <row r="77">
          <cell r="I77">
            <v>3613</v>
          </cell>
        </row>
        <row r="78">
          <cell r="I78">
            <v>4577</v>
          </cell>
        </row>
        <row r="79">
          <cell r="I79">
            <v>3256</v>
          </cell>
        </row>
        <row r="80">
          <cell r="I80">
            <v>2721</v>
          </cell>
        </row>
        <row r="81">
          <cell r="I81">
            <v>3402</v>
          </cell>
        </row>
        <row r="82">
          <cell r="I82">
            <v>2388</v>
          </cell>
        </row>
        <row r="83">
          <cell r="I83">
            <v>3645</v>
          </cell>
        </row>
        <row r="84">
          <cell r="I84">
            <v>562</v>
          </cell>
        </row>
        <row r="85">
          <cell r="I85">
            <v>3363</v>
          </cell>
        </row>
        <row r="86">
          <cell r="I86">
            <v>1643</v>
          </cell>
        </row>
        <row r="87">
          <cell r="I87">
            <v>4493</v>
          </cell>
        </row>
        <row r="88">
          <cell r="I88">
            <v>4216</v>
          </cell>
        </row>
        <row r="89">
          <cell r="I89">
            <v>3427</v>
          </cell>
        </row>
        <row r="90">
          <cell r="I90">
            <v>3342</v>
          </cell>
        </row>
        <row r="91">
          <cell r="I91">
            <v>3360</v>
          </cell>
        </row>
        <row r="92">
          <cell r="I92">
            <v>4325</v>
          </cell>
        </row>
        <row r="93">
          <cell r="I93">
            <v>2243</v>
          </cell>
        </row>
        <row r="94">
          <cell r="I94">
            <v>4811</v>
          </cell>
        </row>
        <row r="95">
          <cell r="I95">
            <v>3780</v>
          </cell>
        </row>
        <row r="96">
          <cell r="I96">
            <v>4893</v>
          </cell>
        </row>
        <row r="97">
          <cell r="I97">
            <v>3645</v>
          </cell>
        </row>
        <row r="98">
          <cell r="I98">
            <v>4593</v>
          </cell>
        </row>
        <row r="99">
          <cell r="I99">
            <v>3814</v>
          </cell>
        </row>
        <row r="100">
          <cell r="I100">
            <v>3486</v>
          </cell>
        </row>
        <row r="101">
          <cell r="I101">
            <v>3455</v>
          </cell>
        </row>
        <row r="102">
          <cell r="I102">
            <v>2635</v>
          </cell>
        </row>
        <row r="103">
          <cell r="I103">
            <v>3382</v>
          </cell>
        </row>
        <row r="104">
          <cell r="I104">
            <v>1213</v>
          </cell>
        </row>
        <row r="105">
          <cell r="I105">
            <v>4383</v>
          </cell>
        </row>
        <row r="106">
          <cell r="I106">
            <v>2094</v>
          </cell>
        </row>
        <row r="107">
          <cell r="I107">
            <v>4521</v>
          </cell>
        </row>
        <row r="108">
          <cell r="I108">
            <v>3993</v>
          </cell>
        </row>
        <row r="109">
          <cell r="I109">
            <v>4229</v>
          </cell>
        </row>
        <row r="110">
          <cell r="I110">
            <v>3734</v>
          </cell>
        </row>
        <row r="111">
          <cell r="I111">
            <v>3867</v>
          </cell>
        </row>
        <row r="112">
          <cell r="I112">
            <v>4226</v>
          </cell>
        </row>
        <row r="113">
          <cell r="I113">
            <v>2046</v>
          </cell>
        </row>
        <row r="114">
          <cell r="I114">
            <v>4775</v>
          </cell>
        </row>
        <row r="115">
          <cell r="I115">
            <v>4568</v>
          </cell>
        </row>
        <row r="116">
          <cell r="I116">
            <v>3967</v>
          </cell>
        </row>
        <row r="117">
          <cell r="I117">
            <v>5198</v>
          </cell>
        </row>
        <row r="118">
          <cell r="I118">
            <v>5775</v>
          </cell>
        </row>
        <row r="119">
          <cell r="I119">
            <v>4897</v>
          </cell>
        </row>
        <row r="120">
          <cell r="I120">
            <v>2646</v>
          </cell>
        </row>
        <row r="121">
          <cell r="I121">
            <v>3899</v>
          </cell>
        </row>
        <row r="122">
          <cell r="I122">
            <v>2281</v>
          </cell>
        </row>
        <row r="123">
          <cell r="I123">
            <v>3420</v>
          </cell>
        </row>
        <row r="124">
          <cell r="I124">
            <v>451</v>
          </cell>
        </row>
        <row r="125">
          <cell r="I125">
            <v>3358</v>
          </cell>
        </row>
        <row r="126">
          <cell r="I126">
            <v>1653</v>
          </cell>
        </row>
        <row r="127">
          <cell r="I127">
            <v>4483</v>
          </cell>
        </row>
        <row r="128">
          <cell r="I128">
            <v>4220</v>
          </cell>
        </row>
        <row r="129">
          <cell r="I129">
            <v>3421</v>
          </cell>
        </row>
        <row r="130">
          <cell r="I130">
            <v>3310</v>
          </cell>
        </row>
        <row r="131">
          <cell r="I131">
            <v>2653</v>
          </cell>
        </row>
        <row r="132">
          <cell r="I132">
            <v>3340</v>
          </cell>
        </row>
        <row r="133">
          <cell r="I133">
            <v>1812</v>
          </cell>
        </row>
        <row r="134">
          <cell r="I134">
            <v>4794</v>
          </cell>
        </row>
        <row r="135">
          <cell r="I135">
            <v>3748</v>
          </cell>
        </row>
        <row r="136">
          <cell r="I136">
            <v>4703</v>
          </cell>
        </row>
        <row r="137">
          <cell r="I137">
            <v>3595</v>
          </cell>
        </row>
        <row r="138">
          <cell r="I138">
            <v>4576</v>
          </cell>
        </row>
        <row r="139">
          <cell r="I139">
            <v>3250</v>
          </cell>
        </row>
        <row r="140">
          <cell r="I140">
            <v>2709</v>
          </cell>
        </row>
        <row r="141">
          <cell r="I141">
            <v>3398</v>
          </cell>
        </row>
        <row r="142">
          <cell r="I142">
            <v>2283</v>
          </cell>
        </row>
        <row r="143">
          <cell r="I143">
            <v>3343</v>
          </cell>
        </row>
        <row r="144">
          <cell r="I144">
            <v>400</v>
          </cell>
        </row>
        <row r="145">
          <cell r="I145">
            <v>3959</v>
          </cell>
        </row>
        <row r="146">
          <cell r="I146">
            <v>2359</v>
          </cell>
        </row>
        <row r="147">
          <cell r="I147">
            <v>4581</v>
          </cell>
        </row>
        <row r="148">
          <cell r="I148">
            <v>4191</v>
          </cell>
        </row>
        <row r="149">
          <cell r="I149">
            <v>4024</v>
          </cell>
        </row>
        <row r="150">
          <cell r="I150">
            <v>3418</v>
          </cell>
        </row>
        <row r="151">
          <cell r="I151">
            <v>4087</v>
          </cell>
        </row>
        <row r="152">
          <cell r="I152">
            <v>4241</v>
          </cell>
        </row>
        <row r="153">
          <cell r="I153">
            <v>2394</v>
          </cell>
        </row>
        <row r="154">
          <cell r="I154">
            <v>4733</v>
          </cell>
        </row>
        <row r="155">
          <cell r="I155">
            <v>4307</v>
          </cell>
        </row>
        <row r="156">
          <cell r="I156">
            <v>4346</v>
          </cell>
        </row>
        <row r="157">
          <cell r="I157">
            <v>3879</v>
          </cell>
        </row>
        <row r="158">
          <cell r="I158">
            <v>5280</v>
          </cell>
        </row>
        <row r="159">
          <cell r="I159">
            <v>4964</v>
          </cell>
        </row>
        <row r="160">
          <cell r="I160">
            <v>2359</v>
          </cell>
        </row>
        <row r="161">
          <cell r="I161">
            <v>3508</v>
          </cell>
        </row>
        <row r="162">
          <cell r="I162">
            <v>2283</v>
          </cell>
        </row>
        <row r="163">
          <cell r="I163">
            <v>3255</v>
          </cell>
        </row>
        <row r="164">
          <cell r="I164">
            <v>423</v>
          </cell>
        </row>
        <row r="165">
          <cell r="I165">
            <v>3961</v>
          </cell>
        </row>
        <row r="166">
          <cell r="I166">
            <v>2479</v>
          </cell>
        </row>
        <row r="167">
          <cell r="I167">
            <v>4579</v>
          </cell>
        </row>
        <row r="168">
          <cell r="I168">
            <v>4198</v>
          </cell>
        </row>
        <row r="169">
          <cell r="I169">
            <v>4049</v>
          </cell>
        </row>
        <row r="170">
          <cell r="I170">
            <v>3384</v>
          </cell>
        </row>
        <row r="171">
          <cell r="I171">
            <v>3348</v>
          </cell>
        </row>
        <row r="172">
          <cell r="I172">
            <v>3367</v>
          </cell>
        </row>
        <row r="173">
          <cell r="I173">
            <v>2218</v>
          </cell>
        </row>
        <row r="174">
          <cell r="I174">
            <v>4729</v>
          </cell>
        </row>
        <row r="175">
          <cell r="I175">
            <v>4360</v>
          </cell>
        </row>
        <row r="176">
          <cell r="I176">
            <v>4386</v>
          </cell>
        </row>
        <row r="177">
          <cell r="I177">
            <v>3876</v>
          </cell>
        </row>
        <row r="178">
          <cell r="I178">
            <v>5309</v>
          </cell>
        </row>
        <row r="179">
          <cell r="I179">
            <v>4866</v>
          </cell>
        </row>
        <row r="180">
          <cell r="I180">
            <v>2406</v>
          </cell>
        </row>
        <row r="181">
          <cell r="I181">
            <v>3352</v>
          </cell>
        </row>
        <row r="182">
          <cell r="I182">
            <v>2377</v>
          </cell>
        </row>
        <row r="183">
          <cell r="I183">
            <v>3108</v>
          </cell>
        </row>
        <row r="184">
          <cell r="I184">
            <v>1281</v>
          </cell>
        </row>
        <row r="185">
          <cell r="I185">
            <v>4368</v>
          </cell>
        </row>
        <row r="186">
          <cell r="I186">
            <v>2096</v>
          </cell>
        </row>
        <row r="187">
          <cell r="I187">
            <v>4516</v>
          </cell>
        </row>
        <row r="188">
          <cell r="I188">
            <v>3965</v>
          </cell>
        </row>
        <row r="189">
          <cell r="I189">
            <v>4225</v>
          </cell>
        </row>
        <row r="190">
          <cell r="I190">
            <v>4637</v>
          </cell>
        </row>
        <row r="191">
          <cell r="I191">
            <v>3373</v>
          </cell>
        </row>
        <row r="192">
          <cell r="I192">
            <v>4094</v>
          </cell>
        </row>
        <row r="193">
          <cell r="I193">
            <v>2050</v>
          </cell>
        </row>
        <row r="194">
          <cell r="I194">
            <v>4765</v>
          </cell>
        </row>
        <row r="195">
          <cell r="I195">
            <v>4523</v>
          </cell>
        </row>
        <row r="196">
          <cell r="I196">
            <v>3903</v>
          </cell>
        </row>
        <row r="197">
          <cell r="I197">
            <v>5184</v>
          </cell>
        </row>
        <row r="198">
          <cell r="I198">
            <v>5662</v>
          </cell>
        </row>
        <row r="199">
          <cell r="I199">
            <v>4802</v>
          </cell>
        </row>
        <row r="200">
          <cell r="I200">
            <v>2624</v>
          </cell>
        </row>
        <row r="201">
          <cell r="I201">
            <v>3771</v>
          </cell>
        </row>
        <row r="202">
          <cell r="I202">
            <v>2122</v>
          </cell>
        </row>
        <row r="203">
          <cell r="I203">
            <v>3093</v>
          </cell>
        </row>
        <row r="204">
          <cell r="I204">
            <v>393</v>
          </cell>
        </row>
        <row r="205">
          <cell r="I205">
            <v>3337</v>
          </cell>
        </row>
        <row r="206">
          <cell r="I206">
            <v>1521</v>
          </cell>
        </row>
        <row r="207">
          <cell r="I207">
            <v>4462</v>
          </cell>
        </row>
        <row r="208">
          <cell r="I208">
            <v>4073</v>
          </cell>
        </row>
        <row r="209">
          <cell r="I209">
            <v>3351</v>
          </cell>
        </row>
        <row r="210">
          <cell r="I210">
            <v>3244</v>
          </cell>
        </row>
        <row r="211">
          <cell r="I211">
            <v>2360</v>
          </cell>
        </row>
        <row r="212">
          <cell r="I212">
            <v>3070</v>
          </cell>
        </row>
        <row r="213">
          <cell r="I213">
            <v>1650</v>
          </cell>
        </row>
        <row r="214">
          <cell r="I214">
            <v>4771</v>
          </cell>
        </row>
        <row r="215">
          <cell r="I215">
            <v>3533</v>
          </cell>
        </row>
        <row r="216">
          <cell r="I216">
            <v>4239</v>
          </cell>
        </row>
        <row r="217">
          <cell r="I217">
            <v>3512</v>
          </cell>
        </row>
        <row r="218">
          <cell r="I218">
            <v>4495</v>
          </cell>
        </row>
        <row r="219">
          <cell r="I219">
            <v>3133</v>
          </cell>
        </row>
        <row r="220">
          <cell r="I220">
            <v>2505</v>
          </cell>
        </row>
        <row r="221">
          <cell r="I221">
            <v>3402</v>
          </cell>
        </row>
        <row r="222">
          <cell r="I222">
            <v>1825</v>
          </cell>
        </row>
        <row r="223">
          <cell r="I223">
            <v>3060</v>
          </cell>
        </row>
        <row r="224">
          <cell r="I224">
            <v>235</v>
          </cell>
        </row>
        <row r="225">
          <cell r="I225">
            <v>3913</v>
          </cell>
        </row>
        <row r="226">
          <cell r="I226">
            <v>1927</v>
          </cell>
        </row>
        <row r="227">
          <cell r="I227">
            <v>4565</v>
          </cell>
        </row>
        <row r="228">
          <cell r="I228">
            <v>4028</v>
          </cell>
        </row>
        <row r="229">
          <cell r="I229">
            <v>3922</v>
          </cell>
        </row>
        <row r="230">
          <cell r="I230">
            <v>4157</v>
          </cell>
        </row>
        <row r="231">
          <cell r="I231">
            <v>3338</v>
          </cell>
        </row>
        <row r="232">
          <cell r="I232">
            <v>3690</v>
          </cell>
        </row>
        <row r="233">
          <cell r="I233">
            <v>2306</v>
          </cell>
        </row>
        <row r="234">
          <cell r="I234">
            <v>4687</v>
          </cell>
        </row>
        <row r="235">
          <cell r="I235">
            <v>3804</v>
          </cell>
        </row>
        <row r="236">
          <cell r="I236">
            <v>3887</v>
          </cell>
        </row>
        <row r="237">
          <cell r="I237">
            <v>3794</v>
          </cell>
        </row>
        <row r="238">
          <cell r="I238">
            <v>4939</v>
          </cell>
        </row>
        <row r="239">
          <cell r="I239">
            <v>4512</v>
          </cell>
        </row>
        <row r="240">
          <cell r="I240">
            <v>2046</v>
          </cell>
        </row>
        <row r="241">
          <cell r="I241">
            <v>3509</v>
          </cell>
        </row>
        <row r="242">
          <cell r="I242">
            <v>2047</v>
          </cell>
        </row>
        <row r="243">
          <cell r="I243">
            <v>2986</v>
          </cell>
        </row>
        <row r="244">
          <cell r="I244">
            <v>938</v>
          </cell>
        </row>
        <row r="245">
          <cell r="I245">
            <v>4335</v>
          </cell>
        </row>
        <row r="246">
          <cell r="I246">
            <v>1456</v>
          </cell>
        </row>
        <row r="247">
          <cell r="I247">
            <v>4517</v>
          </cell>
        </row>
        <row r="248">
          <cell r="I248">
            <v>3926</v>
          </cell>
        </row>
        <row r="249">
          <cell r="I249">
            <v>4119</v>
          </cell>
        </row>
        <row r="250">
          <cell r="I250">
            <v>3575</v>
          </cell>
        </row>
        <row r="251">
          <cell r="I251">
            <v>3013</v>
          </cell>
        </row>
        <row r="252">
          <cell r="I252">
            <v>3527</v>
          </cell>
        </row>
        <row r="253">
          <cell r="I253">
            <v>1984</v>
          </cell>
        </row>
        <row r="254">
          <cell r="I254">
            <v>4611</v>
          </cell>
        </row>
        <row r="255">
          <cell r="I255">
            <v>3949</v>
          </cell>
        </row>
        <row r="256">
          <cell r="I256">
            <v>3711</v>
          </cell>
        </row>
        <row r="257">
          <cell r="I257">
            <v>5170</v>
          </cell>
        </row>
        <row r="258">
          <cell r="I258">
            <v>4971</v>
          </cell>
        </row>
        <row r="259">
          <cell r="I259">
            <v>4592</v>
          </cell>
        </row>
        <row r="260">
          <cell r="I260">
            <v>2250</v>
          </cell>
        </row>
        <row r="261">
          <cell r="I261">
            <v>3832</v>
          </cell>
        </row>
        <row r="262">
          <cell r="I262">
            <v>2283</v>
          </cell>
        </row>
        <row r="263">
          <cell r="I263">
            <v>3255</v>
          </cell>
        </row>
        <row r="264">
          <cell r="I264">
            <v>423</v>
          </cell>
        </row>
        <row r="265">
          <cell r="I265">
            <v>3961</v>
          </cell>
        </row>
        <row r="266">
          <cell r="I266">
            <v>2482</v>
          </cell>
        </row>
        <row r="267">
          <cell r="I267">
            <v>4578</v>
          </cell>
        </row>
        <row r="268">
          <cell r="I268">
            <v>4196</v>
          </cell>
        </row>
        <row r="269">
          <cell r="I269">
            <v>5043</v>
          </cell>
        </row>
        <row r="270">
          <cell r="I270">
            <v>4248</v>
          </cell>
        </row>
        <row r="271">
          <cell r="I271">
            <v>4133</v>
          </cell>
        </row>
        <row r="272">
          <cell r="I272">
            <v>4115</v>
          </cell>
        </row>
        <row r="273">
          <cell r="I273">
            <v>2217</v>
          </cell>
        </row>
        <row r="274">
          <cell r="I274">
            <v>4730</v>
          </cell>
        </row>
        <row r="275">
          <cell r="I275">
            <v>4358</v>
          </cell>
        </row>
        <row r="276">
          <cell r="I276">
            <v>4386</v>
          </cell>
        </row>
        <row r="277">
          <cell r="I277">
            <v>3879</v>
          </cell>
        </row>
        <row r="278">
          <cell r="I278">
            <v>5309</v>
          </cell>
        </row>
        <row r="279">
          <cell r="I279">
            <v>4865</v>
          </cell>
        </row>
        <row r="280">
          <cell r="I280">
            <v>2405</v>
          </cell>
        </row>
        <row r="281">
          <cell r="I281">
            <v>3350</v>
          </cell>
        </row>
        <row r="282">
          <cell r="I282">
            <v>2389</v>
          </cell>
        </row>
        <row r="283">
          <cell r="I283">
            <v>3585</v>
          </cell>
        </row>
        <row r="284">
          <cell r="I284">
            <v>477</v>
          </cell>
        </row>
        <row r="285">
          <cell r="I285">
            <v>3362</v>
          </cell>
        </row>
        <row r="286">
          <cell r="I286">
            <v>1704</v>
          </cell>
        </row>
        <row r="287">
          <cell r="I287">
            <v>4449</v>
          </cell>
        </row>
        <row r="288">
          <cell r="I288">
            <v>4214</v>
          </cell>
        </row>
        <row r="289">
          <cell r="I289">
            <v>3452</v>
          </cell>
        </row>
        <row r="290">
          <cell r="I290">
            <v>3307</v>
          </cell>
        </row>
        <row r="291">
          <cell r="I291">
            <v>3453</v>
          </cell>
        </row>
        <row r="292">
          <cell r="I292">
            <v>4300</v>
          </cell>
        </row>
        <row r="293">
          <cell r="I293">
            <v>1837</v>
          </cell>
        </row>
        <row r="294">
          <cell r="I294">
            <v>4809</v>
          </cell>
        </row>
        <row r="295">
          <cell r="I295">
            <v>3770</v>
          </cell>
        </row>
        <row r="296">
          <cell r="I296">
            <v>4801</v>
          </cell>
        </row>
        <row r="297">
          <cell r="I297">
            <v>3714</v>
          </cell>
        </row>
        <row r="298">
          <cell r="I298">
            <v>4598</v>
          </cell>
        </row>
        <row r="299">
          <cell r="I299">
            <v>3255</v>
          </cell>
        </row>
        <row r="300">
          <cell r="I300">
            <v>2748</v>
          </cell>
        </row>
        <row r="301">
          <cell r="I301">
            <v>3372</v>
          </cell>
        </row>
        <row r="302">
          <cell r="I302">
            <v>3915</v>
          </cell>
        </row>
        <row r="303">
          <cell r="I303">
            <v>3180</v>
          </cell>
        </row>
        <row r="304">
          <cell r="I304">
            <v>4510</v>
          </cell>
        </row>
        <row r="305">
          <cell r="I305">
            <v>3803</v>
          </cell>
        </row>
        <row r="306">
          <cell r="I306">
            <v>2203</v>
          </cell>
        </row>
        <row r="307">
          <cell r="I307">
            <v>2369</v>
          </cell>
        </row>
        <row r="308">
          <cell r="I308">
            <v>4004</v>
          </cell>
        </row>
        <row r="309">
          <cell r="I309">
            <v>2952</v>
          </cell>
        </row>
        <row r="310">
          <cell r="I310">
            <v>5609</v>
          </cell>
        </row>
        <row r="311">
          <cell r="I311">
            <v>3961</v>
          </cell>
        </row>
        <row r="312">
          <cell r="I312">
            <v>4490</v>
          </cell>
        </row>
        <row r="313">
          <cell r="I313">
            <v>1450</v>
          </cell>
        </row>
        <row r="314">
          <cell r="I314">
            <v>4487</v>
          </cell>
        </row>
        <row r="315">
          <cell r="I315">
            <v>5087</v>
          </cell>
        </row>
        <row r="316">
          <cell r="I316">
            <v>5131</v>
          </cell>
        </row>
        <row r="317">
          <cell r="I317">
            <v>2512</v>
          </cell>
        </row>
        <row r="318">
          <cell r="I318">
            <v>5495</v>
          </cell>
        </row>
        <row r="319">
          <cell r="I319">
            <v>3422</v>
          </cell>
        </row>
        <row r="320">
          <cell r="I320">
            <v>2344</v>
          </cell>
        </row>
        <row r="321">
          <cell r="I321">
            <v>2584</v>
          </cell>
        </row>
        <row r="322">
          <cell r="I322">
            <v>3588</v>
          </cell>
        </row>
        <row r="323">
          <cell r="I323">
            <v>3242</v>
          </cell>
        </row>
        <row r="324">
          <cell r="I324">
            <v>3243</v>
          </cell>
        </row>
        <row r="325">
          <cell r="I325">
            <v>3101</v>
          </cell>
        </row>
        <row r="326">
          <cell r="I326">
            <v>2735</v>
          </cell>
        </row>
        <row r="327">
          <cell r="I327">
            <v>1805</v>
          </cell>
        </row>
        <row r="328">
          <cell r="I328">
            <v>4599</v>
          </cell>
        </row>
        <row r="329">
          <cell r="I329">
            <v>2297</v>
          </cell>
        </row>
        <row r="330">
          <cell r="I330">
            <v>4508</v>
          </cell>
        </row>
        <row r="331">
          <cell r="I331">
            <v>1323</v>
          </cell>
        </row>
        <row r="332">
          <cell r="I332">
            <v>4685</v>
          </cell>
        </row>
        <row r="333">
          <cell r="I333">
            <v>3288</v>
          </cell>
        </row>
        <row r="334">
          <cell r="I334">
            <v>4754</v>
          </cell>
        </row>
        <row r="335">
          <cell r="I335">
            <v>3657</v>
          </cell>
        </row>
        <row r="336">
          <cell r="I336">
            <v>5016</v>
          </cell>
        </row>
        <row r="337">
          <cell r="I337">
            <v>1764</v>
          </cell>
        </row>
        <row r="338">
          <cell r="I338">
            <v>4900</v>
          </cell>
        </row>
        <row r="339">
          <cell r="I339">
            <v>2081</v>
          </cell>
        </row>
        <row r="340">
          <cell r="I340">
            <v>4239</v>
          </cell>
        </row>
        <row r="341">
          <cell r="I341">
            <v>2502</v>
          </cell>
        </row>
        <row r="342">
          <cell r="I342">
            <v>3798</v>
          </cell>
        </row>
        <row r="343">
          <cell r="I343">
            <v>2931</v>
          </cell>
        </row>
        <row r="344">
          <cell r="I344">
            <v>3402</v>
          </cell>
        </row>
        <row r="345">
          <cell r="I345">
            <v>3606</v>
          </cell>
        </row>
        <row r="346">
          <cell r="I346">
            <v>927</v>
          </cell>
        </row>
        <row r="347">
          <cell r="I347">
            <v>2029</v>
          </cell>
        </row>
        <row r="348">
          <cell r="I348">
            <v>3972</v>
          </cell>
        </row>
        <row r="349">
          <cell r="I349">
            <v>1466</v>
          </cell>
        </row>
        <row r="350">
          <cell r="I350">
            <v>3345</v>
          </cell>
        </row>
        <row r="351">
          <cell r="I351">
            <v>3184</v>
          </cell>
        </row>
        <row r="352">
          <cell r="I352">
            <v>3787</v>
          </cell>
        </row>
        <row r="353">
          <cell r="I353">
            <v>577</v>
          </cell>
        </row>
        <row r="354">
          <cell r="I354">
            <v>4435</v>
          </cell>
        </row>
        <row r="355">
          <cell r="I355">
            <v>4155</v>
          </cell>
        </row>
        <row r="356">
          <cell r="I356">
            <v>3575</v>
          </cell>
        </row>
        <row r="357">
          <cell r="I357">
            <v>2145</v>
          </cell>
        </row>
        <row r="358">
          <cell r="I358">
            <v>3766</v>
          </cell>
        </row>
        <row r="359">
          <cell r="I359">
            <v>3361</v>
          </cell>
        </row>
        <row r="360">
          <cell r="I360">
            <v>1503</v>
          </cell>
        </row>
        <row r="361">
          <cell r="I361">
            <v>2463</v>
          </cell>
        </row>
        <row r="362">
          <cell r="I362">
            <v>3906</v>
          </cell>
        </row>
        <row r="363">
          <cell r="I363">
            <v>3429</v>
          </cell>
        </row>
        <row r="364">
          <cell r="I364">
            <v>3821</v>
          </cell>
        </row>
        <row r="365">
          <cell r="I365">
            <v>3816</v>
          </cell>
        </row>
        <row r="366">
          <cell r="I366">
            <v>1064</v>
          </cell>
        </row>
        <row r="367">
          <cell r="I367">
            <v>2090</v>
          </cell>
        </row>
        <row r="368">
          <cell r="I368">
            <v>4069</v>
          </cell>
        </row>
        <row r="369">
          <cell r="I369">
            <v>1623</v>
          </cell>
        </row>
        <row r="370">
          <cell r="I370">
            <v>3376</v>
          </cell>
        </row>
        <row r="371">
          <cell r="I371">
            <v>3706</v>
          </cell>
        </row>
        <row r="372">
          <cell r="I372">
            <v>4342</v>
          </cell>
        </row>
        <row r="373">
          <cell r="I373">
            <v>575</v>
          </cell>
        </row>
        <row r="374">
          <cell r="I374">
            <v>4489</v>
          </cell>
        </row>
        <row r="375">
          <cell r="I375">
            <v>4925</v>
          </cell>
        </row>
        <row r="376">
          <cell r="I376">
            <v>3833</v>
          </cell>
        </row>
        <row r="377">
          <cell r="I377">
            <v>2191</v>
          </cell>
        </row>
        <row r="378">
          <cell r="I378">
            <v>3996</v>
          </cell>
        </row>
        <row r="379">
          <cell r="I379">
            <v>3425</v>
          </cell>
        </row>
        <row r="380">
          <cell r="I380">
            <v>1717</v>
          </cell>
        </row>
        <row r="381">
          <cell r="I381">
            <v>2480</v>
          </cell>
        </row>
        <row r="382">
          <cell r="I382">
            <v>3950</v>
          </cell>
        </row>
        <row r="383">
          <cell r="I383">
            <v>3705</v>
          </cell>
        </row>
        <row r="384">
          <cell r="I384">
            <v>4242</v>
          </cell>
        </row>
        <row r="385">
          <cell r="I385">
            <v>3987</v>
          </cell>
        </row>
        <row r="386">
          <cell r="I386">
            <v>1237</v>
          </cell>
        </row>
        <row r="387">
          <cell r="I387">
            <v>2145</v>
          </cell>
        </row>
        <row r="388">
          <cell r="I388">
            <v>4176</v>
          </cell>
        </row>
        <row r="389">
          <cell r="I389">
            <v>2101</v>
          </cell>
        </row>
        <row r="390">
          <cell r="I390">
            <v>4262</v>
          </cell>
        </row>
        <row r="391">
          <cell r="I391">
            <v>4544</v>
          </cell>
        </row>
        <row r="392">
          <cell r="I392">
            <v>4901</v>
          </cell>
        </row>
        <row r="393">
          <cell r="I393">
            <v>631</v>
          </cell>
        </row>
        <row r="394">
          <cell r="I394">
            <v>4489</v>
          </cell>
        </row>
        <row r="395">
          <cell r="I395">
            <v>5052</v>
          </cell>
        </row>
        <row r="396">
          <cell r="I396">
            <v>4209</v>
          </cell>
        </row>
        <row r="397">
          <cell r="I397">
            <v>2282</v>
          </cell>
        </row>
        <row r="398">
          <cell r="I398">
            <v>4051</v>
          </cell>
        </row>
        <row r="399">
          <cell r="I399">
            <v>3436</v>
          </cell>
        </row>
        <row r="400">
          <cell r="I400">
            <v>1994</v>
          </cell>
        </row>
        <row r="401">
          <cell r="I401">
            <v>2502</v>
          </cell>
        </row>
        <row r="402">
          <cell r="I402">
            <v>3955</v>
          </cell>
        </row>
        <row r="403">
          <cell r="I403">
            <v>3592</v>
          </cell>
        </row>
        <row r="404">
          <cell r="I404">
            <v>4974</v>
          </cell>
        </row>
        <row r="405">
          <cell r="I405">
            <v>3998</v>
          </cell>
        </row>
        <row r="406">
          <cell r="I406">
            <v>2431</v>
          </cell>
        </row>
        <row r="407">
          <cell r="I407">
            <v>2458</v>
          </cell>
        </row>
        <row r="408">
          <cell r="I408">
            <v>4119</v>
          </cell>
        </row>
        <row r="409">
          <cell r="I409">
            <v>2458</v>
          </cell>
        </row>
        <row r="410">
          <cell r="I410">
            <v>4494</v>
          </cell>
        </row>
        <row r="411">
          <cell r="I411">
            <v>3703</v>
          </cell>
        </row>
        <row r="412">
          <cell r="I412">
            <v>4896</v>
          </cell>
        </row>
        <row r="413">
          <cell r="I413">
            <v>1705</v>
          </cell>
        </row>
        <row r="414">
          <cell r="I414">
            <v>4489</v>
          </cell>
        </row>
        <row r="415">
          <cell r="I415">
            <v>5233</v>
          </cell>
        </row>
        <row r="416">
          <cell r="I416">
            <v>5537</v>
          </cell>
        </row>
        <row r="417">
          <cell r="I417">
            <v>2635</v>
          </cell>
        </row>
        <row r="418">
          <cell r="I418">
            <v>5586</v>
          </cell>
        </row>
        <row r="419">
          <cell r="I419">
            <v>3435</v>
          </cell>
        </row>
        <row r="420">
          <cell r="I420">
            <v>2830</v>
          </cell>
        </row>
        <row r="421">
          <cell r="I421">
            <v>2602</v>
          </cell>
        </row>
        <row r="422">
          <cell r="I422">
            <v>3568</v>
          </cell>
        </row>
        <row r="423">
          <cell r="I423">
            <v>3648</v>
          </cell>
        </row>
        <row r="424">
          <cell r="I424">
            <v>3661</v>
          </cell>
        </row>
        <row r="425">
          <cell r="I425">
            <v>4003</v>
          </cell>
        </row>
        <row r="426">
          <cell r="I426">
            <v>1321</v>
          </cell>
        </row>
        <row r="427">
          <cell r="I427">
            <v>1806</v>
          </cell>
        </row>
        <row r="428">
          <cell r="I428">
            <v>4657</v>
          </cell>
        </row>
        <row r="429">
          <cell r="I429">
            <v>1917</v>
          </cell>
        </row>
        <row r="430">
          <cell r="I430">
            <v>3685</v>
          </cell>
        </row>
        <row r="431">
          <cell r="I431">
            <v>2274</v>
          </cell>
        </row>
        <row r="432">
          <cell r="I432">
            <v>3019</v>
          </cell>
        </row>
        <row r="433">
          <cell r="I433">
            <v>1138</v>
          </cell>
        </row>
        <row r="434">
          <cell r="I434">
            <v>5379</v>
          </cell>
        </row>
        <row r="435">
          <cell r="I435">
            <v>3153</v>
          </cell>
        </row>
        <row r="436">
          <cell r="I436">
            <v>4965</v>
          </cell>
        </row>
        <row r="437">
          <cell r="I437">
            <v>1836</v>
          </cell>
        </row>
        <row r="438">
          <cell r="I438">
            <v>5063</v>
          </cell>
        </row>
        <row r="439">
          <cell r="I439">
            <v>2099</v>
          </cell>
        </row>
        <row r="440">
          <cell r="I440">
            <v>2635</v>
          </cell>
        </row>
        <row r="441">
          <cell r="I441">
            <v>2139</v>
          </cell>
        </row>
        <row r="442">
          <cell r="I442">
            <v>3954</v>
          </cell>
        </row>
        <row r="443">
          <cell r="I443">
            <v>3711</v>
          </cell>
        </row>
        <row r="444">
          <cell r="I444">
            <v>4244</v>
          </cell>
        </row>
        <row r="445">
          <cell r="I445">
            <v>3979</v>
          </cell>
        </row>
        <row r="446">
          <cell r="I446">
            <v>1246</v>
          </cell>
        </row>
        <row r="447">
          <cell r="I447">
            <v>2147</v>
          </cell>
        </row>
        <row r="448">
          <cell r="I448">
            <v>4114</v>
          </cell>
        </row>
        <row r="449">
          <cell r="I449">
            <v>1677</v>
          </cell>
        </row>
        <row r="450">
          <cell r="I450">
            <v>3409</v>
          </cell>
        </row>
        <row r="451">
          <cell r="I451">
            <v>3673</v>
          </cell>
        </row>
        <row r="452">
          <cell r="I452">
            <v>3928</v>
          </cell>
        </row>
        <row r="453">
          <cell r="I453">
            <v>650</v>
          </cell>
        </row>
        <row r="454">
          <cell r="I454">
            <v>4489</v>
          </cell>
        </row>
        <row r="455">
          <cell r="I455">
            <v>5056</v>
          </cell>
        </row>
        <row r="456">
          <cell r="I456">
            <v>4187</v>
          </cell>
        </row>
        <row r="457">
          <cell r="I457">
            <v>2287</v>
          </cell>
        </row>
        <row r="458">
          <cell r="I458">
            <v>4047</v>
          </cell>
        </row>
        <row r="459">
          <cell r="I459">
            <v>3435</v>
          </cell>
        </row>
        <row r="460">
          <cell r="I460">
            <v>1972</v>
          </cell>
        </row>
        <row r="461">
          <cell r="I461">
            <v>2494</v>
          </cell>
        </row>
        <row r="462">
          <cell r="I462">
            <v>3704</v>
          </cell>
        </row>
        <row r="463">
          <cell r="I463">
            <v>3805</v>
          </cell>
        </row>
        <row r="464">
          <cell r="I464">
            <v>3848</v>
          </cell>
        </row>
        <row r="465">
          <cell r="I465">
            <v>3441</v>
          </cell>
        </row>
        <row r="466">
          <cell r="I466">
            <v>2201</v>
          </cell>
        </row>
        <row r="467">
          <cell r="I467">
            <v>1613</v>
          </cell>
        </row>
        <row r="468">
          <cell r="I468">
            <v>4659</v>
          </cell>
        </row>
        <row r="469">
          <cell r="I469">
            <v>2320</v>
          </cell>
        </row>
        <row r="470">
          <cell r="I470">
            <v>4490</v>
          </cell>
        </row>
        <row r="471">
          <cell r="I471">
            <v>1730</v>
          </cell>
        </row>
        <row r="472">
          <cell r="I472">
            <v>3896</v>
          </cell>
        </row>
        <row r="473">
          <cell r="I473">
            <v>2039</v>
          </cell>
        </row>
        <row r="474">
          <cell r="I474">
            <v>4847</v>
          </cell>
        </row>
        <row r="475">
          <cell r="I475">
            <v>3575</v>
          </cell>
        </row>
        <row r="476">
          <cell r="I476">
            <v>5401</v>
          </cell>
        </row>
        <row r="477">
          <cell r="I477">
            <v>1890</v>
          </cell>
        </row>
        <row r="478">
          <cell r="I478">
            <v>4885</v>
          </cell>
        </row>
        <row r="479">
          <cell r="I479">
            <v>2189</v>
          </cell>
        </row>
        <row r="480">
          <cell r="I480">
            <v>3661</v>
          </cell>
        </row>
        <row r="481">
          <cell r="I481">
            <v>2551</v>
          </cell>
        </row>
        <row r="482">
          <cell r="I482">
            <v>3752</v>
          </cell>
        </row>
        <row r="483">
          <cell r="I483">
            <v>3978</v>
          </cell>
        </row>
        <row r="484">
          <cell r="I484">
            <v>3957</v>
          </cell>
        </row>
        <row r="485">
          <cell r="I485">
            <v>3494</v>
          </cell>
        </row>
        <row r="486">
          <cell r="I486">
            <v>2940</v>
          </cell>
        </row>
        <row r="487">
          <cell r="I487">
            <v>1816</v>
          </cell>
        </row>
        <row r="488">
          <cell r="I488">
            <v>4597</v>
          </cell>
        </row>
        <row r="489">
          <cell r="I489">
            <v>2390</v>
          </cell>
        </row>
        <row r="490">
          <cell r="I490">
            <v>4533</v>
          </cell>
        </row>
        <row r="491">
          <cell r="I491">
            <v>1814</v>
          </cell>
        </row>
        <row r="492">
          <cell r="I492">
            <v>4876</v>
          </cell>
        </row>
        <row r="493">
          <cell r="I493">
            <v>3514</v>
          </cell>
        </row>
        <row r="494">
          <cell r="I494">
            <v>4845</v>
          </cell>
        </row>
        <row r="495">
          <cell r="I495">
            <v>4902</v>
          </cell>
        </row>
        <row r="496">
          <cell r="I496">
            <v>5462</v>
          </cell>
        </row>
        <row r="497">
          <cell r="I497">
            <v>1921</v>
          </cell>
        </row>
        <row r="498">
          <cell r="I498">
            <v>4909</v>
          </cell>
        </row>
        <row r="499">
          <cell r="I499">
            <v>2112</v>
          </cell>
        </row>
        <row r="500">
          <cell r="I500">
            <v>4083</v>
          </cell>
        </row>
        <row r="501">
          <cell r="I501">
            <v>2583</v>
          </cell>
        </row>
        <row r="502">
          <cell r="I502">
            <v>3672</v>
          </cell>
        </row>
        <row r="503">
          <cell r="I503">
            <v>3652</v>
          </cell>
        </row>
        <row r="504">
          <cell r="I504">
            <v>3619</v>
          </cell>
        </row>
        <row r="505">
          <cell r="I505">
            <v>3323</v>
          </cell>
        </row>
        <row r="506">
          <cell r="I506">
            <v>2484</v>
          </cell>
        </row>
        <row r="507">
          <cell r="I507">
            <v>1788</v>
          </cell>
        </row>
        <row r="508">
          <cell r="I508">
            <v>4459</v>
          </cell>
        </row>
        <row r="509">
          <cell r="I509">
            <v>2368</v>
          </cell>
        </row>
        <row r="510">
          <cell r="I510">
            <v>4521</v>
          </cell>
        </row>
        <row r="511">
          <cell r="I511">
            <v>1552</v>
          </cell>
        </row>
        <row r="512">
          <cell r="I512">
            <v>4732</v>
          </cell>
        </row>
        <row r="513">
          <cell r="I513">
            <v>2821</v>
          </cell>
        </row>
        <row r="514">
          <cell r="I514">
            <v>4829</v>
          </cell>
        </row>
        <row r="515">
          <cell r="I515">
            <v>4423</v>
          </cell>
        </row>
        <row r="516">
          <cell r="I516">
            <v>5024</v>
          </cell>
        </row>
        <row r="517">
          <cell r="I517">
            <v>1846</v>
          </cell>
        </row>
        <row r="518">
          <cell r="I518">
            <v>4901</v>
          </cell>
        </row>
        <row r="519">
          <cell r="I519">
            <v>2076</v>
          </cell>
        </row>
        <row r="520">
          <cell r="I520">
            <v>3776</v>
          </cell>
        </row>
        <row r="521">
          <cell r="I521">
            <v>2523</v>
          </cell>
        </row>
        <row r="522">
          <cell r="I522">
            <v>3756</v>
          </cell>
        </row>
        <row r="523">
          <cell r="I523">
            <v>4039</v>
          </cell>
        </row>
        <row r="524">
          <cell r="I524">
            <v>4133</v>
          </cell>
        </row>
        <row r="525">
          <cell r="I525">
            <v>4362</v>
          </cell>
        </row>
        <row r="526">
          <cell r="I526">
            <v>1517</v>
          </cell>
        </row>
        <row r="527">
          <cell r="I527">
            <v>1881</v>
          </cell>
        </row>
        <row r="528">
          <cell r="I528">
            <v>4738</v>
          </cell>
        </row>
        <row r="529">
          <cell r="I529">
            <v>2071</v>
          </cell>
        </row>
        <row r="530">
          <cell r="I530">
            <v>3717</v>
          </cell>
        </row>
        <row r="531">
          <cell r="I531">
            <v>2768</v>
          </cell>
        </row>
        <row r="532">
          <cell r="I532">
            <v>3298</v>
          </cell>
        </row>
        <row r="533">
          <cell r="I533">
            <v>1230</v>
          </cell>
        </row>
        <row r="534">
          <cell r="I534">
            <v>5425</v>
          </cell>
        </row>
        <row r="535">
          <cell r="I535">
            <v>3746</v>
          </cell>
        </row>
        <row r="536">
          <cell r="I536">
            <v>5556</v>
          </cell>
        </row>
        <row r="537">
          <cell r="I537">
            <v>1867</v>
          </cell>
        </row>
        <row r="538">
          <cell r="I538">
            <v>5088</v>
          </cell>
        </row>
        <row r="539">
          <cell r="I539">
            <v>2117</v>
          </cell>
        </row>
        <row r="540">
          <cell r="I540">
            <v>2721</v>
          </cell>
        </row>
        <row r="541">
          <cell r="I541">
            <v>2190</v>
          </cell>
        </row>
        <row r="542">
          <cell r="I542">
            <v>2708</v>
          </cell>
        </row>
        <row r="543">
          <cell r="I543">
            <v>3169</v>
          </cell>
        </row>
        <row r="544">
          <cell r="I544">
            <v>3978</v>
          </cell>
        </row>
        <row r="545">
          <cell r="I545">
            <v>3315</v>
          </cell>
        </row>
        <row r="546">
          <cell r="I546">
            <v>1772</v>
          </cell>
        </row>
        <row r="547">
          <cell r="I547">
            <v>3942</v>
          </cell>
        </row>
        <row r="548">
          <cell r="I548">
            <v>3120</v>
          </cell>
        </row>
        <row r="549">
          <cell r="I549">
            <v>1289</v>
          </cell>
        </row>
        <row r="550">
          <cell r="I550">
            <v>3647</v>
          </cell>
        </row>
        <row r="551">
          <cell r="I551">
            <v>4736</v>
          </cell>
        </row>
        <row r="552">
          <cell r="I552">
            <v>4910</v>
          </cell>
        </row>
        <row r="553">
          <cell r="I553">
            <v>67</v>
          </cell>
        </row>
        <row r="554">
          <cell r="I554">
            <v>4989</v>
          </cell>
        </row>
        <row r="555">
          <cell r="I555">
            <v>3916</v>
          </cell>
        </row>
        <row r="556">
          <cell r="I556">
            <v>1942</v>
          </cell>
        </row>
        <row r="557">
          <cell r="I557">
            <v>3906</v>
          </cell>
        </row>
        <row r="558">
          <cell r="I558">
            <v>3441</v>
          </cell>
        </row>
        <row r="559">
          <cell r="I559">
            <v>3715</v>
          </cell>
        </row>
        <row r="560">
          <cell r="I560">
            <v>1380</v>
          </cell>
        </row>
        <row r="561">
          <cell r="I561">
            <v>2112</v>
          </cell>
        </row>
        <row r="562">
          <cell r="I562">
            <v>2481</v>
          </cell>
        </row>
        <row r="563">
          <cell r="I563">
            <v>2398</v>
          </cell>
        </row>
        <row r="564">
          <cell r="I564">
            <v>3366</v>
          </cell>
        </row>
        <row r="565">
          <cell r="I565">
            <v>3222</v>
          </cell>
        </row>
        <row r="566">
          <cell r="I566">
            <v>2214</v>
          </cell>
        </row>
        <row r="567">
          <cell r="I567">
            <v>4033</v>
          </cell>
        </row>
        <row r="568">
          <cell r="I568">
            <v>2909</v>
          </cell>
        </row>
        <row r="569">
          <cell r="I569">
            <v>1641</v>
          </cell>
        </row>
        <row r="570">
          <cell r="I570">
            <v>4183</v>
          </cell>
        </row>
        <row r="571">
          <cell r="I571">
            <v>3732</v>
          </cell>
        </row>
        <row r="572">
          <cell r="I572">
            <v>4561</v>
          </cell>
        </row>
        <row r="573">
          <cell r="I573">
            <v>93</v>
          </cell>
        </row>
        <row r="574">
          <cell r="I574">
            <v>4245</v>
          </cell>
        </row>
        <row r="575">
          <cell r="I575">
            <v>3829</v>
          </cell>
        </row>
        <row r="576">
          <cell r="I576">
            <v>2544</v>
          </cell>
        </row>
        <row r="577">
          <cell r="I577">
            <v>3305</v>
          </cell>
        </row>
        <row r="578">
          <cell r="I578">
            <v>4846</v>
          </cell>
        </row>
        <row r="579">
          <cell r="I579">
            <v>3824</v>
          </cell>
        </row>
        <row r="580">
          <cell r="I580">
            <v>1387</v>
          </cell>
        </row>
        <row r="581">
          <cell r="I581">
            <v>1856</v>
          </cell>
        </row>
        <row r="582">
          <cell r="I582">
            <v>2708</v>
          </cell>
        </row>
        <row r="583">
          <cell r="I583">
            <v>3046</v>
          </cell>
        </row>
        <row r="584">
          <cell r="I584">
            <v>3973</v>
          </cell>
        </row>
        <row r="585">
          <cell r="I585">
            <v>3069</v>
          </cell>
        </row>
        <row r="586">
          <cell r="I586">
            <v>1652</v>
          </cell>
        </row>
        <row r="587">
          <cell r="I587">
            <v>3934</v>
          </cell>
        </row>
        <row r="588">
          <cell r="I588">
            <v>2897</v>
          </cell>
        </row>
        <row r="589">
          <cell r="I589">
            <v>1273</v>
          </cell>
        </row>
        <row r="590">
          <cell r="I590">
            <v>2899</v>
          </cell>
        </row>
        <row r="591">
          <cell r="I591">
            <v>4722</v>
          </cell>
        </row>
        <row r="592">
          <cell r="I592">
            <v>4760</v>
          </cell>
        </row>
        <row r="593">
          <cell r="I593">
            <v>53</v>
          </cell>
        </row>
        <row r="594">
          <cell r="I594">
            <v>4980</v>
          </cell>
        </row>
        <row r="595">
          <cell r="I595">
            <v>3841</v>
          </cell>
        </row>
        <row r="596">
          <cell r="I596">
            <v>1639</v>
          </cell>
        </row>
        <row r="597">
          <cell r="I597">
            <v>3821</v>
          </cell>
        </row>
        <row r="598">
          <cell r="I598">
            <v>3524</v>
          </cell>
        </row>
        <row r="599">
          <cell r="I599">
            <v>3481</v>
          </cell>
        </row>
        <row r="600">
          <cell r="I600">
            <v>1339</v>
          </cell>
        </row>
        <row r="601">
          <cell r="I601">
            <v>2072</v>
          </cell>
        </row>
        <row r="602">
          <cell r="I602">
            <v>2708</v>
          </cell>
        </row>
        <row r="603">
          <cell r="I603">
            <v>2951</v>
          </cell>
        </row>
        <row r="604">
          <cell r="I604">
            <v>3973</v>
          </cell>
        </row>
        <row r="605">
          <cell r="I605">
            <v>3001</v>
          </cell>
        </row>
        <row r="606">
          <cell r="I606">
            <v>1568</v>
          </cell>
        </row>
        <row r="607">
          <cell r="I607">
            <v>3894</v>
          </cell>
        </row>
        <row r="608">
          <cell r="I608">
            <v>2693</v>
          </cell>
        </row>
        <row r="609">
          <cell r="I609">
            <v>1250</v>
          </cell>
        </row>
        <row r="610">
          <cell r="I610">
            <v>2869</v>
          </cell>
        </row>
        <row r="611">
          <cell r="I611">
            <v>3776</v>
          </cell>
        </row>
        <row r="612">
          <cell r="I612">
            <v>4648</v>
          </cell>
        </row>
        <row r="613">
          <cell r="I613">
            <v>34</v>
          </cell>
        </row>
        <row r="614">
          <cell r="I614">
            <v>4973</v>
          </cell>
        </row>
        <row r="615">
          <cell r="I615">
            <v>3718</v>
          </cell>
        </row>
        <row r="616">
          <cell r="I616">
            <v>1338</v>
          </cell>
        </row>
        <row r="617">
          <cell r="I617">
            <v>3697</v>
          </cell>
        </row>
        <row r="618">
          <cell r="I618">
            <v>3516</v>
          </cell>
        </row>
        <row r="619">
          <cell r="I619">
            <v>3225</v>
          </cell>
        </row>
        <row r="620">
          <cell r="I620">
            <v>1295</v>
          </cell>
        </row>
        <row r="621">
          <cell r="I621">
            <v>2015</v>
          </cell>
        </row>
        <row r="622">
          <cell r="I622">
            <v>2134</v>
          </cell>
        </row>
        <row r="623">
          <cell r="I623">
            <v>1920</v>
          </cell>
        </row>
        <row r="624">
          <cell r="I624">
            <v>3117</v>
          </cell>
        </row>
        <row r="625">
          <cell r="I625">
            <v>2894</v>
          </cell>
        </row>
        <row r="626">
          <cell r="I626">
            <v>1953</v>
          </cell>
        </row>
        <row r="627">
          <cell r="I627">
            <v>3922</v>
          </cell>
        </row>
        <row r="628">
          <cell r="I628">
            <v>3091</v>
          </cell>
        </row>
        <row r="629">
          <cell r="I629">
            <v>2063</v>
          </cell>
        </row>
        <row r="630">
          <cell r="I630">
            <v>3075</v>
          </cell>
        </row>
        <row r="631">
          <cell r="I631">
            <v>2874</v>
          </cell>
        </row>
        <row r="632">
          <cell r="I632">
            <v>4153</v>
          </cell>
        </row>
        <row r="633">
          <cell r="I633">
            <v>283</v>
          </cell>
        </row>
        <row r="634">
          <cell r="I634">
            <v>4576</v>
          </cell>
        </row>
        <row r="635">
          <cell r="I635">
            <v>3382</v>
          </cell>
        </row>
        <row r="636">
          <cell r="I636">
            <v>3184</v>
          </cell>
        </row>
        <row r="637">
          <cell r="I637">
            <v>2965</v>
          </cell>
        </row>
        <row r="638">
          <cell r="I638">
            <v>4719</v>
          </cell>
        </row>
        <row r="639">
          <cell r="I639">
            <v>3653</v>
          </cell>
        </row>
        <row r="640">
          <cell r="I640">
            <v>2298</v>
          </cell>
        </row>
        <row r="641">
          <cell r="I641">
            <v>2393</v>
          </cell>
        </row>
        <row r="642">
          <cell r="I642">
            <v>2482</v>
          </cell>
        </row>
        <row r="643">
          <cell r="I643">
            <v>2382</v>
          </cell>
        </row>
        <row r="644">
          <cell r="I644">
            <v>3366</v>
          </cell>
        </row>
        <row r="645">
          <cell r="I645">
            <v>3237</v>
          </cell>
        </row>
        <row r="646">
          <cell r="I646">
            <v>2177</v>
          </cell>
        </row>
        <row r="647">
          <cell r="I647">
            <v>4034</v>
          </cell>
        </row>
        <row r="648">
          <cell r="I648">
            <v>2879</v>
          </cell>
        </row>
        <row r="649">
          <cell r="I649">
            <v>1633</v>
          </cell>
        </row>
        <row r="650">
          <cell r="I650">
            <v>3326</v>
          </cell>
        </row>
        <row r="651">
          <cell r="I651">
            <v>2981</v>
          </cell>
        </row>
        <row r="652">
          <cell r="I652">
            <v>3653</v>
          </cell>
        </row>
        <row r="653">
          <cell r="I653">
            <v>88</v>
          </cell>
        </row>
        <row r="654">
          <cell r="I654">
            <v>4245</v>
          </cell>
        </row>
        <row r="655">
          <cell r="I655">
            <v>3796</v>
          </cell>
        </row>
        <row r="656">
          <cell r="I656">
            <v>2471</v>
          </cell>
        </row>
        <row r="657">
          <cell r="I657">
            <v>3271</v>
          </cell>
        </row>
        <row r="658">
          <cell r="I658">
            <v>4803</v>
          </cell>
        </row>
        <row r="659">
          <cell r="I659">
            <v>3793</v>
          </cell>
        </row>
        <row r="660">
          <cell r="I660">
            <v>1363</v>
          </cell>
        </row>
        <row r="661">
          <cell r="I661">
            <v>1856</v>
          </cell>
        </row>
        <row r="662">
          <cell r="I662">
            <v>2481</v>
          </cell>
        </row>
        <row r="663">
          <cell r="I663">
            <v>2470</v>
          </cell>
        </row>
        <row r="664">
          <cell r="I664">
            <v>3367</v>
          </cell>
        </row>
        <row r="665">
          <cell r="I665">
            <v>3239</v>
          </cell>
        </row>
        <row r="666">
          <cell r="I666">
            <v>2308</v>
          </cell>
        </row>
        <row r="667">
          <cell r="I667">
            <v>4034</v>
          </cell>
        </row>
        <row r="668">
          <cell r="I668">
            <v>3030</v>
          </cell>
        </row>
        <row r="669">
          <cell r="I669">
            <v>1672</v>
          </cell>
        </row>
        <row r="670">
          <cell r="I670">
            <v>3375</v>
          </cell>
        </row>
        <row r="671">
          <cell r="I671">
            <v>3746</v>
          </cell>
        </row>
        <row r="672">
          <cell r="I672">
            <v>4560</v>
          </cell>
        </row>
        <row r="673">
          <cell r="I673">
            <v>118</v>
          </cell>
        </row>
        <row r="674">
          <cell r="I674">
            <v>4245</v>
          </cell>
        </row>
        <row r="675">
          <cell r="I675">
            <v>3891</v>
          </cell>
        </row>
        <row r="676">
          <cell r="I676">
            <v>2740</v>
          </cell>
        </row>
        <row r="677">
          <cell r="I677">
            <v>3407</v>
          </cell>
        </row>
        <row r="678">
          <cell r="I678">
            <v>4958</v>
          </cell>
        </row>
        <row r="679">
          <cell r="I679">
            <v>3891</v>
          </cell>
        </row>
        <row r="680">
          <cell r="I680">
            <v>1446</v>
          </cell>
        </row>
        <row r="681">
          <cell r="I681">
            <v>1870</v>
          </cell>
        </row>
        <row r="682">
          <cell r="I682">
            <v>2482</v>
          </cell>
        </row>
        <row r="683">
          <cell r="I683">
            <v>2482</v>
          </cell>
        </row>
        <row r="684">
          <cell r="I684">
            <v>3367</v>
          </cell>
        </row>
        <row r="685">
          <cell r="I685">
            <v>3248</v>
          </cell>
        </row>
        <row r="686">
          <cell r="I686">
            <v>2298</v>
          </cell>
        </row>
        <row r="687">
          <cell r="I687">
            <v>4035</v>
          </cell>
        </row>
        <row r="688">
          <cell r="I688">
            <v>3037</v>
          </cell>
        </row>
        <row r="689">
          <cell r="I689">
            <v>1672</v>
          </cell>
        </row>
        <row r="690">
          <cell r="I690">
            <v>3366</v>
          </cell>
        </row>
        <row r="691">
          <cell r="I691">
            <v>3746</v>
          </cell>
        </row>
        <row r="692">
          <cell r="I692">
            <v>4565</v>
          </cell>
        </row>
        <row r="693">
          <cell r="I693">
            <v>130</v>
          </cell>
        </row>
        <row r="694">
          <cell r="I694">
            <v>4245</v>
          </cell>
        </row>
        <row r="695">
          <cell r="I695">
            <v>3891</v>
          </cell>
        </row>
        <row r="696">
          <cell r="I696">
            <v>2743</v>
          </cell>
        </row>
        <row r="697">
          <cell r="I697">
            <v>3409</v>
          </cell>
        </row>
        <row r="698">
          <cell r="I698">
            <v>4954</v>
          </cell>
        </row>
        <row r="699">
          <cell r="I699">
            <v>3888</v>
          </cell>
        </row>
        <row r="700">
          <cell r="I700">
            <v>1443</v>
          </cell>
        </row>
        <row r="701">
          <cell r="I701">
            <v>1874</v>
          </cell>
        </row>
        <row r="702">
          <cell r="I702">
            <v>2124</v>
          </cell>
        </row>
        <row r="703">
          <cell r="I703">
            <v>1711</v>
          </cell>
        </row>
        <row r="704">
          <cell r="I704">
            <v>3117</v>
          </cell>
        </row>
        <row r="705">
          <cell r="I705">
            <v>2892</v>
          </cell>
        </row>
        <row r="706">
          <cell r="I706">
            <v>1749</v>
          </cell>
        </row>
        <row r="707">
          <cell r="I707">
            <v>3895</v>
          </cell>
        </row>
        <row r="708">
          <cell r="I708">
            <v>2976</v>
          </cell>
        </row>
        <row r="709">
          <cell r="I709">
            <v>2019</v>
          </cell>
        </row>
        <row r="710">
          <cell r="I710">
            <v>3042</v>
          </cell>
        </row>
        <row r="711">
          <cell r="I711">
            <v>2302</v>
          </cell>
        </row>
        <row r="712">
          <cell r="I712">
            <v>4154</v>
          </cell>
        </row>
        <row r="713">
          <cell r="I713">
            <v>230</v>
          </cell>
        </row>
        <row r="714">
          <cell r="I714">
            <v>4574</v>
          </cell>
        </row>
        <row r="715">
          <cell r="I715">
            <v>3188</v>
          </cell>
        </row>
        <row r="716">
          <cell r="I716">
            <v>2961</v>
          </cell>
        </row>
        <row r="717">
          <cell r="I717">
            <v>2710</v>
          </cell>
        </row>
        <row r="718">
          <cell r="I718">
            <v>4706</v>
          </cell>
        </row>
        <row r="719">
          <cell r="I719">
            <v>3595</v>
          </cell>
        </row>
        <row r="720">
          <cell r="I720">
            <v>2184</v>
          </cell>
        </row>
        <row r="721">
          <cell r="I721">
            <v>2376</v>
          </cell>
        </row>
        <row r="722">
          <cell r="I722">
            <v>2480</v>
          </cell>
        </row>
        <row r="723">
          <cell r="I723">
            <v>2402</v>
          </cell>
        </row>
        <row r="724">
          <cell r="I724">
            <v>3366</v>
          </cell>
        </row>
        <row r="725">
          <cell r="I725">
            <v>3202</v>
          </cell>
        </row>
        <row r="726">
          <cell r="I726">
            <v>2225</v>
          </cell>
        </row>
        <row r="727">
          <cell r="I727">
            <v>4032</v>
          </cell>
        </row>
        <row r="728">
          <cell r="I728">
            <v>2925</v>
          </cell>
        </row>
        <row r="729">
          <cell r="I729">
            <v>1634</v>
          </cell>
        </row>
        <row r="730">
          <cell r="I730">
            <v>3355</v>
          </cell>
        </row>
        <row r="731">
          <cell r="I731">
            <v>2983</v>
          </cell>
        </row>
        <row r="732">
          <cell r="I732">
            <v>3645</v>
          </cell>
        </row>
        <row r="733">
          <cell r="I733">
            <v>96</v>
          </cell>
        </row>
        <row r="734">
          <cell r="I734">
            <v>4245</v>
          </cell>
        </row>
        <row r="735">
          <cell r="I735">
            <v>3842</v>
          </cell>
        </row>
        <row r="736">
          <cell r="I736">
            <v>2573</v>
          </cell>
        </row>
        <row r="737">
          <cell r="I737">
            <v>3323</v>
          </cell>
        </row>
        <row r="738">
          <cell r="I738">
            <v>4872</v>
          </cell>
        </row>
        <row r="739">
          <cell r="I739">
            <v>3838</v>
          </cell>
        </row>
        <row r="740">
          <cell r="I740">
            <v>1384</v>
          </cell>
        </row>
        <row r="741">
          <cell r="I741">
            <v>1857</v>
          </cell>
        </row>
        <row r="742">
          <cell r="I742">
            <v>2124</v>
          </cell>
        </row>
        <row r="743">
          <cell r="I743">
            <v>1731</v>
          </cell>
        </row>
        <row r="744">
          <cell r="I744">
            <v>3117</v>
          </cell>
        </row>
        <row r="745">
          <cell r="I745">
            <v>2892</v>
          </cell>
        </row>
        <row r="746">
          <cell r="I746">
            <v>1759</v>
          </cell>
        </row>
        <row r="747">
          <cell r="I747">
            <v>3897</v>
          </cell>
        </row>
        <row r="748">
          <cell r="I748">
            <v>2977</v>
          </cell>
        </row>
        <row r="749">
          <cell r="I749">
            <v>2032</v>
          </cell>
        </row>
        <row r="750">
          <cell r="I750">
            <v>3798</v>
          </cell>
        </row>
        <row r="751">
          <cell r="I751">
            <v>2880</v>
          </cell>
        </row>
        <row r="752">
          <cell r="I752">
            <v>4154</v>
          </cell>
        </row>
        <row r="753">
          <cell r="I753">
            <v>236</v>
          </cell>
        </row>
        <row r="754">
          <cell r="I754">
            <v>4576</v>
          </cell>
        </row>
        <row r="755">
          <cell r="I755">
            <v>3227</v>
          </cell>
        </row>
        <row r="756">
          <cell r="I756">
            <v>3017</v>
          </cell>
        </row>
        <row r="757">
          <cell r="I757">
            <v>2784</v>
          </cell>
        </row>
        <row r="758">
          <cell r="I758">
            <v>4708</v>
          </cell>
        </row>
        <row r="759">
          <cell r="I759">
            <v>3602</v>
          </cell>
        </row>
        <row r="760">
          <cell r="I760">
            <v>2200</v>
          </cell>
        </row>
        <row r="761">
          <cell r="I761">
            <v>2382</v>
          </cell>
        </row>
        <row r="762">
          <cell r="I762">
            <v>4193</v>
          </cell>
        </row>
        <row r="763">
          <cell r="I763">
            <v>2458</v>
          </cell>
        </row>
        <row r="764">
          <cell r="I764">
            <v>4269</v>
          </cell>
        </row>
        <row r="765">
          <cell r="I765">
            <v>1448</v>
          </cell>
        </row>
        <row r="766">
          <cell r="I766">
            <v>723</v>
          </cell>
        </row>
        <row r="767">
          <cell r="I767">
            <v>1465</v>
          </cell>
        </row>
        <row r="768">
          <cell r="I768">
            <v>1805</v>
          </cell>
        </row>
        <row r="769">
          <cell r="I769">
            <v>243</v>
          </cell>
        </row>
        <row r="770">
          <cell r="I770">
            <v>3152</v>
          </cell>
        </row>
        <row r="771">
          <cell r="I771">
            <v>3556</v>
          </cell>
        </row>
        <row r="772">
          <cell r="I772">
            <v>4466</v>
          </cell>
        </row>
        <row r="773">
          <cell r="I773">
            <v>962</v>
          </cell>
        </row>
        <row r="774">
          <cell r="I774">
            <v>4668</v>
          </cell>
        </row>
        <row r="775">
          <cell r="I775">
            <v>3838</v>
          </cell>
        </row>
        <row r="776">
          <cell r="I776">
            <v>2183</v>
          </cell>
        </row>
        <row r="777">
          <cell r="I777">
            <v>307</v>
          </cell>
        </row>
        <row r="778">
          <cell r="I778">
            <v>3061</v>
          </cell>
        </row>
        <row r="779">
          <cell r="I779">
            <v>3986</v>
          </cell>
        </row>
        <row r="780">
          <cell r="I780">
            <v>1985</v>
          </cell>
        </row>
        <row r="781">
          <cell r="I781">
            <v>3441</v>
          </cell>
        </row>
        <row r="782">
          <cell r="I782">
            <v>3470</v>
          </cell>
        </row>
        <row r="783">
          <cell r="I783">
            <v>1977</v>
          </cell>
        </row>
        <row r="784">
          <cell r="I784">
            <v>3741</v>
          </cell>
        </row>
        <row r="785">
          <cell r="I785">
            <v>1684</v>
          </cell>
        </row>
        <row r="786">
          <cell r="I786">
            <v>423</v>
          </cell>
        </row>
        <row r="787">
          <cell r="I787">
            <v>1128</v>
          </cell>
        </row>
        <row r="788">
          <cell r="I788">
            <v>1720</v>
          </cell>
        </row>
        <row r="789">
          <cell r="I789">
            <v>311</v>
          </cell>
        </row>
        <row r="790">
          <cell r="I790">
            <v>2185</v>
          </cell>
        </row>
        <row r="791">
          <cell r="I791">
            <v>3615</v>
          </cell>
        </row>
        <row r="792">
          <cell r="I792">
            <v>2899</v>
          </cell>
        </row>
        <row r="793">
          <cell r="I793">
            <v>1118</v>
          </cell>
        </row>
        <row r="794">
          <cell r="I794">
            <v>3727</v>
          </cell>
        </row>
        <row r="795">
          <cell r="I795">
            <v>3424</v>
          </cell>
        </row>
        <row r="796">
          <cell r="I796">
            <v>1522</v>
          </cell>
        </row>
        <row r="797">
          <cell r="I797">
            <v>336</v>
          </cell>
        </row>
        <row r="798">
          <cell r="I798">
            <v>2315</v>
          </cell>
        </row>
        <row r="799">
          <cell r="I799">
            <v>3593</v>
          </cell>
        </row>
        <row r="800">
          <cell r="I800">
            <v>2146</v>
          </cell>
        </row>
        <row r="801">
          <cell r="I801">
            <v>4067</v>
          </cell>
        </row>
        <row r="802">
          <cell r="I802">
            <v>4214</v>
          </cell>
        </row>
        <row r="803">
          <cell r="I803">
            <v>2820</v>
          </cell>
        </row>
        <row r="804">
          <cell r="I804">
            <v>3640</v>
          </cell>
        </row>
        <row r="805">
          <cell r="I805">
            <v>1527</v>
          </cell>
        </row>
        <row r="806">
          <cell r="I806">
            <v>1081</v>
          </cell>
        </row>
        <row r="807">
          <cell r="I807">
            <v>1698</v>
          </cell>
        </row>
        <row r="808">
          <cell r="I808">
            <v>1419</v>
          </cell>
        </row>
        <row r="809">
          <cell r="I809">
            <v>354</v>
          </cell>
        </row>
        <row r="810">
          <cell r="I810">
            <v>4062</v>
          </cell>
        </row>
        <row r="811">
          <cell r="I811">
            <v>2722</v>
          </cell>
        </row>
        <row r="812">
          <cell r="I812">
            <v>4384</v>
          </cell>
        </row>
        <row r="813">
          <cell r="I813">
            <v>1067</v>
          </cell>
        </row>
        <row r="814">
          <cell r="I814">
            <v>5132</v>
          </cell>
        </row>
        <row r="815">
          <cell r="I815">
            <v>3786</v>
          </cell>
        </row>
        <row r="816">
          <cell r="I816">
            <v>2339</v>
          </cell>
        </row>
        <row r="817">
          <cell r="I817">
            <v>283</v>
          </cell>
        </row>
        <row r="818">
          <cell r="I818">
            <v>3336</v>
          </cell>
        </row>
        <row r="819">
          <cell r="I819">
            <v>4363</v>
          </cell>
        </row>
        <row r="820">
          <cell r="I820">
            <v>1963</v>
          </cell>
        </row>
        <row r="821">
          <cell r="I821">
            <v>3879</v>
          </cell>
        </row>
        <row r="822">
          <cell r="I822">
            <v>3305</v>
          </cell>
        </row>
        <row r="823">
          <cell r="I823">
            <v>1898</v>
          </cell>
        </row>
        <row r="824">
          <cell r="I824">
            <v>3536</v>
          </cell>
        </row>
        <row r="825">
          <cell r="I825">
            <v>1653</v>
          </cell>
        </row>
        <row r="826">
          <cell r="I826">
            <v>419</v>
          </cell>
        </row>
        <row r="827">
          <cell r="I827">
            <v>1107</v>
          </cell>
        </row>
        <row r="828">
          <cell r="I828">
            <v>1715</v>
          </cell>
        </row>
        <row r="829">
          <cell r="I829">
            <v>387</v>
          </cell>
        </row>
        <row r="830">
          <cell r="I830">
            <v>2731</v>
          </cell>
        </row>
        <row r="831">
          <cell r="I831">
            <v>4406</v>
          </cell>
        </row>
        <row r="832">
          <cell r="I832">
            <v>3307</v>
          </cell>
        </row>
        <row r="833">
          <cell r="I833">
            <v>1104</v>
          </cell>
        </row>
        <row r="834">
          <cell r="I834">
            <v>3683</v>
          </cell>
        </row>
        <row r="835">
          <cell r="I835">
            <v>3258</v>
          </cell>
        </row>
        <row r="836">
          <cell r="I836">
            <v>1487</v>
          </cell>
        </row>
        <row r="837">
          <cell r="I837">
            <v>326</v>
          </cell>
        </row>
        <row r="838">
          <cell r="I838">
            <v>2276</v>
          </cell>
        </row>
        <row r="839">
          <cell r="I839">
            <v>3576</v>
          </cell>
        </row>
        <row r="840">
          <cell r="I840">
            <v>2115</v>
          </cell>
        </row>
        <row r="841">
          <cell r="I841">
            <v>4024</v>
          </cell>
        </row>
        <row r="842">
          <cell r="I842">
            <v>4170</v>
          </cell>
        </row>
        <row r="843">
          <cell r="I843">
            <v>2726</v>
          </cell>
        </row>
        <row r="844">
          <cell r="I844">
            <v>3631</v>
          </cell>
        </row>
        <row r="845">
          <cell r="I845">
            <v>1450</v>
          </cell>
        </row>
        <row r="846">
          <cell r="I846">
            <v>1080</v>
          </cell>
        </row>
        <row r="847">
          <cell r="I847">
            <v>1700</v>
          </cell>
        </row>
        <row r="848">
          <cell r="I848">
            <v>1417</v>
          </cell>
        </row>
        <row r="849">
          <cell r="I849">
            <v>354</v>
          </cell>
        </row>
        <row r="850">
          <cell r="I850">
            <v>5077</v>
          </cell>
        </row>
        <row r="851">
          <cell r="I851">
            <v>3219</v>
          </cell>
        </row>
        <row r="852">
          <cell r="I852">
            <v>5448</v>
          </cell>
        </row>
        <row r="853">
          <cell r="I853">
            <v>1067</v>
          </cell>
        </row>
        <row r="854">
          <cell r="I854">
            <v>5132</v>
          </cell>
        </row>
        <row r="855">
          <cell r="I855">
            <v>3735</v>
          </cell>
        </row>
        <row r="856">
          <cell r="I856">
            <v>2326</v>
          </cell>
        </row>
        <row r="857">
          <cell r="I857">
            <v>286</v>
          </cell>
        </row>
        <row r="858">
          <cell r="I858">
            <v>3339</v>
          </cell>
        </row>
        <row r="859">
          <cell r="I859">
            <v>4301</v>
          </cell>
        </row>
        <row r="860">
          <cell r="I860">
            <v>1921</v>
          </cell>
        </row>
        <row r="861">
          <cell r="I861">
            <v>3906</v>
          </cell>
        </row>
        <row r="862">
          <cell r="I862">
            <v>3951</v>
          </cell>
        </row>
        <row r="863">
          <cell r="I863">
            <v>2606</v>
          </cell>
        </row>
        <row r="864">
          <cell r="I864">
            <v>3581</v>
          </cell>
        </row>
        <row r="865">
          <cell r="I865">
            <v>1223</v>
          </cell>
        </row>
        <row r="866">
          <cell r="I866">
            <v>1070</v>
          </cell>
        </row>
        <row r="867">
          <cell r="I867">
            <v>1665</v>
          </cell>
        </row>
        <row r="868">
          <cell r="I868">
            <v>1420</v>
          </cell>
        </row>
        <row r="869">
          <cell r="I869">
            <v>347</v>
          </cell>
        </row>
        <row r="870">
          <cell r="I870">
            <v>5075</v>
          </cell>
        </row>
        <row r="871">
          <cell r="I871">
            <v>2756</v>
          </cell>
        </row>
        <row r="872">
          <cell r="I872">
            <v>4939</v>
          </cell>
        </row>
        <row r="873">
          <cell r="I873">
            <v>1033</v>
          </cell>
        </row>
        <row r="874">
          <cell r="I874">
            <v>5128</v>
          </cell>
        </row>
        <row r="875">
          <cell r="I875">
            <v>3741</v>
          </cell>
        </row>
        <row r="876">
          <cell r="I876">
            <v>2213</v>
          </cell>
        </row>
        <row r="877">
          <cell r="I877">
            <v>267</v>
          </cell>
        </row>
        <row r="878">
          <cell r="I878">
            <v>3285</v>
          </cell>
        </row>
        <row r="879">
          <cell r="I879">
            <v>4118</v>
          </cell>
        </row>
        <row r="880">
          <cell r="I880">
            <v>1737</v>
          </cell>
        </row>
        <row r="881">
          <cell r="I881">
            <v>3736</v>
          </cell>
        </row>
        <row r="882">
          <cell r="I882">
            <v>4585</v>
          </cell>
        </row>
        <row r="883">
          <cell r="I883">
            <v>2416</v>
          </cell>
        </row>
        <row r="884">
          <cell r="I884">
            <v>4308</v>
          </cell>
        </row>
        <row r="885">
          <cell r="I885">
            <v>1473</v>
          </cell>
        </row>
        <row r="886">
          <cell r="I886">
            <v>727</v>
          </cell>
        </row>
        <row r="887">
          <cell r="I887">
            <v>1482</v>
          </cell>
        </row>
        <row r="888">
          <cell r="I888">
            <v>1811</v>
          </cell>
        </row>
        <row r="889">
          <cell r="I889">
            <v>244</v>
          </cell>
        </row>
        <row r="890">
          <cell r="I890">
            <v>3158</v>
          </cell>
        </row>
        <row r="891">
          <cell r="I891">
            <v>3601</v>
          </cell>
        </row>
        <row r="892">
          <cell r="I892">
            <v>4737</v>
          </cell>
        </row>
        <row r="893">
          <cell r="I893">
            <v>980</v>
          </cell>
        </row>
        <row r="894">
          <cell r="I894">
            <v>4702</v>
          </cell>
        </row>
        <row r="895">
          <cell r="I895">
            <v>3986</v>
          </cell>
        </row>
        <row r="896">
          <cell r="I896">
            <v>2212</v>
          </cell>
        </row>
        <row r="897">
          <cell r="I897">
            <v>316</v>
          </cell>
        </row>
        <row r="898">
          <cell r="I898">
            <v>3090</v>
          </cell>
        </row>
        <row r="899">
          <cell r="I899">
            <v>4044</v>
          </cell>
        </row>
        <row r="900">
          <cell r="I900">
            <v>2022</v>
          </cell>
        </row>
        <row r="901">
          <cell r="I901">
            <v>3645</v>
          </cell>
        </row>
        <row r="902">
          <cell r="I902">
            <v>3651</v>
          </cell>
        </row>
        <row r="903">
          <cell r="I903">
            <v>1780</v>
          </cell>
        </row>
        <row r="904">
          <cell r="I904">
            <v>3168</v>
          </cell>
        </row>
        <row r="905">
          <cell r="I905">
            <v>1619</v>
          </cell>
        </row>
        <row r="906">
          <cell r="I906">
            <v>410</v>
          </cell>
        </row>
        <row r="907">
          <cell r="I907">
            <v>1083</v>
          </cell>
        </row>
        <row r="908">
          <cell r="I908">
            <v>1681</v>
          </cell>
        </row>
        <row r="909">
          <cell r="I909">
            <v>306</v>
          </cell>
        </row>
        <row r="910">
          <cell r="I910">
            <v>2184</v>
          </cell>
        </row>
        <row r="911">
          <cell r="I911">
            <v>3646</v>
          </cell>
        </row>
        <row r="912">
          <cell r="I912">
            <v>2600</v>
          </cell>
        </row>
        <row r="913">
          <cell r="I913">
            <v>1104</v>
          </cell>
        </row>
        <row r="914">
          <cell r="I914">
            <v>3672</v>
          </cell>
        </row>
        <row r="915">
          <cell r="I915">
            <v>3268</v>
          </cell>
        </row>
        <row r="916">
          <cell r="I916">
            <v>1401</v>
          </cell>
        </row>
        <row r="917">
          <cell r="I917">
            <v>425</v>
          </cell>
        </row>
        <row r="918">
          <cell r="I918">
            <v>2194</v>
          </cell>
        </row>
        <row r="919">
          <cell r="I919">
            <v>3551</v>
          </cell>
        </row>
        <row r="920">
          <cell r="I920">
            <v>2088</v>
          </cell>
        </row>
        <row r="921">
          <cell r="I921">
            <v>4193</v>
          </cell>
        </row>
        <row r="922">
          <cell r="I922">
            <v>3840</v>
          </cell>
        </row>
        <row r="923">
          <cell r="I923">
            <v>1982</v>
          </cell>
        </row>
        <row r="924">
          <cell r="I924">
            <v>3742</v>
          </cell>
        </row>
        <row r="925">
          <cell r="I925">
            <v>1696</v>
          </cell>
        </row>
        <row r="926">
          <cell r="I926">
            <v>426</v>
          </cell>
        </row>
        <row r="927">
          <cell r="I927">
            <v>1137</v>
          </cell>
        </row>
        <row r="928">
          <cell r="I928">
            <v>1710</v>
          </cell>
        </row>
        <row r="929">
          <cell r="I929">
            <v>311</v>
          </cell>
        </row>
        <row r="930">
          <cell r="I930">
            <v>2193</v>
          </cell>
        </row>
        <row r="931">
          <cell r="I931">
            <v>3720</v>
          </cell>
        </row>
        <row r="932">
          <cell r="I932">
            <v>3100</v>
          </cell>
        </row>
        <row r="933">
          <cell r="I933">
            <v>1131</v>
          </cell>
        </row>
        <row r="934">
          <cell r="I934">
            <v>3739</v>
          </cell>
        </row>
        <row r="935">
          <cell r="I935">
            <v>3618</v>
          </cell>
        </row>
        <row r="936">
          <cell r="I936">
            <v>1539</v>
          </cell>
        </row>
        <row r="937">
          <cell r="I937">
            <v>413</v>
          </cell>
        </row>
        <row r="938">
          <cell r="I938">
            <v>2318</v>
          </cell>
        </row>
        <row r="939">
          <cell r="I939">
            <v>3603</v>
          </cell>
        </row>
        <row r="940">
          <cell r="I940">
            <v>2169</v>
          </cell>
        </row>
        <row r="941">
          <cell r="I941">
            <v>4223</v>
          </cell>
        </row>
        <row r="942">
          <cell r="I942">
            <v>4530</v>
          </cell>
        </row>
        <row r="943">
          <cell r="I943">
            <v>2725</v>
          </cell>
        </row>
        <row r="944">
          <cell r="I944">
            <v>4624</v>
          </cell>
        </row>
        <row r="945">
          <cell r="I945">
            <v>1666</v>
          </cell>
        </row>
        <row r="946">
          <cell r="I946">
            <v>750</v>
          </cell>
        </row>
        <row r="947">
          <cell r="I947">
            <v>1561</v>
          </cell>
        </row>
        <row r="948">
          <cell r="I948">
            <v>1832</v>
          </cell>
        </row>
        <row r="949">
          <cell r="I949">
            <v>314</v>
          </cell>
        </row>
        <row r="950">
          <cell r="I950">
            <v>3953</v>
          </cell>
        </row>
        <row r="951">
          <cell r="I951">
            <v>3849</v>
          </cell>
        </row>
        <row r="952">
          <cell r="I952">
            <v>5461</v>
          </cell>
        </row>
        <row r="953">
          <cell r="I953">
            <v>1047</v>
          </cell>
        </row>
        <row r="954">
          <cell r="I954">
            <v>4705</v>
          </cell>
        </row>
        <row r="955">
          <cell r="I955">
            <v>4275</v>
          </cell>
        </row>
        <row r="956">
          <cell r="I956">
            <v>2385</v>
          </cell>
        </row>
        <row r="957">
          <cell r="I957">
            <v>313</v>
          </cell>
        </row>
        <row r="958">
          <cell r="I958">
            <v>3153</v>
          </cell>
        </row>
        <row r="959">
          <cell r="I959">
            <v>4175</v>
          </cell>
        </row>
        <row r="960">
          <cell r="I960">
            <v>2179</v>
          </cell>
        </row>
        <row r="961">
          <cell r="I961">
            <v>3479</v>
          </cell>
        </row>
        <row r="962">
          <cell r="I962">
            <v>3922</v>
          </cell>
        </row>
        <row r="963">
          <cell r="I963">
            <v>2618</v>
          </cell>
        </row>
        <row r="964">
          <cell r="I964">
            <v>3578</v>
          </cell>
        </row>
        <row r="965">
          <cell r="I965">
            <v>1213</v>
          </cell>
        </row>
        <row r="966">
          <cell r="I966">
            <v>1069</v>
          </cell>
        </row>
        <row r="967">
          <cell r="I967">
            <v>1660</v>
          </cell>
        </row>
        <row r="968">
          <cell r="I968">
            <v>1420</v>
          </cell>
        </row>
        <row r="969">
          <cell r="I969">
            <v>432</v>
          </cell>
        </row>
        <row r="970">
          <cell r="I970">
            <v>5074</v>
          </cell>
        </row>
        <row r="971">
          <cell r="I971">
            <v>2632</v>
          </cell>
        </row>
        <row r="972">
          <cell r="I972">
            <v>4905</v>
          </cell>
        </row>
        <row r="973">
          <cell r="I973">
            <v>1028</v>
          </cell>
        </row>
        <row r="974">
          <cell r="I974">
            <v>5127</v>
          </cell>
        </row>
        <row r="975">
          <cell r="I975">
            <v>3751</v>
          </cell>
        </row>
        <row r="976">
          <cell r="I976">
            <v>2202</v>
          </cell>
        </row>
        <row r="977">
          <cell r="I977">
            <v>263</v>
          </cell>
        </row>
        <row r="978">
          <cell r="I978">
            <v>3274</v>
          </cell>
        </row>
        <row r="979">
          <cell r="I979">
            <v>4106</v>
          </cell>
        </row>
        <row r="980">
          <cell r="I980">
            <v>1725</v>
          </cell>
        </row>
        <row r="981">
          <cell r="I981">
            <v>3710</v>
          </cell>
        </row>
        <row r="982">
          <cell r="I982">
            <v>4364</v>
          </cell>
        </row>
        <row r="983">
          <cell r="I983">
            <v>2755</v>
          </cell>
        </row>
        <row r="984">
          <cell r="I984">
            <v>4623</v>
          </cell>
        </row>
        <row r="985">
          <cell r="I985">
            <v>1650</v>
          </cell>
        </row>
        <row r="986">
          <cell r="I986">
            <v>747</v>
          </cell>
        </row>
        <row r="987">
          <cell r="I987">
            <v>1547</v>
          </cell>
        </row>
        <row r="988">
          <cell r="I988">
            <v>1828</v>
          </cell>
        </row>
        <row r="989">
          <cell r="I989">
            <v>251</v>
          </cell>
        </row>
        <row r="990">
          <cell r="I990">
            <v>3156</v>
          </cell>
        </row>
        <row r="991">
          <cell r="I991">
            <v>3378</v>
          </cell>
        </row>
        <row r="992">
          <cell r="I992">
            <v>4279</v>
          </cell>
        </row>
        <row r="993">
          <cell r="I993">
            <v>1029</v>
          </cell>
        </row>
        <row r="994">
          <cell r="I994">
            <v>4705</v>
          </cell>
        </row>
        <row r="995">
          <cell r="I995">
            <v>4210</v>
          </cell>
        </row>
        <row r="996">
          <cell r="I996">
            <v>2354</v>
          </cell>
        </row>
        <row r="997">
          <cell r="I997">
            <v>300</v>
          </cell>
        </row>
        <row r="998">
          <cell r="I998">
            <v>3127</v>
          </cell>
        </row>
        <row r="999">
          <cell r="I999">
            <v>4159</v>
          </cell>
        </row>
        <row r="1000">
          <cell r="I1000">
            <v>2158</v>
          </cell>
        </row>
        <row r="1001">
          <cell r="I1001">
            <v>3394</v>
          </cell>
        </row>
        <row r="1002">
          <cell r="I1002">
            <v>869</v>
          </cell>
        </row>
        <row r="1003">
          <cell r="I1003">
            <v>1335</v>
          </cell>
        </row>
        <row r="1004">
          <cell r="I1004">
            <v>2513</v>
          </cell>
        </row>
        <row r="1005">
          <cell r="I1005">
            <v>1992</v>
          </cell>
        </row>
        <row r="1006">
          <cell r="I1006">
            <v>2234</v>
          </cell>
        </row>
        <row r="1007">
          <cell r="I1007">
            <v>2482</v>
          </cell>
        </row>
        <row r="1008">
          <cell r="I1008">
            <v>2009</v>
          </cell>
        </row>
        <row r="1009">
          <cell r="I1009">
            <v>2587</v>
          </cell>
        </row>
        <row r="1010">
          <cell r="I1010">
            <v>1855</v>
          </cell>
        </row>
        <row r="1011">
          <cell r="I1011">
            <v>2846</v>
          </cell>
        </row>
        <row r="1012">
          <cell r="I1012">
            <v>2006</v>
          </cell>
        </row>
        <row r="1013">
          <cell r="I1013">
            <v>2711</v>
          </cell>
        </row>
        <row r="1014">
          <cell r="I1014">
            <v>1339</v>
          </cell>
        </row>
        <row r="1015">
          <cell r="I1015">
            <v>1810</v>
          </cell>
        </row>
        <row r="1016">
          <cell r="I1016">
            <v>2554</v>
          </cell>
        </row>
        <row r="1017">
          <cell r="I1017">
            <v>1185</v>
          </cell>
        </row>
        <row r="1018">
          <cell r="I1018">
            <v>3175</v>
          </cell>
        </row>
        <row r="1019">
          <cell r="I1019">
            <v>1141</v>
          </cell>
        </row>
        <row r="1020">
          <cell r="I1020">
            <v>950</v>
          </cell>
        </row>
        <row r="1021">
          <cell r="I1021">
            <v>2673</v>
          </cell>
        </row>
        <row r="1022">
          <cell r="I1022">
            <v>1183</v>
          </cell>
        </row>
        <row r="1023">
          <cell r="I1023">
            <v>1673</v>
          </cell>
        </row>
        <row r="1024">
          <cell r="I1024">
            <v>3004</v>
          </cell>
        </row>
        <row r="1025">
          <cell r="I1025">
            <v>1768</v>
          </cell>
        </row>
        <row r="1026">
          <cell r="I1026">
            <v>2448</v>
          </cell>
        </row>
        <row r="1027">
          <cell r="I1027">
            <v>3420</v>
          </cell>
        </row>
        <row r="1028">
          <cell r="I1028">
            <v>2256</v>
          </cell>
        </row>
        <row r="1029">
          <cell r="I1029">
            <v>3127</v>
          </cell>
        </row>
        <row r="1030">
          <cell r="I1030">
            <v>2414</v>
          </cell>
        </row>
        <row r="1031">
          <cell r="I1031">
            <v>2989</v>
          </cell>
        </row>
        <row r="1032">
          <cell r="I1032">
            <v>2604</v>
          </cell>
        </row>
        <row r="1033">
          <cell r="I1033">
            <v>2862</v>
          </cell>
        </row>
        <row r="1034">
          <cell r="I1034">
            <v>3415</v>
          </cell>
        </row>
        <row r="1035">
          <cell r="I1035">
            <v>942</v>
          </cell>
        </row>
        <row r="1036">
          <cell r="I1036">
            <v>3615</v>
          </cell>
        </row>
        <row r="1037">
          <cell r="I1037">
            <v>2207</v>
          </cell>
        </row>
        <row r="1038">
          <cell r="I1038">
            <v>4028</v>
          </cell>
        </row>
        <row r="1039">
          <cell r="I1039">
            <v>1963</v>
          </cell>
        </row>
        <row r="1040">
          <cell r="I1040">
            <v>1451</v>
          </cell>
        </row>
        <row r="1041">
          <cell r="I1041">
            <v>2610</v>
          </cell>
        </row>
        <row r="1042">
          <cell r="I1042">
            <v>1802</v>
          </cell>
        </row>
        <row r="1043">
          <cell r="I1043">
            <v>1925</v>
          </cell>
        </row>
        <row r="1044">
          <cell r="I1044">
            <v>2529</v>
          </cell>
        </row>
        <row r="1045">
          <cell r="I1045">
            <v>2660</v>
          </cell>
        </row>
        <row r="1046">
          <cell r="I1046">
            <v>2510</v>
          </cell>
        </row>
        <row r="1047">
          <cell r="I1047">
            <v>3398</v>
          </cell>
        </row>
        <row r="1048">
          <cell r="I1048">
            <v>1818</v>
          </cell>
        </row>
        <row r="1049">
          <cell r="I1049">
            <v>2134</v>
          </cell>
        </row>
        <row r="1050">
          <cell r="I1050">
            <v>2598</v>
          </cell>
        </row>
        <row r="1051">
          <cell r="I1051">
            <v>2966</v>
          </cell>
        </row>
        <row r="1052">
          <cell r="I1052">
            <v>1485</v>
          </cell>
        </row>
        <row r="1053">
          <cell r="I1053">
            <v>3950</v>
          </cell>
        </row>
        <row r="1054">
          <cell r="I1054">
            <v>2146</v>
          </cell>
        </row>
        <row r="1055">
          <cell r="I1055">
            <v>1726</v>
          </cell>
        </row>
        <row r="1056">
          <cell r="I1056">
            <v>3127</v>
          </cell>
        </row>
        <row r="1057">
          <cell r="I1057">
            <v>1078</v>
          </cell>
        </row>
        <row r="1058">
          <cell r="I1058">
            <v>3393</v>
          </cell>
        </row>
        <row r="1059">
          <cell r="I1059">
            <v>1173</v>
          </cell>
        </row>
        <row r="1060">
          <cell r="I1060">
            <v>1116</v>
          </cell>
        </row>
        <row r="1061">
          <cell r="I1061">
            <v>2715</v>
          </cell>
        </row>
        <row r="1062">
          <cell r="I1062">
            <v>1121</v>
          </cell>
        </row>
        <row r="1063">
          <cell r="I1063">
            <v>1555</v>
          </cell>
        </row>
        <row r="1064">
          <cell r="I1064">
            <v>2937</v>
          </cell>
        </row>
        <row r="1065">
          <cell r="I1065">
            <v>1388</v>
          </cell>
        </row>
        <row r="1066">
          <cell r="I1066">
            <v>2444</v>
          </cell>
        </row>
        <row r="1067">
          <cell r="I1067">
            <v>3008</v>
          </cell>
        </row>
        <row r="1068">
          <cell r="I1068">
            <v>2179</v>
          </cell>
        </row>
        <row r="1069">
          <cell r="I1069">
            <v>3575</v>
          </cell>
        </row>
        <row r="1070">
          <cell r="I1070">
            <v>2792</v>
          </cell>
        </row>
        <row r="1071">
          <cell r="I1071">
            <v>3264</v>
          </cell>
        </row>
        <row r="1072">
          <cell r="I1072">
            <v>2496</v>
          </cell>
        </row>
        <row r="1073">
          <cell r="I1073">
            <v>2525</v>
          </cell>
        </row>
        <row r="1074">
          <cell r="I1074">
            <v>2971</v>
          </cell>
        </row>
        <row r="1075">
          <cell r="I1075">
            <v>1012</v>
          </cell>
        </row>
        <row r="1076">
          <cell r="I1076">
            <v>3374</v>
          </cell>
        </row>
        <row r="1077">
          <cell r="I1077">
            <v>1721</v>
          </cell>
        </row>
        <row r="1078">
          <cell r="I1078">
            <v>3349</v>
          </cell>
        </row>
        <row r="1079">
          <cell r="I1079">
            <v>1657</v>
          </cell>
        </row>
        <row r="1080">
          <cell r="I1080">
            <v>1195</v>
          </cell>
        </row>
        <row r="1081">
          <cell r="I1081">
            <v>2465</v>
          </cell>
        </row>
        <row r="1082">
          <cell r="I1082">
            <v>1613</v>
          </cell>
        </row>
        <row r="1083">
          <cell r="I1083">
            <v>1772</v>
          </cell>
        </row>
        <row r="1084">
          <cell r="I1084">
            <v>2514</v>
          </cell>
        </row>
        <row r="1085">
          <cell r="I1085">
            <v>2609</v>
          </cell>
        </row>
        <row r="1086">
          <cell r="I1086">
            <v>2410</v>
          </cell>
        </row>
        <row r="1087">
          <cell r="I1087">
            <v>3085</v>
          </cell>
        </row>
        <row r="1088">
          <cell r="I1088">
            <v>1690</v>
          </cell>
        </row>
        <row r="1089">
          <cell r="I1089">
            <v>2011</v>
          </cell>
        </row>
        <row r="1090">
          <cell r="I1090">
            <v>2989</v>
          </cell>
        </row>
        <row r="1091">
          <cell r="I1091">
            <v>3319</v>
          </cell>
        </row>
        <row r="1092">
          <cell r="I1092">
            <v>1821</v>
          </cell>
        </row>
        <row r="1093">
          <cell r="I1093">
            <v>3895</v>
          </cell>
        </row>
        <row r="1094">
          <cell r="I1094">
            <v>1893</v>
          </cell>
        </row>
        <row r="1095">
          <cell r="I1095">
            <v>1932</v>
          </cell>
        </row>
        <row r="1096">
          <cell r="I1096">
            <v>3133</v>
          </cell>
        </row>
        <row r="1097">
          <cell r="I1097">
            <v>789</v>
          </cell>
        </row>
        <row r="1098">
          <cell r="I1098">
            <v>3240</v>
          </cell>
        </row>
        <row r="1099">
          <cell r="I1099">
            <v>1124</v>
          </cell>
        </row>
        <row r="1100">
          <cell r="I1100">
            <v>1050</v>
          </cell>
        </row>
        <row r="1101">
          <cell r="I1101">
            <v>2576</v>
          </cell>
        </row>
        <row r="1102">
          <cell r="I1102">
            <v>1386</v>
          </cell>
        </row>
        <row r="1103">
          <cell r="I1103">
            <v>1520</v>
          </cell>
        </row>
        <row r="1104">
          <cell r="I1104">
            <v>2442</v>
          </cell>
        </row>
        <row r="1105">
          <cell r="I1105">
            <v>2224</v>
          </cell>
        </row>
        <row r="1106">
          <cell r="I1106">
            <v>2248</v>
          </cell>
        </row>
        <row r="1107">
          <cell r="I1107">
            <v>2509</v>
          </cell>
        </row>
        <row r="1108">
          <cell r="I1108">
            <v>1421</v>
          </cell>
        </row>
        <row r="1109">
          <cell r="I1109">
            <v>1863</v>
          </cell>
        </row>
        <row r="1110">
          <cell r="I1110">
            <v>2543</v>
          </cell>
        </row>
        <row r="1111">
          <cell r="I1111">
            <v>2340</v>
          </cell>
        </row>
        <row r="1112">
          <cell r="I1112">
            <v>2067</v>
          </cell>
        </row>
        <row r="1113">
          <cell r="I1113">
            <v>3392</v>
          </cell>
        </row>
        <row r="1114">
          <cell r="I1114">
            <v>1736</v>
          </cell>
        </row>
        <row r="1115">
          <cell r="I1115">
            <v>1894</v>
          </cell>
        </row>
        <row r="1116">
          <cell r="I1116">
            <v>2857</v>
          </cell>
        </row>
        <row r="1117">
          <cell r="I1117">
            <v>470</v>
          </cell>
        </row>
        <row r="1118">
          <cell r="I1118">
            <v>2848</v>
          </cell>
        </row>
        <row r="1119">
          <cell r="I1119">
            <v>895</v>
          </cell>
        </row>
        <row r="1120">
          <cell r="I1120">
            <v>1011</v>
          </cell>
        </row>
        <row r="1121">
          <cell r="I1121">
            <v>2339</v>
          </cell>
        </row>
        <row r="1122">
          <cell r="I1122">
            <v>872</v>
          </cell>
        </row>
        <row r="1123">
          <cell r="I1123">
            <v>1348</v>
          </cell>
        </row>
        <row r="1124">
          <cell r="I1124">
            <v>2560</v>
          </cell>
        </row>
        <row r="1125">
          <cell r="I1125">
            <v>2082</v>
          </cell>
        </row>
        <row r="1126">
          <cell r="I1126">
            <v>2246</v>
          </cell>
        </row>
        <row r="1127">
          <cell r="I1127">
            <v>2525</v>
          </cell>
        </row>
        <row r="1128">
          <cell r="I1128">
            <v>2056</v>
          </cell>
        </row>
        <row r="1129">
          <cell r="I1129">
            <v>2614</v>
          </cell>
        </row>
        <row r="1130">
          <cell r="I1130">
            <v>1886</v>
          </cell>
        </row>
        <row r="1131">
          <cell r="I1131">
            <v>2456</v>
          </cell>
        </row>
        <row r="1132">
          <cell r="I1132">
            <v>2051</v>
          </cell>
        </row>
        <row r="1133">
          <cell r="I1133">
            <v>2776</v>
          </cell>
        </row>
        <row r="1134">
          <cell r="I1134">
            <v>1427</v>
          </cell>
        </row>
        <row r="1135">
          <cell r="I1135">
            <v>1797</v>
          </cell>
        </row>
        <row r="1136">
          <cell r="I1136">
            <v>2597</v>
          </cell>
        </row>
        <row r="1137">
          <cell r="I1137">
            <v>1319</v>
          </cell>
        </row>
        <row r="1138">
          <cell r="I1138">
            <v>3273</v>
          </cell>
        </row>
        <row r="1139">
          <cell r="I1139">
            <v>1155</v>
          </cell>
        </row>
        <row r="1140">
          <cell r="I1140">
            <v>961</v>
          </cell>
        </row>
        <row r="1141">
          <cell r="I1141">
            <v>2706</v>
          </cell>
        </row>
        <row r="1142">
          <cell r="I1142">
            <v>987</v>
          </cell>
        </row>
        <row r="1143">
          <cell r="I1143">
            <v>1425</v>
          </cell>
        </row>
        <row r="1144">
          <cell r="I1144">
            <v>2879</v>
          </cell>
        </row>
        <row r="1145">
          <cell r="I1145">
            <v>1000</v>
          </cell>
        </row>
        <row r="1146">
          <cell r="I1146">
            <v>2371</v>
          </cell>
        </row>
        <row r="1147">
          <cell r="I1147">
            <v>2448</v>
          </cell>
        </row>
        <row r="1148">
          <cell r="I1148">
            <v>2130</v>
          </cell>
        </row>
        <row r="1149">
          <cell r="I1149">
            <v>2612</v>
          </cell>
        </row>
        <row r="1150">
          <cell r="I1150">
            <v>2028</v>
          </cell>
        </row>
        <row r="1151">
          <cell r="I1151">
            <v>2173</v>
          </cell>
        </row>
        <row r="1152">
          <cell r="I1152">
            <v>2189</v>
          </cell>
        </row>
        <row r="1153">
          <cell r="I1153">
            <v>2344</v>
          </cell>
        </row>
        <row r="1154">
          <cell r="I1154">
            <v>2403</v>
          </cell>
        </row>
        <row r="1155">
          <cell r="I1155">
            <v>1277</v>
          </cell>
        </row>
        <row r="1156">
          <cell r="I1156">
            <v>3129</v>
          </cell>
        </row>
        <row r="1157">
          <cell r="I1157">
            <v>1441</v>
          </cell>
        </row>
        <row r="1158">
          <cell r="I1158">
            <v>2781</v>
          </cell>
        </row>
        <row r="1159">
          <cell r="I1159">
            <v>1391</v>
          </cell>
        </row>
        <row r="1160">
          <cell r="I1160">
            <v>932</v>
          </cell>
        </row>
        <row r="1161">
          <cell r="I1161">
            <v>2185</v>
          </cell>
        </row>
        <row r="1162">
          <cell r="I1162">
            <v>1186</v>
          </cell>
        </row>
        <row r="1163">
          <cell r="I1163">
            <v>1682</v>
          </cell>
        </row>
        <row r="1164">
          <cell r="I1164">
            <v>3035</v>
          </cell>
        </row>
        <row r="1165">
          <cell r="I1165">
            <v>1831</v>
          </cell>
        </row>
        <row r="1166">
          <cell r="I1166">
            <v>2467</v>
          </cell>
        </row>
        <row r="1167">
          <cell r="I1167">
            <v>3443</v>
          </cell>
        </row>
        <row r="1168">
          <cell r="I1168">
            <v>2278</v>
          </cell>
        </row>
        <row r="1169">
          <cell r="I1169">
            <v>3143</v>
          </cell>
        </row>
        <row r="1170">
          <cell r="I1170">
            <v>2422</v>
          </cell>
        </row>
        <row r="1171">
          <cell r="I1171">
            <v>3015</v>
          </cell>
        </row>
        <row r="1172">
          <cell r="I1172">
            <v>2642</v>
          </cell>
        </row>
        <row r="1173">
          <cell r="I1173">
            <v>2931</v>
          </cell>
        </row>
        <row r="1174">
          <cell r="I1174">
            <v>3461</v>
          </cell>
        </row>
        <row r="1175">
          <cell r="I1175">
            <v>953</v>
          </cell>
        </row>
        <row r="1176">
          <cell r="I1176">
            <v>3645</v>
          </cell>
        </row>
        <row r="1177">
          <cell r="I1177">
            <v>2374</v>
          </cell>
        </row>
        <row r="1178">
          <cell r="I1178">
            <v>4206</v>
          </cell>
        </row>
        <row r="1179">
          <cell r="I1179">
            <v>1990</v>
          </cell>
        </row>
        <row r="1180">
          <cell r="I1180">
            <v>1549</v>
          </cell>
        </row>
        <row r="1181">
          <cell r="I1181">
            <v>2643</v>
          </cell>
        </row>
        <row r="1182">
          <cell r="I1182">
            <v>1029</v>
          </cell>
        </row>
        <row r="1183">
          <cell r="I1183">
            <v>1505</v>
          </cell>
        </row>
        <row r="1184">
          <cell r="I1184">
            <v>2524</v>
          </cell>
        </row>
        <row r="1185">
          <cell r="I1185">
            <v>2315</v>
          </cell>
        </row>
        <row r="1186">
          <cell r="I1186">
            <v>2337</v>
          </cell>
        </row>
        <row r="1187">
          <cell r="I1187">
            <v>3027</v>
          </cell>
        </row>
        <row r="1188">
          <cell r="I1188">
            <v>2146</v>
          </cell>
        </row>
        <row r="1189">
          <cell r="I1189">
            <v>3386</v>
          </cell>
        </row>
        <row r="1190">
          <cell r="I1190">
            <v>2739</v>
          </cell>
        </row>
        <row r="1191">
          <cell r="I1191">
            <v>3842</v>
          </cell>
        </row>
        <row r="1192">
          <cell r="I1192">
            <v>2113</v>
          </cell>
        </row>
        <row r="1193">
          <cell r="I1193">
            <v>2899</v>
          </cell>
        </row>
        <row r="1194">
          <cell r="I1194">
            <v>2090</v>
          </cell>
        </row>
        <row r="1195">
          <cell r="I1195">
            <v>1523</v>
          </cell>
        </row>
        <row r="1196">
          <cell r="I1196">
            <v>2692</v>
          </cell>
        </row>
        <row r="1197">
          <cell r="I1197">
            <v>1635</v>
          </cell>
        </row>
        <row r="1198">
          <cell r="I1198">
            <v>3869</v>
          </cell>
        </row>
        <row r="1199">
          <cell r="I1199">
            <v>1337</v>
          </cell>
        </row>
        <row r="1200">
          <cell r="I1200">
            <v>996</v>
          </cell>
        </row>
        <row r="1201">
          <cell r="I1201">
            <v>2910</v>
          </cell>
        </row>
        <row r="1202">
          <cell r="I1202">
            <v>1384</v>
          </cell>
        </row>
        <row r="1203">
          <cell r="I1203">
            <v>1513</v>
          </cell>
        </row>
        <row r="1204">
          <cell r="I1204">
            <v>2434</v>
          </cell>
        </row>
        <row r="1205">
          <cell r="I1205">
            <v>2209</v>
          </cell>
        </row>
        <row r="1206">
          <cell r="I1206">
            <v>2244</v>
          </cell>
        </row>
        <row r="1207">
          <cell r="I1207">
            <v>2497</v>
          </cell>
        </row>
        <row r="1208">
          <cell r="I1208">
            <v>1403</v>
          </cell>
        </row>
        <row r="1209">
          <cell r="I1209">
            <v>2272</v>
          </cell>
        </row>
        <row r="1210">
          <cell r="I1210">
            <v>2534</v>
          </cell>
        </row>
        <row r="1211">
          <cell r="I1211">
            <v>2316</v>
          </cell>
        </row>
        <row r="1212">
          <cell r="I1212">
            <v>2059</v>
          </cell>
        </row>
        <row r="1213">
          <cell r="I1213">
            <v>3368</v>
          </cell>
        </row>
        <row r="1214">
          <cell r="I1214">
            <v>1726</v>
          </cell>
        </row>
        <row r="1215">
          <cell r="I1215">
            <v>1890</v>
          </cell>
        </row>
        <row r="1216">
          <cell r="I1216">
            <v>2843</v>
          </cell>
        </row>
        <row r="1217">
          <cell r="I1217">
            <v>446</v>
          </cell>
        </row>
        <row r="1218">
          <cell r="I1218">
            <v>2832</v>
          </cell>
        </row>
        <row r="1219">
          <cell r="I1219">
            <v>894</v>
          </cell>
        </row>
        <row r="1220">
          <cell r="I1220">
            <v>1000</v>
          </cell>
        </row>
        <row r="1221">
          <cell r="I1221">
            <v>2326</v>
          </cell>
        </row>
        <row r="1222">
          <cell r="I1222">
            <v>1026</v>
          </cell>
        </row>
        <row r="1223">
          <cell r="I1223">
            <v>1497</v>
          </cell>
        </row>
        <row r="1224">
          <cell r="I1224">
            <v>2466</v>
          </cell>
        </row>
        <row r="1225">
          <cell r="I1225">
            <v>2260</v>
          </cell>
        </row>
        <row r="1226">
          <cell r="I1226">
            <v>2325</v>
          </cell>
        </row>
        <row r="1227">
          <cell r="I1227">
            <v>3000</v>
          </cell>
        </row>
        <row r="1228">
          <cell r="I1228">
            <v>2092</v>
          </cell>
        </row>
        <row r="1229">
          <cell r="I1229">
            <v>2713</v>
          </cell>
        </row>
        <row r="1230">
          <cell r="I1230">
            <v>2206</v>
          </cell>
        </row>
        <row r="1231">
          <cell r="I1231">
            <v>3053</v>
          </cell>
        </row>
        <row r="1232">
          <cell r="I1232">
            <v>1697</v>
          </cell>
        </row>
        <row r="1233">
          <cell r="I1233">
            <v>2861</v>
          </cell>
        </row>
        <row r="1234">
          <cell r="I1234">
            <v>1991</v>
          </cell>
        </row>
        <row r="1235">
          <cell r="I1235">
            <v>1563</v>
          </cell>
        </row>
        <row r="1236">
          <cell r="I1236">
            <v>2660</v>
          </cell>
        </row>
        <row r="1237">
          <cell r="I1237">
            <v>1480</v>
          </cell>
        </row>
        <row r="1238">
          <cell r="I1238">
            <v>3807</v>
          </cell>
        </row>
        <row r="1239">
          <cell r="I1239">
            <v>1315</v>
          </cell>
        </row>
        <row r="1240">
          <cell r="I1240">
            <v>983</v>
          </cell>
        </row>
        <row r="1241">
          <cell r="I1241">
            <v>2889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41"/>
  <sheetViews>
    <sheetView workbookViewId="0">
      <selection activeCell="D2" sqref="D2"/>
    </sheetView>
  </sheetViews>
  <sheetFormatPr defaultRowHeight="15" x14ac:dyDescent="0.25"/>
  <cols>
    <col min="4" max="4" width="13.570312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T1" s="1"/>
      <c r="U1" s="4" t="s">
        <v>23</v>
      </c>
      <c r="V1" s="4"/>
      <c r="W1" s="4"/>
      <c r="X1" s="4"/>
      <c r="Y1" s="4"/>
      <c r="Z1" s="4"/>
      <c r="AB1" s="1"/>
      <c r="AC1" s="4" t="s">
        <v>7</v>
      </c>
      <c r="AD1" s="4"/>
      <c r="AE1" s="4"/>
      <c r="AF1" s="4"/>
      <c r="AG1" s="4"/>
      <c r="AH1" s="4"/>
    </row>
    <row r="2" spans="1:34" x14ac:dyDescent="0.25">
      <c r="A2" t="s">
        <v>16</v>
      </c>
      <c r="B2">
        <v>1</v>
      </c>
      <c r="C2">
        <v>1.57</v>
      </c>
      <c r="D2">
        <v>2001</v>
      </c>
      <c r="E2" t="s">
        <v>17</v>
      </c>
      <c r="F2">
        <v>2001074</v>
      </c>
      <c r="G2">
        <v>2001153</v>
      </c>
      <c r="H2">
        <v>10339</v>
      </c>
      <c r="I2">
        <v>3173</v>
      </c>
      <c r="J2">
        <v>100</v>
      </c>
      <c r="K2">
        <v>225</v>
      </c>
      <c r="L2">
        <v>235</v>
      </c>
      <c r="M2">
        <v>100</v>
      </c>
      <c r="N2">
        <v>26.95234</v>
      </c>
      <c r="O2">
        <v>13.024760000000001</v>
      </c>
      <c r="P2">
        <v>23.194870000000002</v>
      </c>
      <c r="Q2">
        <v>66632</v>
      </c>
      <c r="T2" s="1"/>
      <c r="U2" s="1" t="s">
        <v>16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24</v>
      </c>
      <c r="AB2" s="1"/>
      <c r="AC2" s="1" t="s">
        <v>16</v>
      </c>
      <c r="AD2" s="1" t="s">
        <v>19</v>
      </c>
      <c r="AE2" s="1" t="s">
        <v>20</v>
      </c>
      <c r="AF2" s="1" t="s">
        <v>21</v>
      </c>
      <c r="AG2" s="1" t="s">
        <v>22</v>
      </c>
      <c r="AH2" s="1"/>
    </row>
    <row r="3" spans="1:34" x14ac:dyDescent="0.25">
      <c r="A3" t="s">
        <v>16</v>
      </c>
      <c r="B3">
        <v>1</v>
      </c>
      <c r="C3">
        <v>1.57</v>
      </c>
      <c r="D3">
        <v>2002</v>
      </c>
      <c r="E3" t="s">
        <v>17</v>
      </c>
      <c r="F3">
        <v>2002074</v>
      </c>
      <c r="G3">
        <v>2002154</v>
      </c>
      <c r="H3">
        <v>8849</v>
      </c>
      <c r="I3">
        <v>1944</v>
      </c>
      <c r="J3">
        <v>100</v>
      </c>
      <c r="K3">
        <v>182</v>
      </c>
      <c r="L3">
        <v>191</v>
      </c>
      <c r="M3">
        <v>100</v>
      </c>
      <c r="N3">
        <v>26.644860000000001</v>
      </c>
      <c r="O3">
        <v>12.84393</v>
      </c>
      <c r="P3">
        <v>22.83785</v>
      </c>
      <c r="Q3">
        <v>40821</v>
      </c>
      <c r="T3" s="1">
        <v>2001</v>
      </c>
      <c r="U3" s="2">
        <f>0.001*SUMIFS($Q:$Q,$A:$A,"=LOBA",$D:$D,$T3)</f>
        <v>666.53</v>
      </c>
      <c r="V3" s="2">
        <f>0.001*SUMIFS($Q:$Q,$A:$A,"=BECO",$D:$D,$T3)</f>
        <v>265.81099999999998</v>
      </c>
      <c r="W3" s="2">
        <f>0.001*SUMIFS($Q:$Q,$A:$A,"=COCO",$D:$D,$T3)</f>
        <v>489.56799999999998</v>
      </c>
      <c r="X3" s="2">
        <f>0.001*SUMIFS($Q:$Q,$A:$A,"=BAGR",$D:$D,$T3)</f>
        <v>105.578</v>
      </c>
      <c r="Y3" s="2">
        <f>0.001*SUMIFS($Q:$Q,$A:$A,"=CSCS",$D:$D,$T3)</f>
        <v>667.84900000000005</v>
      </c>
      <c r="Z3" s="3">
        <f>SUM(U3:X3)</f>
        <v>1527.4869999999999</v>
      </c>
      <c r="AB3" s="1">
        <v>2001</v>
      </c>
      <c r="AC3" s="2">
        <f>AVERAGEIFS($I:$I,$A:$A,"=LOBA",$D:$D,$T3)</f>
        <v>2244.4666666666667</v>
      </c>
      <c r="AD3" s="2">
        <f>AVERAGEIFS($I:$I,$A:$A,"=BECO",$D:$D,$T3)</f>
        <v>753.25</v>
      </c>
      <c r="AE3" s="2">
        <f>AVERAGEIFS($I:$I,$A:$A,"=COCO",$D:$D,$T3)</f>
        <v>1118.2727272727273</v>
      </c>
      <c r="AF3" s="2">
        <f>AVERAGEIFS($I:$I,$A:$A,"=BAGR",$D:$D,$T3)</f>
        <v>331.83333333333331</v>
      </c>
      <c r="AG3" s="2">
        <f>AVERAGEIFS($I:$I,$A:$A,"=CSCS",$D:$D,$T3)</f>
        <v>2147.5</v>
      </c>
      <c r="AH3" s="3"/>
    </row>
    <row r="4" spans="1:34" x14ac:dyDescent="0.25">
      <c r="A4" t="s">
        <v>16</v>
      </c>
      <c r="B4">
        <v>1</v>
      </c>
      <c r="C4">
        <v>1.57</v>
      </c>
      <c r="D4">
        <v>2003</v>
      </c>
      <c r="E4" t="s">
        <v>17</v>
      </c>
      <c r="F4">
        <v>2003074</v>
      </c>
      <c r="G4">
        <v>2003152</v>
      </c>
      <c r="H4">
        <v>4813</v>
      </c>
      <c r="I4">
        <v>803</v>
      </c>
      <c r="J4">
        <v>100</v>
      </c>
      <c r="K4">
        <v>74</v>
      </c>
      <c r="L4">
        <v>90</v>
      </c>
      <c r="M4">
        <v>100</v>
      </c>
      <c r="N4">
        <v>27.743929999999999</v>
      </c>
      <c r="O4">
        <v>13.48598</v>
      </c>
      <c r="P4">
        <v>22.79158</v>
      </c>
      <c r="Q4">
        <v>16853</v>
      </c>
      <c r="T4" s="1">
        <v>2002</v>
      </c>
      <c r="U4" s="2">
        <f t="shared" ref="U4:U22" si="0">0.001*SUMIFS($Q:$Q,$A:$A,"=LOBA",$D:$D,$T4)</f>
        <v>448.83</v>
      </c>
      <c r="V4" s="2">
        <f t="shared" ref="V4:V22" si="1">0.001*SUMIFS($Q:$Q,$A:$A,"=BECO",$D:$D,$T4)</f>
        <v>74.5</v>
      </c>
      <c r="W4" s="2">
        <f t="shared" ref="W4:W22" si="2">0.001*SUMIFS($Q:$Q,$A:$A,"=COCO",$D:$D,$T4)</f>
        <v>301.11400000000003</v>
      </c>
      <c r="X4" s="2">
        <f t="shared" ref="X4:X22" si="3">0.001*SUMIFS($Q:$Q,$A:$A,"=BAGR",$D:$D,$T4)</f>
        <v>308.44100000000003</v>
      </c>
      <c r="Y4" s="2">
        <f t="shared" ref="Y4:Y22" si="4">0.001*SUMIFS($Q:$Q,$A:$A,"=CSCS",$D:$D,$T4)</f>
        <v>746.43100000000004</v>
      </c>
      <c r="Z4" s="3">
        <f t="shared" ref="Z4:Z22" si="5">SUM(U4:X4)</f>
        <v>1132.885</v>
      </c>
      <c r="AB4" s="1">
        <v>2002</v>
      </c>
      <c r="AC4" s="2">
        <f t="shared" ref="AC4:AC22" si="6">AVERAGEIFS($I:$I,$A:$A,"=LOBA",$D:$D,$T4)</f>
        <v>1511.0666666666666</v>
      </c>
      <c r="AD4" s="2">
        <f t="shared" ref="AD4:AD22" si="7">AVERAGEIFS($I:$I,$A:$A,"=BECO",$D:$D,$T4)</f>
        <v>207.08333333333334</v>
      </c>
      <c r="AE4" s="2">
        <f t="shared" ref="AE4:AE22" si="8">AVERAGEIFS($I:$I,$A:$A,"=COCO",$D:$D,$T4)</f>
        <v>690.5454545454545</v>
      </c>
      <c r="AF4" s="2">
        <f t="shared" ref="AF4:AF22" si="9">AVERAGEIFS($I:$I,$A:$A,"=BAGR",$D:$D,$T4)</f>
        <v>968.08333333333337</v>
      </c>
      <c r="AG4" s="2">
        <f t="shared" ref="AG4:AG22" si="10">AVERAGEIFS($I:$I,$A:$A,"=CSCS",$D:$D,$T4)</f>
        <v>2391.3333333333335</v>
      </c>
      <c r="AH4" s="3"/>
    </row>
    <row r="5" spans="1:34" x14ac:dyDescent="0.25">
      <c r="A5" t="s">
        <v>16</v>
      </c>
      <c r="B5">
        <v>1</v>
      </c>
      <c r="C5">
        <v>1.57</v>
      </c>
      <c r="D5">
        <v>2004</v>
      </c>
      <c r="E5" t="s">
        <v>17</v>
      </c>
      <c r="F5">
        <v>2004074</v>
      </c>
      <c r="G5">
        <v>2004157</v>
      </c>
      <c r="H5">
        <v>12499</v>
      </c>
      <c r="I5">
        <v>4074</v>
      </c>
      <c r="J5">
        <v>100</v>
      </c>
      <c r="K5">
        <v>243</v>
      </c>
      <c r="L5">
        <v>308</v>
      </c>
      <c r="M5">
        <v>100</v>
      </c>
      <c r="N5">
        <v>27.68084</v>
      </c>
      <c r="O5">
        <v>12.85047</v>
      </c>
      <c r="P5">
        <v>23.241579999999999</v>
      </c>
      <c r="Q5">
        <v>85564</v>
      </c>
      <c r="T5" s="1">
        <v>2003</v>
      </c>
      <c r="U5" s="2">
        <f t="shared" si="0"/>
        <v>251.703</v>
      </c>
      <c r="V5" s="2">
        <f t="shared" si="1"/>
        <v>75.355000000000004</v>
      </c>
      <c r="W5" s="2">
        <f t="shared" si="2"/>
        <v>571.94100000000003</v>
      </c>
      <c r="X5" s="2">
        <f t="shared" si="3"/>
        <v>40.966000000000001</v>
      </c>
      <c r="Y5" s="2">
        <f t="shared" si="4"/>
        <v>599.08799999999997</v>
      </c>
      <c r="Z5" s="3">
        <f t="shared" si="5"/>
        <v>939.96500000000003</v>
      </c>
      <c r="AB5" s="1">
        <v>2003</v>
      </c>
      <c r="AC5" s="2">
        <f t="shared" si="6"/>
        <v>846</v>
      </c>
      <c r="AD5" s="2">
        <f t="shared" si="7"/>
        <v>213.25</v>
      </c>
      <c r="AE5" s="2">
        <f t="shared" si="8"/>
        <v>1304.090909090909</v>
      </c>
      <c r="AF5" s="2">
        <f t="shared" si="9"/>
        <v>132.91666666666666</v>
      </c>
      <c r="AG5" s="2">
        <f t="shared" si="10"/>
        <v>1931.25</v>
      </c>
      <c r="AH5" s="3"/>
    </row>
    <row r="6" spans="1:34" x14ac:dyDescent="0.25">
      <c r="A6" t="s">
        <v>16</v>
      </c>
      <c r="B6">
        <v>1</v>
      </c>
      <c r="C6">
        <v>1.57</v>
      </c>
      <c r="D6">
        <v>2005</v>
      </c>
      <c r="E6" t="s">
        <v>17</v>
      </c>
      <c r="F6">
        <v>2005074</v>
      </c>
      <c r="G6">
        <v>2005151</v>
      </c>
      <c r="H6">
        <v>7543</v>
      </c>
      <c r="I6">
        <v>1588</v>
      </c>
      <c r="J6">
        <v>100</v>
      </c>
      <c r="K6">
        <v>163</v>
      </c>
      <c r="L6">
        <v>172</v>
      </c>
      <c r="M6">
        <v>100</v>
      </c>
      <c r="N6">
        <v>28.805140000000002</v>
      </c>
      <c r="O6">
        <v>13.10467</v>
      </c>
      <c r="P6">
        <v>23.347190000000001</v>
      </c>
      <c r="Q6">
        <v>33355</v>
      </c>
      <c r="T6" s="1">
        <v>2004</v>
      </c>
      <c r="U6" s="2">
        <f t="shared" si="0"/>
        <v>848.42399999999998</v>
      </c>
      <c r="V6" s="2">
        <f t="shared" si="1"/>
        <v>364.61</v>
      </c>
      <c r="W6" s="2">
        <f t="shared" si="2"/>
        <v>1035.961</v>
      </c>
      <c r="X6" s="2">
        <f t="shared" si="3"/>
        <v>57.986000000000004</v>
      </c>
      <c r="Y6" s="2">
        <f t="shared" si="4"/>
        <v>688.70400000000006</v>
      </c>
      <c r="Z6" s="3">
        <f t="shared" si="5"/>
        <v>2306.9809999999998</v>
      </c>
      <c r="AB6" s="1">
        <v>2004</v>
      </c>
      <c r="AC6" s="2">
        <f t="shared" si="6"/>
        <v>2861.2</v>
      </c>
      <c r="AD6" s="2">
        <f t="shared" si="7"/>
        <v>1038.5833333333333</v>
      </c>
      <c r="AE6" s="2">
        <f t="shared" si="8"/>
        <v>2378.2727272727275</v>
      </c>
      <c r="AF6" s="2">
        <f t="shared" si="9"/>
        <v>190.41666666666666</v>
      </c>
      <c r="AG6" s="2">
        <f t="shared" si="10"/>
        <v>2210.4166666666665</v>
      </c>
      <c r="AH6" s="3"/>
    </row>
    <row r="7" spans="1:34" x14ac:dyDescent="0.25">
      <c r="A7" t="s">
        <v>16</v>
      </c>
      <c r="B7">
        <v>1</v>
      </c>
      <c r="C7">
        <v>1.57</v>
      </c>
      <c r="D7">
        <v>2006</v>
      </c>
      <c r="E7" t="s">
        <v>17</v>
      </c>
      <c r="F7">
        <v>2006074</v>
      </c>
      <c r="G7">
        <v>2006147</v>
      </c>
      <c r="H7">
        <v>6031</v>
      </c>
      <c r="I7">
        <v>1510</v>
      </c>
      <c r="J7">
        <v>100</v>
      </c>
      <c r="K7">
        <v>131</v>
      </c>
      <c r="L7">
        <v>205</v>
      </c>
      <c r="M7">
        <v>100</v>
      </c>
      <c r="N7">
        <v>28.91075</v>
      </c>
      <c r="O7">
        <v>13.59346</v>
      </c>
      <c r="P7">
        <v>22.645320000000002</v>
      </c>
      <c r="Q7">
        <v>31717</v>
      </c>
      <c r="T7" s="1">
        <v>2005</v>
      </c>
      <c r="U7" s="2">
        <f t="shared" si="0"/>
        <v>381.92200000000003</v>
      </c>
      <c r="V7" s="2">
        <f t="shared" si="1"/>
        <v>91.718000000000004</v>
      </c>
      <c r="W7" s="2">
        <f t="shared" si="2"/>
        <v>212.452</v>
      </c>
      <c r="X7" s="2">
        <f t="shared" si="3"/>
        <v>15.485000000000001</v>
      </c>
      <c r="Y7" s="2">
        <f t="shared" si="4"/>
        <v>165.07900000000001</v>
      </c>
      <c r="Z7" s="3">
        <f t="shared" si="5"/>
        <v>701.57700000000011</v>
      </c>
      <c r="AB7" s="1">
        <v>2005</v>
      </c>
      <c r="AC7" s="2">
        <f t="shared" si="6"/>
        <v>1288.5999999999999</v>
      </c>
      <c r="AD7" s="2">
        <f t="shared" si="7"/>
        <v>256</v>
      </c>
      <c r="AE7" s="2">
        <f t="shared" si="8"/>
        <v>487</v>
      </c>
      <c r="AF7" s="2">
        <f t="shared" si="9"/>
        <v>50.5</v>
      </c>
      <c r="AG7" s="2">
        <f t="shared" si="10"/>
        <v>528.58333333333337</v>
      </c>
      <c r="AH7" s="3"/>
    </row>
    <row r="8" spans="1:34" x14ac:dyDescent="0.25">
      <c r="A8" t="s">
        <v>16</v>
      </c>
      <c r="B8">
        <v>1</v>
      </c>
      <c r="C8">
        <v>1.57</v>
      </c>
      <c r="D8">
        <v>2007</v>
      </c>
      <c r="E8" t="s">
        <v>17</v>
      </c>
      <c r="F8">
        <v>2007074</v>
      </c>
      <c r="G8">
        <v>2007155</v>
      </c>
      <c r="H8">
        <v>12156</v>
      </c>
      <c r="I8">
        <v>4127</v>
      </c>
      <c r="J8">
        <v>100</v>
      </c>
      <c r="K8">
        <v>256</v>
      </c>
      <c r="L8">
        <v>364</v>
      </c>
      <c r="M8">
        <v>100</v>
      </c>
      <c r="N8">
        <v>26.823370000000001</v>
      </c>
      <c r="O8">
        <v>12.40047</v>
      </c>
      <c r="P8">
        <v>22.639720000000001</v>
      </c>
      <c r="Q8">
        <v>86660</v>
      </c>
      <c r="T8" s="1">
        <v>2006</v>
      </c>
      <c r="U8" s="2">
        <f t="shared" si="0"/>
        <v>409.85200000000003</v>
      </c>
      <c r="V8" s="2">
        <f t="shared" si="1"/>
        <v>288.84199999999998</v>
      </c>
      <c r="W8" s="2">
        <f t="shared" si="2"/>
        <v>285.42500000000001</v>
      </c>
      <c r="X8" s="2">
        <f t="shared" si="3"/>
        <v>98.878</v>
      </c>
      <c r="Y8" s="2">
        <f t="shared" si="4"/>
        <v>770.52</v>
      </c>
      <c r="Z8" s="3">
        <f t="shared" si="5"/>
        <v>1082.9969999999998</v>
      </c>
      <c r="AB8" s="1">
        <v>2006</v>
      </c>
      <c r="AC8" s="2">
        <f t="shared" si="6"/>
        <v>1381.5333333333333</v>
      </c>
      <c r="AD8" s="2">
        <f t="shared" si="7"/>
        <v>815.83333333333337</v>
      </c>
      <c r="AE8" s="2">
        <f t="shared" si="8"/>
        <v>654.36363636363637</v>
      </c>
      <c r="AF8" s="2">
        <f t="shared" si="9"/>
        <v>316.16666666666669</v>
      </c>
      <c r="AG8" s="2">
        <f t="shared" si="10"/>
        <v>2494.5833333333335</v>
      </c>
      <c r="AH8" s="3"/>
    </row>
    <row r="9" spans="1:34" x14ac:dyDescent="0.25">
      <c r="A9" t="s">
        <v>16</v>
      </c>
      <c r="B9">
        <v>1</v>
      </c>
      <c r="C9">
        <v>1.57</v>
      </c>
      <c r="D9">
        <v>2008</v>
      </c>
      <c r="E9" t="s">
        <v>17</v>
      </c>
      <c r="F9">
        <v>2008074</v>
      </c>
      <c r="G9">
        <v>2008157</v>
      </c>
      <c r="H9">
        <v>11352</v>
      </c>
      <c r="I9">
        <v>3634</v>
      </c>
      <c r="J9">
        <v>100</v>
      </c>
      <c r="K9">
        <v>208</v>
      </c>
      <c r="L9">
        <v>198</v>
      </c>
      <c r="M9">
        <v>100</v>
      </c>
      <c r="N9">
        <v>26.799530000000001</v>
      </c>
      <c r="O9">
        <v>12.018219999999999</v>
      </c>
      <c r="P9">
        <v>22.70093</v>
      </c>
      <c r="Q9">
        <v>76320</v>
      </c>
      <c r="T9" s="1">
        <v>2007</v>
      </c>
      <c r="U9" s="2">
        <f t="shared" si="0"/>
        <v>1002.975</v>
      </c>
      <c r="V9" s="2">
        <f t="shared" si="1"/>
        <v>386.89499999999998</v>
      </c>
      <c r="W9" s="2">
        <f t="shared" si="2"/>
        <v>654.99800000000005</v>
      </c>
      <c r="X9" s="2">
        <f t="shared" si="3"/>
        <v>25.934000000000001</v>
      </c>
      <c r="Y9" s="2">
        <f t="shared" si="4"/>
        <v>717.72800000000007</v>
      </c>
      <c r="Z9" s="3">
        <f t="shared" si="5"/>
        <v>2070.8020000000001</v>
      </c>
      <c r="AB9" s="1">
        <v>2007</v>
      </c>
      <c r="AC9" s="2">
        <f t="shared" si="6"/>
        <v>3377.8666666666668</v>
      </c>
      <c r="AD9" s="2">
        <f t="shared" si="7"/>
        <v>1088.0833333333333</v>
      </c>
      <c r="AE9" s="2">
        <f t="shared" si="8"/>
        <v>1508</v>
      </c>
      <c r="AF9" s="2">
        <f t="shared" si="9"/>
        <v>84.916666666666671</v>
      </c>
      <c r="AG9" s="2">
        <f t="shared" si="10"/>
        <v>2316.75</v>
      </c>
      <c r="AH9" s="3"/>
    </row>
    <row r="10" spans="1:34" x14ac:dyDescent="0.25">
      <c r="A10" t="s">
        <v>16</v>
      </c>
      <c r="B10">
        <v>1</v>
      </c>
      <c r="C10">
        <v>1.57</v>
      </c>
      <c r="D10">
        <v>2009</v>
      </c>
      <c r="E10" t="s">
        <v>17</v>
      </c>
      <c r="F10">
        <v>2009074</v>
      </c>
      <c r="G10">
        <v>2009152</v>
      </c>
      <c r="H10">
        <v>8738</v>
      </c>
      <c r="I10">
        <v>2069</v>
      </c>
      <c r="J10">
        <v>100</v>
      </c>
      <c r="K10">
        <v>141</v>
      </c>
      <c r="L10">
        <v>219</v>
      </c>
      <c r="M10">
        <v>100</v>
      </c>
      <c r="N10">
        <v>28.447659999999999</v>
      </c>
      <c r="O10">
        <v>12.70327</v>
      </c>
      <c r="P10">
        <v>23.0444</v>
      </c>
      <c r="Q10">
        <v>43439</v>
      </c>
      <c r="T10" s="1">
        <v>2008</v>
      </c>
      <c r="U10" s="2">
        <f t="shared" si="0"/>
        <v>893.46900000000005</v>
      </c>
      <c r="V10" s="2">
        <f t="shared" si="1"/>
        <v>232.37700000000001</v>
      </c>
      <c r="W10" s="2">
        <f t="shared" si="2"/>
        <v>580.87199999999996</v>
      </c>
      <c r="X10" s="2">
        <f t="shared" si="3"/>
        <v>41.558999999999997</v>
      </c>
      <c r="Y10" s="2">
        <f t="shared" si="4"/>
        <v>976.03800000000001</v>
      </c>
      <c r="Z10" s="3">
        <f t="shared" si="5"/>
        <v>1748.2769999999998</v>
      </c>
      <c r="AB10" s="1">
        <v>2008</v>
      </c>
      <c r="AC10" s="2">
        <f t="shared" si="6"/>
        <v>2988.8</v>
      </c>
      <c r="AD10" s="2">
        <f t="shared" si="7"/>
        <v>646.41666666666663</v>
      </c>
      <c r="AE10" s="2">
        <f t="shared" si="8"/>
        <v>1341.2727272727273</v>
      </c>
      <c r="AF10" s="2">
        <f t="shared" si="9"/>
        <v>133.25</v>
      </c>
      <c r="AG10" s="2">
        <f t="shared" si="10"/>
        <v>3158.6666666666665</v>
      </c>
      <c r="AH10" s="3"/>
    </row>
    <row r="11" spans="1:34" x14ac:dyDescent="0.25">
      <c r="A11" t="s">
        <v>16</v>
      </c>
      <c r="B11">
        <v>1</v>
      </c>
      <c r="C11">
        <v>1.57</v>
      </c>
      <c r="D11">
        <v>2010</v>
      </c>
      <c r="E11" t="s">
        <v>17</v>
      </c>
      <c r="F11">
        <v>2010074</v>
      </c>
      <c r="G11">
        <v>2010152</v>
      </c>
      <c r="H11">
        <v>10073</v>
      </c>
      <c r="I11">
        <v>3434</v>
      </c>
      <c r="J11">
        <v>100</v>
      </c>
      <c r="K11">
        <v>271</v>
      </c>
      <c r="L11">
        <v>467</v>
      </c>
      <c r="M11">
        <v>100</v>
      </c>
      <c r="N11">
        <v>28.176629999999999</v>
      </c>
      <c r="O11">
        <v>13.269629999999999</v>
      </c>
      <c r="P11">
        <v>22.800930000000001</v>
      </c>
      <c r="Q11">
        <v>72113</v>
      </c>
      <c r="T11" s="1">
        <v>2009</v>
      </c>
      <c r="U11" s="2">
        <f t="shared" si="0"/>
        <v>568.43100000000004</v>
      </c>
      <c r="V11" s="2">
        <f t="shared" si="1"/>
        <v>112.721</v>
      </c>
      <c r="W11" s="2">
        <f t="shared" si="2"/>
        <v>196.03100000000001</v>
      </c>
      <c r="X11" s="2">
        <f t="shared" si="3"/>
        <v>24.92</v>
      </c>
      <c r="Y11" s="2">
        <f t="shared" si="4"/>
        <v>589.88099999999997</v>
      </c>
      <c r="Z11" s="3">
        <f t="shared" si="5"/>
        <v>902.10299999999995</v>
      </c>
      <c r="AB11" s="1">
        <v>2009</v>
      </c>
      <c r="AC11" s="2">
        <f t="shared" si="6"/>
        <v>1907.4666666666667</v>
      </c>
      <c r="AD11" s="2">
        <f t="shared" si="7"/>
        <v>312.91666666666669</v>
      </c>
      <c r="AE11" s="2">
        <f t="shared" si="8"/>
        <v>452.90909090909093</v>
      </c>
      <c r="AF11" s="2">
        <f t="shared" si="9"/>
        <v>79.166666666666671</v>
      </c>
      <c r="AG11" s="2">
        <f t="shared" si="10"/>
        <v>1909.1666666666667</v>
      </c>
      <c r="AH11" s="3"/>
    </row>
    <row r="12" spans="1:34" x14ac:dyDescent="0.25">
      <c r="A12" t="s">
        <v>16</v>
      </c>
      <c r="B12">
        <v>1</v>
      </c>
      <c r="C12">
        <v>1.57</v>
      </c>
      <c r="D12">
        <v>2011</v>
      </c>
      <c r="E12" t="s">
        <v>18</v>
      </c>
      <c r="F12">
        <v>2011074</v>
      </c>
      <c r="G12">
        <v>2011139</v>
      </c>
      <c r="H12">
        <v>11195</v>
      </c>
      <c r="I12">
        <v>4957</v>
      </c>
      <c r="J12">
        <v>100</v>
      </c>
      <c r="K12">
        <v>213</v>
      </c>
      <c r="L12">
        <v>316</v>
      </c>
      <c r="M12">
        <v>100</v>
      </c>
      <c r="N12">
        <v>28.825230000000001</v>
      </c>
      <c r="O12">
        <v>13.140650000000001</v>
      </c>
      <c r="P12">
        <v>23.24953</v>
      </c>
      <c r="Q12">
        <v>104094</v>
      </c>
      <c r="T12" s="1">
        <v>2010</v>
      </c>
      <c r="U12" s="2">
        <f t="shared" si="0"/>
        <v>1008.187</v>
      </c>
      <c r="V12" s="2">
        <f t="shared" si="1"/>
        <v>542.03100000000006</v>
      </c>
      <c r="W12" s="2">
        <f t="shared" si="2"/>
        <v>1069.077</v>
      </c>
      <c r="X12" s="2">
        <f t="shared" si="3"/>
        <v>66.668000000000006</v>
      </c>
      <c r="Y12" s="2">
        <f t="shared" si="4"/>
        <v>913.67700000000002</v>
      </c>
      <c r="Z12" s="3">
        <f t="shared" si="5"/>
        <v>2685.9630000000002</v>
      </c>
      <c r="AB12" s="1">
        <v>2010</v>
      </c>
      <c r="AC12" s="2">
        <f t="shared" si="6"/>
        <v>3375.5333333333333</v>
      </c>
      <c r="AD12" s="2">
        <f t="shared" si="7"/>
        <v>1524.3333333333333</v>
      </c>
      <c r="AE12" s="2">
        <f t="shared" si="8"/>
        <v>2440.909090909091</v>
      </c>
      <c r="AF12" s="2">
        <f t="shared" si="9"/>
        <v>211.91666666666666</v>
      </c>
      <c r="AG12" s="2">
        <f t="shared" si="10"/>
        <v>2925.4166666666665</v>
      </c>
      <c r="AH12" s="3"/>
    </row>
    <row r="13" spans="1:34" x14ac:dyDescent="0.25">
      <c r="A13" t="s">
        <v>16</v>
      </c>
      <c r="B13">
        <v>1</v>
      </c>
      <c r="C13">
        <v>1.57</v>
      </c>
      <c r="D13">
        <v>2012</v>
      </c>
      <c r="E13" t="s">
        <v>18</v>
      </c>
      <c r="F13">
        <v>2012074</v>
      </c>
      <c r="G13">
        <v>2012156</v>
      </c>
      <c r="H13">
        <v>5878</v>
      </c>
      <c r="I13">
        <v>1559</v>
      </c>
      <c r="J13">
        <v>100</v>
      </c>
      <c r="K13">
        <v>146</v>
      </c>
      <c r="L13">
        <v>143</v>
      </c>
      <c r="M13">
        <v>100</v>
      </c>
      <c r="N13">
        <v>27.79252</v>
      </c>
      <c r="O13">
        <v>12.34112</v>
      </c>
      <c r="P13">
        <v>22.88551</v>
      </c>
      <c r="Q13">
        <v>32730</v>
      </c>
      <c r="T13" s="1">
        <v>2011</v>
      </c>
      <c r="U13" s="2">
        <f t="shared" si="0"/>
        <v>1306.115</v>
      </c>
      <c r="V13" s="2">
        <f t="shared" si="1"/>
        <v>757.53300000000002</v>
      </c>
      <c r="W13" s="2">
        <f t="shared" si="2"/>
        <v>1267.9639999999999</v>
      </c>
      <c r="X13" s="2">
        <f t="shared" si="3"/>
        <v>157.13</v>
      </c>
      <c r="Y13" s="2">
        <f t="shared" si="4"/>
        <v>572.10400000000004</v>
      </c>
      <c r="Z13" s="3">
        <f t="shared" si="5"/>
        <v>3488.7420000000002</v>
      </c>
      <c r="AB13" s="1">
        <v>2011</v>
      </c>
      <c r="AC13" s="2">
        <f t="shared" si="6"/>
        <v>4382</v>
      </c>
      <c r="AD13" s="2">
        <f t="shared" si="7"/>
        <v>2115.0833333333335</v>
      </c>
      <c r="AE13" s="2">
        <f t="shared" si="8"/>
        <v>2908.090909090909</v>
      </c>
      <c r="AF13" s="2">
        <f t="shared" si="9"/>
        <v>505.33333333333331</v>
      </c>
      <c r="AG13" s="2">
        <f t="shared" si="10"/>
        <v>1843.9166666666667</v>
      </c>
      <c r="AH13" s="3"/>
    </row>
    <row r="14" spans="1:34" x14ac:dyDescent="0.25">
      <c r="A14" t="s">
        <v>16</v>
      </c>
      <c r="B14">
        <v>1</v>
      </c>
      <c r="C14">
        <v>1.57</v>
      </c>
      <c r="D14">
        <v>2013</v>
      </c>
      <c r="E14" t="s">
        <v>18</v>
      </c>
      <c r="F14">
        <v>2013074</v>
      </c>
      <c r="G14">
        <v>2013147</v>
      </c>
      <c r="H14">
        <v>8499</v>
      </c>
      <c r="I14">
        <v>2512</v>
      </c>
      <c r="J14">
        <v>100</v>
      </c>
      <c r="K14">
        <v>316</v>
      </c>
      <c r="L14">
        <v>325</v>
      </c>
      <c r="M14">
        <v>100</v>
      </c>
      <c r="N14">
        <v>28.334099999999999</v>
      </c>
      <c r="O14">
        <v>12.199059999999999</v>
      </c>
      <c r="P14">
        <v>23.418220000000002</v>
      </c>
      <c r="Q14">
        <v>52748</v>
      </c>
      <c r="T14" s="1">
        <v>2012</v>
      </c>
      <c r="U14" s="2">
        <f t="shared" si="0"/>
        <v>380.71800000000002</v>
      </c>
      <c r="V14" s="2">
        <f t="shared" si="1"/>
        <v>186.023</v>
      </c>
      <c r="W14" s="2">
        <f t="shared" si="2"/>
        <v>321.23</v>
      </c>
      <c r="X14" s="2">
        <f t="shared" si="3"/>
        <v>106.843</v>
      </c>
      <c r="Y14" s="2">
        <f t="shared" si="4"/>
        <v>853.18299999999999</v>
      </c>
      <c r="Z14" s="3">
        <f t="shared" si="5"/>
        <v>994.81399999999996</v>
      </c>
      <c r="AB14" s="1">
        <v>2012</v>
      </c>
      <c r="AC14" s="2">
        <f t="shared" si="6"/>
        <v>1279.9333333333334</v>
      </c>
      <c r="AD14" s="2">
        <f t="shared" si="7"/>
        <v>523</v>
      </c>
      <c r="AE14" s="2">
        <f t="shared" si="8"/>
        <v>737.5454545454545</v>
      </c>
      <c r="AF14" s="2">
        <f t="shared" si="9"/>
        <v>339.25</v>
      </c>
      <c r="AG14" s="2">
        <f t="shared" si="10"/>
        <v>2759</v>
      </c>
      <c r="AH14" s="3"/>
    </row>
    <row r="15" spans="1:34" x14ac:dyDescent="0.25">
      <c r="A15" t="s">
        <v>16</v>
      </c>
      <c r="B15">
        <v>1</v>
      </c>
      <c r="C15">
        <v>1.57</v>
      </c>
      <c r="D15">
        <v>2014</v>
      </c>
      <c r="E15" t="s">
        <v>18</v>
      </c>
      <c r="F15">
        <v>2014074</v>
      </c>
      <c r="G15">
        <v>2014141</v>
      </c>
      <c r="H15">
        <v>9818</v>
      </c>
      <c r="I15">
        <v>3338</v>
      </c>
      <c r="J15">
        <v>100</v>
      </c>
      <c r="K15">
        <v>267</v>
      </c>
      <c r="L15">
        <v>346</v>
      </c>
      <c r="M15">
        <v>100</v>
      </c>
      <c r="N15">
        <v>27.617760000000001</v>
      </c>
      <c r="O15">
        <v>12.66916</v>
      </c>
      <c r="P15">
        <v>22.81683</v>
      </c>
      <c r="Q15">
        <v>70098</v>
      </c>
      <c r="T15" s="1">
        <v>2013</v>
      </c>
      <c r="U15" s="2">
        <f t="shared" si="0"/>
        <v>708.26</v>
      </c>
      <c r="V15" s="2">
        <f t="shared" si="1"/>
        <v>391.834</v>
      </c>
      <c r="W15" s="2">
        <f t="shared" si="2"/>
        <v>779.25</v>
      </c>
      <c r="X15" s="2">
        <f t="shared" si="3"/>
        <v>110.589</v>
      </c>
      <c r="Y15" s="2">
        <f t="shared" si="4"/>
        <v>987.25099999999998</v>
      </c>
      <c r="Z15" s="3">
        <f t="shared" si="5"/>
        <v>1989.933</v>
      </c>
      <c r="AB15" s="1">
        <v>2013</v>
      </c>
      <c r="AC15" s="2">
        <f t="shared" si="6"/>
        <v>2373.0666666666666</v>
      </c>
      <c r="AD15" s="2">
        <f t="shared" si="7"/>
        <v>1105.0833333333333</v>
      </c>
      <c r="AE15" s="2">
        <f t="shared" si="8"/>
        <v>1773.8181818181818</v>
      </c>
      <c r="AF15" s="2">
        <f t="shared" si="9"/>
        <v>364.66666666666669</v>
      </c>
      <c r="AG15" s="2">
        <f t="shared" si="10"/>
        <v>3174.8333333333335</v>
      </c>
      <c r="AH15" s="3"/>
    </row>
    <row r="16" spans="1:34" x14ac:dyDescent="0.25">
      <c r="A16" t="s">
        <v>16</v>
      </c>
      <c r="B16">
        <v>1</v>
      </c>
      <c r="C16">
        <v>1.57</v>
      </c>
      <c r="D16">
        <v>2015</v>
      </c>
      <c r="E16" t="s">
        <v>18</v>
      </c>
      <c r="F16">
        <v>2015074</v>
      </c>
      <c r="G16">
        <v>2015141</v>
      </c>
      <c r="H16">
        <v>8103</v>
      </c>
      <c r="I16">
        <v>3000</v>
      </c>
      <c r="J16">
        <v>100</v>
      </c>
      <c r="K16">
        <v>190</v>
      </c>
      <c r="L16">
        <v>159</v>
      </c>
      <c r="M16">
        <v>100</v>
      </c>
      <c r="N16">
        <v>28.844390000000001</v>
      </c>
      <c r="O16">
        <v>13.119619999999999</v>
      </c>
      <c r="P16">
        <v>23.194859999999998</v>
      </c>
      <c r="Q16">
        <v>62990</v>
      </c>
      <c r="T16" s="1">
        <v>2014</v>
      </c>
      <c r="U16" s="2">
        <f t="shared" si="0"/>
        <v>911.17500000000007</v>
      </c>
      <c r="V16" s="2">
        <f t="shared" si="1"/>
        <v>363.654</v>
      </c>
      <c r="W16" s="2">
        <f t="shared" si="2"/>
        <v>260.18</v>
      </c>
      <c r="X16" s="2">
        <f t="shared" si="3"/>
        <v>107.53400000000001</v>
      </c>
      <c r="Y16" s="2">
        <f t="shared" si="4"/>
        <v>443.40000000000003</v>
      </c>
      <c r="Z16" s="3">
        <f t="shared" si="5"/>
        <v>1642.5430000000003</v>
      </c>
      <c r="AB16" s="1">
        <v>2014</v>
      </c>
      <c r="AC16" s="2">
        <f t="shared" si="6"/>
        <v>3063.2666666666669</v>
      </c>
      <c r="AD16" s="2">
        <f t="shared" si="7"/>
        <v>1017.9166666666666</v>
      </c>
      <c r="AE16" s="2">
        <f t="shared" si="8"/>
        <v>596.09090909090912</v>
      </c>
      <c r="AF16" s="2">
        <f t="shared" si="9"/>
        <v>341.66666666666669</v>
      </c>
      <c r="AG16" s="2">
        <f t="shared" si="10"/>
        <v>1416.6666666666667</v>
      </c>
      <c r="AH16" s="3"/>
    </row>
    <row r="17" spans="1:34" x14ac:dyDescent="0.25">
      <c r="A17" t="s">
        <v>16</v>
      </c>
      <c r="B17">
        <v>1</v>
      </c>
      <c r="C17">
        <v>1.57</v>
      </c>
      <c r="D17">
        <v>2016</v>
      </c>
      <c r="E17" t="s">
        <v>18</v>
      </c>
      <c r="F17">
        <v>2016074</v>
      </c>
      <c r="G17">
        <v>2016151</v>
      </c>
      <c r="H17">
        <v>11976</v>
      </c>
      <c r="I17">
        <v>4629</v>
      </c>
      <c r="J17">
        <v>100</v>
      </c>
      <c r="K17">
        <v>275</v>
      </c>
      <c r="L17">
        <v>225</v>
      </c>
      <c r="M17">
        <v>100</v>
      </c>
      <c r="N17">
        <v>28.35981</v>
      </c>
      <c r="O17">
        <v>12.45421</v>
      </c>
      <c r="P17">
        <v>23.214950000000002</v>
      </c>
      <c r="Q17">
        <v>97210</v>
      </c>
      <c r="T17" s="1">
        <v>2015</v>
      </c>
      <c r="U17" s="2">
        <f t="shared" si="0"/>
        <v>650.15300000000002</v>
      </c>
      <c r="V17" s="2">
        <f t="shared" si="1"/>
        <v>220.34399999999999</v>
      </c>
      <c r="W17" s="2">
        <f t="shared" si="2"/>
        <v>278.28800000000001</v>
      </c>
      <c r="X17" s="2">
        <f t="shared" si="3"/>
        <v>52.106999999999999</v>
      </c>
      <c r="Y17" s="2">
        <f t="shared" si="4"/>
        <v>806.38599999999997</v>
      </c>
      <c r="Z17" s="3">
        <f t="shared" si="5"/>
        <v>1200.8920000000001</v>
      </c>
      <c r="AB17" s="1">
        <v>2015</v>
      </c>
      <c r="AC17" s="2">
        <f t="shared" si="6"/>
        <v>2194.3333333333335</v>
      </c>
      <c r="AD17" s="2">
        <f t="shared" si="7"/>
        <v>609.33333333333337</v>
      </c>
      <c r="AE17" s="2">
        <f t="shared" si="8"/>
        <v>637.36363636363637</v>
      </c>
      <c r="AF17" s="2">
        <f t="shared" si="9"/>
        <v>169.66666666666666</v>
      </c>
      <c r="AG17" s="2">
        <f t="shared" si="10"/>
        <v>2620.0833333333335</v>
      </c>
      <c r="AH17" s="3"/>
    </row>
    <row r="18" spans="1:34" x14ac:dyDescent="0.25">
      <c r="A18" t="s">
        <v>16</v>
      </c>
      <c r="B18">
        <v>1</v>
      </c>
      <c r="C18">
        <v>1.57</v>
      </c>
      <c r="D18">
        <v>2017</v>
      </c>
      <c r="E18" t="s">
        <v>18</v>
      </c>
      <c r="F18">
        <v>2017074</v>
      </c>
      <c r="G18">
        <v>2017142</v>
      </c>
      <c r="H18">
        <v>9003</v>
      </c>
      <c r="I18">
        <v>2497</v>
      </c>
      <c r="J18">
        <v>100</v>
      </c>
      <c r="K18">
        <v>93</v>
      </c>
      <c r="L18">
        <v>254</v>
      </c>
      <c r="M18">
        <v>100</v>
      </c>
      <c r="N18">
        <v>30.696729999999999</v>
      </c>
      <c r="O18">
        <v>12.98738</v>
      </c>
      <c r="P18">
        <v>23.798590000000001</v>
      </c>
      <c r="Q18">
        <v>52444</v>
      </c>
      <c r="T18" s="1">
        <v>2016</v>
      </c>
      <c r="U18" s="2">
        <f t="shared" si="0"/>
        <v>1037.258</v>
      </c>
      <c r="V18" s="2">
        <f t="shared" si="1"/>
        <v>244.20400000000001</v>
      </c>
      <c r="W18" s="2">
        <f t="shared" si="2"/>
        <v>1107.0709999999999</v>
      </c>
      <c r="X18" s="2">
        <f t="shared" si="3"/>
        <v>56.819000000000003</v>
      </c>
      <c r="Y18" s="2">
        <f t="shared" si="4"/>
        <v>608.95900000000006</v>
      </c>
      <c r="Z18" s="3">
        <f t="shared" si="5"/>
        <v>2445.3519999999999</v>
      </c>
      <c r="AB18" s="1">
        <v>2016</v>
      </c>
      <c r="AC18" s="2">
        <f t="shared" si="6"/>
        <v>3500.1333333333332</v>
      </c>
      <c r="AD18" s="2">
        <f t="shared" si="7"/>
        <v>692.58333333333337</v>
      </c>
      <c r="AE18" s="2">
        <f t="shared" si="8"/>
        <v>2560.6363636363635</v>
      </c>
      <c r="AF18" s="2">
        <f t="shared" si="9"/>
        <v>184.58333333333334</v>
      </c>
      <c r="AG18" s="2">
        <f t="shared" si="10"/>
        <v>1968.25</v>
      </c>
      <c r="AH18" s="3"/>
    </row>
    <row r="19" spans="1:34" x14ac:dyDescent="0.25">
      <c r="A19" t="s">
        <v>16</v>
      </c>
      <c r="B19">
        <v>1</v>
      </c>
      <c r="C19">
        <v>1.57</v>
      </c>
      <c r="D19">
        <v>2018</v>
      </c>
      <c r="E19" t="s">
        <v>18</v>
      </c>
      <c r="F19">
        <v>2018074</v>
      </c>
      <c r="G19">
        <v>2018151</v>
      </c>
      <c r="H19">
        <v>9740</v>
      </c>
      <c r="I19">
        <v>3661</v>
      </c>
      <c r="J19">
        <v>100</v>
      </c>
      <c r="K19">
        <v>306</v>
      </c>
      <c r="L19">
        <v>130</v>
      </c>
      <c r="M19">
        <v>100</v>
      </c>
      <c r="N19">
        <v>28.02102</v>
      </c>
      <c r="O19">
        <v>13.03645</v>
      </c>
      <c r="P19">
        <v>22.382709999999999</v>
      </c>
      <c r="Q19">
        <v>76886</v>
      </c>
      <c r="T19" s="1">
        <v>2017</v>
      </c>
      <c r="U19" s="2">
        <f t="shared" si="0"/>
        <v>690.05500000000006</v>
      </c>
      <c r="V19" s="2">
        <f t="shared" si="1"/>
        <v>283.61099999999999</v>
      </c>
      <c r="W19" s="2">
        <f t="shared" si="2"/>
        <v>808.01700000000005</v>
      </c>
      <c r="X19" s="2">
        <f t="shared" si="3"/>
        <v>55.901000000000003</v>
      </c>
      <c r="Y19" s="2">
        <f t="shared" si="4"/>
        <v>862.41200000000003</v>
      </c>
      <c r="Z19" s="3">
        <f t="shared" si="5"/>
        <v>1837.5840000000001</v>
      </c>
      <c r="AB19" s="1">
        <v>2017</v>
      </c>
      <c r="AC19" s="2">
        <f t="shared" si="6"/>
        <v>2324.7333333333331</v>
      </c>
      <c r="AD19" s="2">
        <f t="shared" si="7"/>
        <v>796.91666666666663</v>
      </c>
      <c r="AE19" s="2">
        <f t="shared" si="8"/>
        <v>1857.6363636363637</v>
      </c>
      <c r="AF19" s="2">
        <f t="shared" si="9"/>
        <v>180</v>
      </c>
      <c r="AG19" s="2">
        <f t="shared" si="10"/>
        <v>2791.6666666666665</v>
      </c>
      <c r="AH19" s="3"/>
    </row>
    <row r="20" spans="1:34" x14ac:dyDescent="0.25">
      <c r="A20" t="s">
        <v>16</v>
      </c>
      <c r="B20">
        <v>1</v>
      </c>
      <c r="C20">
        <v>1.57</v>
      </c>
      <c r="D20">
        <v>2019</v>
      </c>
      <c r="E20" t="s">
        <v>18</v>
      </c>
      <c r="F20">
        <v>2019074</v>
      </c>
      <c r="G20">
        <v>2019144</v>
      </c>
      <c r="H20">
        <v>5848</v>
      </c>
      <c r="I20">
        <v>2061</v>
      </c>
      <c r="J20">
        <v>100</v>
      </c>
      <c r="K20">
        <v>102</v>
      </c>
      <c r="L20">
        <v>159</v>
      </c>
      <c r="M20">
        <v>100</v>
      </c>
      <c r="N20">
        <v>29.18411</v>
      </c>
      <c r="O20">
        <v>12.50234</v>
      </c>
      <c r="P20">
        <v>24.013079999999999</v>
      </c>
      <c r="Q20">
        <v>43285</v>
      </c>
      <c r="T20" s="1">
        <v>2018</v>
      </c>
      <c r="U20" s="2">
        <f t="shared" si="0"/>
        <v>954.20699999999999</v>
      </c>
      <c r="V20" s="2">
        <f t="shared" si="1"/>
        <v>583.30200000000002</v>
      </c>
      <c r="W20" s="2">
        <f t="shared" si="2"/>
        <v>502.60700000000003</v>
      </c>
      <c r="X20" s="2">
        <f t="shared" si="3"/>
        <v>82.478000000000009</v>
      </c>
      <c r="Y20" s="2">
        <f t="shared" si="4"/>
        <v>813.68100000000004</v>
      </c>
      <c r="Z20" s="3">
        <f t="shared" si="5"/>
        <v>2122.5940000000001</v>
      </c>
      <c r="AB20" s="1">
        <v>2018</v>
      </c>
      <c r="AC20" s="2">
        <f t="shared" si="6"/>
        <v>3215</v>
      </c>
      <c r="AD20" s="2">
        <f t="shared" si="7"/>
        <v>1642.5833333333333</v>
      </c>
      <c r="AE20" s="2">
        <f t="shared" si="8"/>
        <v>1146.3636363636363</v>
      </c>
      <c r="AF20" s="2">
        <f t="shared" si="9"/>
        <v>266.83333333333331</v>
      </c>
      <c r="AG20" s="2">
        <f t="shared" si="10"/>
        <v>2605.75</v>
      </c>
      <c r="AH20" s="3"/>
    </row>
    <row r="21" spans="1:34" x14ac:dyDescent="0.25">
      <c r="A21" t="s">
        <v>16</v>
      </c>
      <c r="B21">
        <v>1</v>
      </c>
      <c r="C21">
        <v>1.57</v>
      </c>
      <c r="D21">
        <v>2020</v>
      </c>
      <c r="E21" t="s">
        <v>18</v>
      </c>
      <c r="F21">
        <v>2020074</v>
      </c>
      <c r="G21">
        <v>2020147</v>
      </c>
      <c r="H21">
        <v>10851</v>
      </c>
      <c r="I21">
        <v>3813</v>
      </c>
      <c r="J21">
        <v>100</v>
      </c>
      <c r="K21">
        <v>201</v>
      </c>
      <c r="L21">
        <v>202</v>
      </c>
      <c r="M21">
        <v>100</v>
      </c>
      <c r="N21">
        <v>28.948599999999999</v>
      </c>
      <c r="O21">
        <v>13.36215</v>
      </c>
      <c r="P21">
        <v>22.88458</v>
      </c>
      <c r="Q21">
        <v>80065</v>
      </c>
      <c r="T21" s="1">
        <v>2019</v>
      </c>
      <c r="U21" s="2">
        <f t="shared" si="0"/>
        <v>443.66500000000002</v>
      </c>
      <c r="V21" s="2">
        <f t="shared" si="1"/>
        <v>143.321</v>
      </c>
      <c r="W21" s="2">
        <f t="shared" si="2"/>
        <v>254.88900000000001</v>
      </c>
      <c r="X21" s="2">
        <f t="shared" si="3"/>
        <v>55.292000000000002</v>
      </c>
      <c r="Y21" s="2">
        <f t="shared" si="4"/>
        <v>873.97400000000005</v>
      </c>
      <c r="Z21" s="3">
        <f t="shared" si="5"/>
        <v>897.16700000000003</v>
      </c>
      <c r="AB21" s="1">
        <v>2019</v>
      </c>
      <c r="AC21" s="2">
        <f t="shared" si="6"/>
        <v>1500.4666666666667</v>
      </c>
      <c r="AD21" s="2">
        <f t="shared" si="7"/>
        <v>404.25</v>
      </c>
      <c r="AE21" s="2">
        <f t="shared" si="8"/>
        <v>582.90909090909088</v>
      </c>
      <c r="AF21" s="2">
        <f t="shared" si="9"/>
        <v>180.08333333333334</v>
      </c>
      <c r="AG21" s="2">
        <f t="shared" si="10"/>
        <v>2824</v>
      </c>
      <c r="AH21" s="3"/>
    </row>
    <row r="22" spans="1:34" x14ac:dyDescent="0.25">
      <c r="A22" t="s">
        <v>16</v>
      </c>
      <c r="B22">
        <v>2</v>
      </c>
      <c r="C22">
        <v>1.53</v>
      </c>
      <c r="D22">
        <v>2001</v>
      </c>
      <c r="E22" t="s">
        <v>17</v>
      </c>
      <c r="F22">
        <v>2001091</v>
      </c>
      <c r="G22">
        <v>2001162</v>
      </c>
      <c r="H22">
        <v>8938</v>
      </c>
      <c r="I22">
        <v>1766</v>
      </c>
      <c r="J22">
        <v>50</v>
      </c>
      <c r="K22">
        <v>225</v>
      </c>
      <c r="L22">
        <v>235</v>
      </c>
      <c r="M22">
        <v>125</v>
      </c>
      <c r="N22">
        <v>27.594919999999998</v>
      </c>
      <c r="O22">
        <v>13.4137</v>
      </c>
      <c r="P22">
        <v>23.716750000000001</v>
      </c>
      <c r="Q22">
        <v>42373</v>
      </c>
      <c r="T22" s="1">
        <v>2020</v>
      </c>
      <c r="U22" s="2">
        <f t="shared" si="0"/>
        <v>952.65100000000007</v>
      </c>
      <c r="V22" s="2">
        <f t="shared" si="1"/>
        <v>201.892</v>
      </c>
      <c r="W22" s="2">
        <f t="shared" si="2"/>
        <v>346.06299999999999</v>
      </c>
      <c r="X22" s="2">
        <f t="shared" si="3"/>
        <v>79.760000000000005</v>
      </c>
      <c r="Y22" s="2">
        <f t="shared" si="4"/>
        <v>887.86300000000006</v>
      </c>
      <c r="Z22" s="3">
        <f t="shared" si="5"/>
        <v>1580.3660000000002</v>
      </c>
      <c r="AB22" s="1">
        <v>2020</v>
      </c>
      <c r="AC22" s="2">
        <f t="shared" si="6"/>
        <v>3209.6</v>
      </c>
      <c r="AD22" s="2">
        <f t="shared" si="7"/>
        <v>569.41666666666663</v>
      </c>
      <c r="AE22" s="2">
        <f t="shared" si="8"/>
        <v>794.36363636363637</v>
      </c>
      <c r="AF22" s="2">
        <f t="shared" si="9"/>
        <v>256.91666666666669</v>
      </c>
      <c r="AG22" s="2">
        <f t="shared" si="10"/>
        <v>2881.25</v>
      </c>
      <c r="AH22" s="3"/>
    </row>
    <row r="23" spans="1:34" x14ac:dyDescent="0.25">
      <c r="A23" t="s">
        <v>16</v>
      </c>
      <c r="B23">
        <v>2</v>
      </c>
      <c r="C23">
        <v>1.53</v>
      </c>
      <c r="D23">
        <v>2002</v>
      </c>
      <c r="E23" t="s">
        <v>17</v>
      </c>
      <c r="F23">
        <v>2002091</v>
      </c>
      <c r="G23">
        <v>2002164</v>
      </c>
      <c r="H23">
        <v>8346</v>
      </c>
      <c r="I23">
        <v>1192</v>
      </c>
      <c r="J23">
        <v>50</v>
      </c>
      <c r="K23">
        <v>182</v>
      </c>
      <c r="L23">
        <v>191</v>
      </c>
      <c r="M23">
        <v>125</v>
      </c>
      <c r="N23">
        <v>27.10305</v>
      </c>
      <c r="O23">
        <v>13.228429999999999</v>
      </c>
      <c r="P23">
        <v>23.25076</v>
      </c>
      <c r="Q23">
        <v>28613</v>
      </c>
      <c r="AB23" t="s">
        <v>25</v>
      </c>
      <c r="AC23" s="5">
        <f>AVERAGE(AC3:AC22)</f>
        <v>2441.2533333333331</v>
      </c>
      <c r="AD23" s="5">
        <f t="shared" ref="AD23:AG23" si="11">AVERAGE(AD3:AD22)</f>
        <v>816.59583333333342</v>
      </c>
      <c r="AE23" s="5">
        <f t="shared" si="11"/>
        <v>1298.5227272727273</v>
      </c>
      <c r="AF23" s="5">
        <f t="shared" si="11"/>
        <v>264.4083333333333</v>
      </c>
      <c r="AG23" s="5">
        <f t="shared" si="11"/>
        <v>2344.9541666666669</v>
      </c>
    </row>
    <row r="24" spans="1:34" x14ac:dyDescent="0.25">
      <c r="A24" t="s">
        <v>16</v>
      </c>
      <c r="B24">
        <v>2</v>
      </c>
      <c r="C24">
        <v>1.53</v>
      </c>
      <c r="D24">
        <v>2003</v>
      </c>
      <c r="E24" t="s">
        <v>17</v>
      </c>
      <c r="F24">
        <v>2003091</v>
      </c>
      <c r="G24">
        <v>2003159</v>
      </c>
      <c r="H24">
        <v>3433</v>
      </c>
      <c r="I24">
        <v>328</v>
      </c>
      <c r="J24">
        <v>50</v>
      </c>
      <c r="K24">
        <v>74</v>
      </c>
      <c r="L24">
        <v>90</v>
      </c>
      <c r="M24">
        <v>125</v>
      </c>
      <c r="N24">
        <v>28.552790000000002</v>
      </c>
      <c r="O24">
        <v>13.9665</v>
      </c>
      <c r="P24">
        <v>23.503039999999999</v>
      </c>
      <c r="Q24">
        <v>7881</v>
      </c>
      <c r="AB24" t="s">
        <v>26</v>
      </c>
      <c r="AC24" s="6">
        <f>STDEVA(AC3:AC22)</f>
        <v>951.12789298743314</v>
      </c>
      <c r="AD24" s="6">
        <f t="shared" ref="AD24:AG24" si="12">STDEVA(AD3:AD22)</f>
        <v>504.11319150578282</v>
      </c>
      <c r="AE24" s="6">
        <f t="shared" si="12"/>
        <v>776.77363190852452</v>
      </c>
      <c r="AF24" s="6">
        <f t="shared" si="12"/>
        <v>200.88055952706438</v>
      </c>
      <c r="AG24" s="6">
        <f t="shared" si="12"/>
        <v>637.30146115790865</v>
      </c>
    </row>
    <row r="25" spans="1:34" x14ac:dyDescent="0.25">
      <c r="A25" t="s">
        <v>16</v>
      </c>
      <c r="B25">
        <v>2</v>
      </c>
      <c r="C25">
        <v>1.53</v>
      </c>
      <c r="D25">
        <v>2004</v>
      </c>
      <c r="E25" t="s">
        <v>17</v>
      </c>
      <c r="F25">
        <v>2004091</v>
      </c>
      <c r="G25">
        <v>2004162</v>
      </c>
      <c r="H25">
        <v>9514</v>
      </c>
      <c r="I25">
        <v>2167</v>
      </c>
      <c r="J25">
        <v>50</v>
      </c>
      <c r="K25">
        <v>243</v>
      </c>
      <c r="L25">
        <v>308</v>
      </c>
      <c r="M25">
        <v>125</v>
      </c>
      <c r="N25">
        <v>28.562439999999999</v>
      </c>
      <c r="O25">
        <v>13.373609999999999</v>
      </c>
      <c r="P25">
        <v>23.701519999999999</v>
      </c>
      <c r="Q25">
        <v>51998</v>
      </c>
      <c r="AB25" t="s">
        <v>27</v>
      </c>
      <c r="AC25">
        <f>AC24/AC23</f>
        <v>0.38960638783388585</v>
      </c>
      <c r="AD25">
        <f t="shared" ref="AD25:AG25" si="13">AD24/AD23</f>
        <v>0.61733500334920821</v>
      </c>
      <c r="AE25">
        <f t="shared" si="13"/>
        <v>0.59819794878752219</v>
      </c>
      <c r="AF25">
        <f t="shared" si="13"/>
        <v>0.75973611343716252</v>
      </c>
      <c r="AG25">
        <f t="shared" si="13"/>
        <v>0.27177565780052215</v>
      </c>
    </row>
    <row r="26" spans="1:34" x14ac:dyDescent="0.25">
      <c r="A26" t="s">
        <v>16</v>
      </c>
      <c r="B26">
        <v>2</v>
      </c>
      <c r="C26">
        <v>1.53</v>
      </c>
      <c r="D26">
        <v>2005</v>
      </c>
      <c r="E26" t="s">
        <v>17</v>
      </c>
      <c r="F26">
        <v>2005091</v>
      </c>
      <c r="G26">
        <v>2005159</v>
      </c>
      <c r="H26">
        <v>6114</v>
      </c>
      <c r="I26">
        <v>817</v>
      </c>
      <c r="J26">
        <v>50</v>
      </c>
      <c r="K26">
        <v>163</v>
      </c>
      <c r="L26">
        <v>172</v>
      </c>
      <c r="M26">
        <v>125</v>
      </c>
      <c r="N26">
        <v>29.330459999999999</v>
      </c>
      <c r="O26">
        <v>13.43046</v>
      </c>
      <c r="P26">
        <v>23.958880000000001</v>
      </c>
      <c r="Q26">
        <v>19619</v>
      </c>
    </row>
    <row r="27" spans="1:34" x14ac:dyDescent="0.25">
      <c r="A27" t="s">
        <v>16</v>
      </c>
      <c r="B27">
        <v>2</v>
      </c>
      <c r="C27">
        <v>1.53</v>
      </c>
      <c r="D27">
        <v>2006</v>
      </c>
      <c r="E27" t="s">
        <v>17</v>
      </c>
      <c r="F27">
        <v>2006091</v>
      </c>
      <c r="G27">
        <v>2006156</v>
      </c>
      <c r="H27">
        <v>5327</v>
      </c>
      <c r="I27">
        <v>866</v>
      </c>
      <c r="J27">
        <v>50</v>
      </c>
      <c r="K27">
        <v>131</v>
      </c>
      <c r="L27">
        <v>205</v>
      </c>
      <c r="M27">
        <v>125</v>
      </c>
      <c r="N27">
        <v>29.784770000000002</v>
      </c>
      <c r="O27">
        <v>14.032999999999999</v>
      </c>
      <c r="P27">
        <v>23.359390000000001</v>
      </c>
      <c r="Q27">
        <v>20784</v>
      </c>
    </row>
    <row r="28" spans="1:34" x14ac:dyDescent="0.25">
      <c r="A28" t="s">
        <v>16</v>
      </c>
      <c r="B28">
        <v>2</v>
      </c>
      <c r="C28">
        <v>1.53</v>
      </c>
      <c r="D28">
        <v>2007</v>
      </c>
      <c r="E28" t="s">
        <v>17</v>
      </c>
      <c r="F28">
        <v>2007091</v>
      </c>
      <c r="G28">
        <v>2007163</v>
      </c>
      <c r="H28">
        <v>10955</v>
      </c>
      <c r="I28">
        <v>2963</v>
      </c>
      <c r="J28">
        <v>50</v>
      </c>
      <c r="K28">
        <v>256</v>
      </c>
      <c r="L28">
        <v>364</v>
      </c>
      <c r="M28">
        <v>125</v>
      </c>
      <c r="N28">
        <v>27.577159999999999</v>
      </c>
      <c r="O28">
        <v>13.11219</v>
      </c>
      <c r="P28">
        <v>22.91574</v>
      </c>
      <c r="Q28">
        <v>71103</v>
      </c>
    </row>
    <row r="29" spans="1:34" x14ac:dyDescent="0.25">
      <c r="A29" t="s">
        <v>16</v>
      </c>
      <c r="B29">
        <v>2</v>
      </c>
      <c r="C29">
        <v>1.53</v>
      </c>
      <c r="D29">
        <v>2008</v>
      </c>
      <c r="E29" t="s">
        <v>18</v>
      </c>
      <c r="F29">
        <v>2008091</v>
      </c>
      <c r="G29">
        <v>2008157</v>
      </c>
      <c r="H29">
        <v>11668</v>
      </c>
      <c r="I29">
        <v>4003</v>
      </c>
      <c r="J29">
        <v>50</v>
      </c>
      <c r="K29">
        <v>208</v>
      </c>
      <c r="L29">
        <v>198</v>
      </c>
      <c r="M29">
        <v>125</v>
      </c>
      <c r="N29">
        <v>27.518260000000001</v>
      </c>
      <c r="O29">
        <v>12.576639999999999</v>
      </c>
      <c r="P29">
        <v>23.153300000000002</v>
      </c>
      <c r="Q29">
        <v>96065</v>
      </c>
    </row>
    <row r="30" spans="1:34" x14ac:dyDescent="0.25">
      <c r="A30" t="s">
        <v>16</v>
      </c>
      <c r="B30">
        <v>2</v>
      </c>
      <c r="C30">
        <v>1.53</v>
      </c>
      <c r="D30">
        <v>2009</v>
      </c>
      <c r="E30" t="s">
        <v>18</v>
      </c>
      <c r="F30">
        <v>2009091</v>
      </c>
      <c r="G30">
        <v>2009157</v>
      </c>
      <c r="H30">
        <v>8543</v>
      </c>
      <c r="I30">
        <v>1631</v>
      </c>
      <c r="J30">
        <v>50</v>
      </c>
      <c r="K30">
        <v>141</v>
      </c>
      <c r="L30">
        <v>219</v>
      </c>
      <c r="M30">
        <v>125</v>
      </c>
      <c r="N30">
        <v>28.913699999999999</v>
      </c>
      <c r="O30">
        <v>13.28477</v>
      </c>
      <c r="P30">
        <v>23.55686</v>
      </c>
      <c r="Q30">
        <v>39135</v>
      </c>
    </row>
    <row r="31" spans="1:34" x14ac:dyDescent="0.25">
      <c r="A31" t="s">
        <v>16</v>
      </c>
      <c r="B31">
        <v>2</v>
      </c>
      <c r="C31">
        <v>1.53</v>
      </c>
      <c r="D31">
        <v>2010</v>
      </c>
      <c r="E31" t="s">
        <v>18</v>
      </c>
      <c r="F31">
        <v>2010091</v>
      </c>
      <c r="G31">
        <v>2010154</v>
      </c>
      <c r="H31">
        <v>9656</v>
      </c>
      <c r="I31">
        <v>3606</v>
      </c>
      <c r="J31">
        <v>50</v>
      </c>
      <c r="K31">
        <v>271</v>
      </c>
      <c r="L31">
        <v>467</v>
      </c>
      <c r="M31">
        <v>125</v>
      </c>
      <c r="N31">
        <v>28.943660000000001</v>
      </c>
      <c r="O31">
        <v>13.73147</v>
      </c>
      <c r="P31">
        <v>23.500509999999998</v>
      </c>
      <c r="Q31">
        <v>86532</v>
      </c>
    </row>
    <row r="32" spans="1:34" x14ac:dyDescent="0.25">
      <c r="A32" t="s">
        <v>16</v>
      </c>
      <c r="B32">
        <v>2</v>
      </c>
      <c r="C32">
        <v>1.53</v>
      </c>
      <c r="D32">
        <v>2011</v>
      </c>
      <c r="E32" t="s">
        <v>18</v>
      </c>
      <c r="F32">
        <v>2011091</v>
      </c>
      <c r="G32">
        <v>2011147</v>
      </c>
      <c r="H32">
        <v>11665</v>
      </c>
      <c r="I32">
        <v>4610</v>
      </c>
      <c r="J32">
        <v>50</v>
      </c>
      <c r="K32">
        <v>213</v>
      </c>
      <c r="L32">
        <v>316</v>
      </c>
      <c r="M32">
        <v>125</v>
      </c>
      <c r="N32">
        <v>29.576139999999999</v>
      </c>
      <c r="O32">
        <v>13.629440000000001</v>
      </c>
      <c r="P32">
        <v>23.699490000000001</v>
      </c>
      <c r="Q32">
        <v>110651</v>
      </c>
    </row>
    <row r="33" spans="1:17" x14ac:dyDescent="0.25">
      <c r="A33" t="s">
        <v>16</v>
      </c>
      <c r="B33">
        <v>2</v>
      </c>
      <c r="C33">
        <v>1.53</v>
      </c>
      <c r="D33">
        <v>2012</v>
      </c>
      <c r="E33" t="s">
        <v>18</v>
      </c>
      <c r="F33">
        <v>2012091</v>
      </c>
      <c r="G33">
        <v>2012157</v>
      </c>
      <c r="H33">
        <v>4842</v>
      </c>
      <c r="I33">
        <v>892</v>
      </c>
      <c r="J33">
        <v>50</v>
      </c>
      <c r="K33">
        <v>146</v>
      </c>
      <c r="L33">
        <v>143</v>
      </c>
      <c r="M33">
        <v>125</v>
      </c>
      <c r="N33">
        <v>28.360910000000001</v>
      </c>
      <c r="O33">
        <v>12.93909</v>
      </c>
      <c r="P33">
        <v>23.30153</v>
      </c>
      <c r="Q33">
        <v>21408</v>
      </c>
    </row>
    <row r="34" spans="1:17" x14ac:dyDescent="0.25">
      <c r="A34" t="s">
        <v>16</v>
      </c>
      <c r="B34">
        <v>2</v>
      </c>
      <c r="C34">
        <v>1.53</v>
      </c>
      <c r="D34">
        <v>2013</v>
      </c>
      <c r="E34" t="s">
        <v>18</v>
      </c>
      <c r="F34">
        <v>2013091</v>
      </c>
      <c r="G34">
        <v>2013154</v>
      </c>
      <c r="H34">
        <v>9457</v>
      </c>
      <c r="I34">
        <v>2698</v>
      </c>
      <c r="J34">
        <v>50</v>
      </c>
      <c r="K34">
        <v>316</v>
      </c>
      <c r="L34">
        <v>325</v>
      </c>
      <c r="M34">
        <v>125</v>
      </c>
      <c r="N34">
        <v>29.317260000000001</v>
      </c>
      <c r="O34">
        <v>12.59137</v>
      </c>
      <c r="P34">
        <v>24.37208</v>
      </c>
      <c r="Q34">
        <v>64753</v>
      </c>
    </row>
    <row r="35" spans="1:17" x14ac:dyDescent="0.25">
      <c r="A35" t="s">
        <v>16</v>
      </c>
      <c r="B35">
        <v>2</v>
      </c>
      <c r="C35">
        <v>1.53</v>
      </c>
      <c r="D35">
        <v>2014</v>
      </c>
      <c r="E35" t="s">
        <v>18</v>
      </c>
      <c r="F35">
        <v>2014091</v>
      </c>
      <c r="G35">
        <v>2014152</v>
      </c>
      <c r="H35">
        <v>9874</v>
      </c>
      <c r="I35">
        <v>2643</v>
      </c>
      <c r="J35">
        <v>50</v>
      </c>
      <c r="K35">
        <v>267</v>
      </c>
      <c r="L35">
        <v>346</v>
      </c>
      <c r="M35">
        <v>125</v>
      </c>
      <c r="N35">
        <v>28.380700000000001</v>
      </c>
      <c r="O35">
        <v>13.32742</v>
      </c>
      <c r="P35">
        <v>23.334019999999999</v>
      </c>
      <c r="Q35">
        <v>63424</v>
      </c>
    </row>
    <row r="36" spans="1:17" x14ac:dyDescent="0.25">
      <c r="A36" t="s">
        <v>16</v>
      </c>
      <c r="B36">
        <v>2</v>
      </c>
      <c r="C36">
        <v>1.53</v>
      </c>
      <c r="D36">
        <v>2015</v>
      </c>
      <c r="E36" t="s">
        <v>18</v>
      </c>
      <c r="F36">
        <v>2015091</v>
      </c>
      <c r="G36">
        <v>2015150</v>
      </c>
      <c r="H36">
        <v>6747</v>
      </c>
      <c r="I36">
        <v>1402</v>
      </c>
      <c r="J36">
        <v>50</v>
      </c>
      <c r="K36">
        <v>190</v>
      </c>
      <c r="L36">
        <v>159</v>
      </c>
      <c r="M36">
        <v>125</v>
      </c>
      <c r="N36">
        <v>29.6538</v>
      </c>
      <c r="O36">
        <v>13.73452</v>
      </c>
      <c r="P36">
        <v>23.767510000000001</v>
      </c>
      <c r="Q36">
        <v>33658</v>
      </c>
    </row>
    <row r="37" spans="1:17" x14ac:dyDescent="0.25">
      <c r="A37" t="s">
        <v>16</v>
      </c>
      <c r="B37">
        <v>2</v>
      </c>
      <c r="C37">
        <v>1.53</v>
      </c>
      <c r="D37">
        <v>2016</v>
      </c>
      <c r="E37" t="s">
        <v>18</v>
      </c>
      <c r="F37">
        <v>2016091</v>
      </c>
      <c r="G37">
        <v>2016158</v>
      </c>
      <c r="H37">
        <v>10665</v>
      </c>
      <c r="I37">
        <v>2770</v>
      </c>
      <c r="J37">
        <v>50</v>
      </c>
      <c r="K37">
        <v>275</v>
      </c>
      <c r="L37">
        <v>225</v>
      </c>
      <c r="M37">
        <v>125</v>
      </c>
      <c r="N37">
        <v>29.304069999999999</v>
      </c>
      <c r="O37">
        <v>13.03706</v>
      </c>
      <c r="P37">
        <v>23.8599</v>
      </c>
      <c r="Q37">
        <v>66469</v>
      </c>
    </row>
    <row r="38" spans="1:17" x14ac:dyDescent="0.25">
      <c r="A38" t="s">
        <v>16</v>
      </c>
      <c r="B38">
        <v>2</v>
      </c>
      <c r="C38">
        <v>1.53</v>
      </c>
      <c r="D38">
        <v>2017</v>
      </c>
      <c r="E38" t="s">
        <v>18</v>
      </c>
      <c r="F38">
        <v>2017091</v>
      </c>
      <c r="G38">
        <v>2017148</v>
      </c>
      <c r="H38">
        <v>9105</v>
      </c>
      <c r="I38">
        <v>2077</v>
      </c>
      <c r="J38">
        <v>50</v>
      </c>
      <c r="K38">
        <v>93</v>
      </c>
      <c r="L38">
        <v>254</v>
      </c>
      <c r="M38">
        <v>125</v>
      </c>
      <c r="N38">
        <v>31.704070000000002</v>
      </c>
      <c r="O38">
        <v>13.61726</v>
      </c>
      <c r="P38">
        <v>24.412690000000001</v>
      </c>
      <c r="Q38">
        <v>49849</v>
      </c>
    </row>
    <row r="39" spans="1:17" x14ac:dyDescent="0.25">
      <c r="A39" t="s">
        <v>16</v>
      </c>
      <c r="B39">
        <v>2</v>
      </c>
      <c r="C39">
        <v>1.53</v>
      </c>
      <c r="D39">
        <v>2018</v>
      </c>
      <c r="E39" t="s">
        <v>18</v>
      </c>
      <c r="F39">
        <v>2018091</v>
      </c>
      <c r="G39">
        <v>2018157</v>
      </c>
      <c r="H39">
        <v>9898</v>
      </c>
      <c r="I39">
        <v>2831</v>
      </c>
      <c r="J39">
        <v>50</v>
      </c>
      <c r="K39">
        <v>306</v>
      </c>
      <c r="L39">
        <v>130</v>
      </c>
      <c r="M39">
        <v>125</v>
      </c>
      <c r="N39">
        <v>29.07563</v>
      </c>
      <c r="O39">
        <v>13.6934</v>
      </c>
      <c r="P39">
        <v>22.77411</v>
      </c>
      <c r="Q39">
        <v>67943</v>
      </c>
    </row>
    <row r="40" spans="1:17" x14ac:dyDescent="0.25">
      <c r="A40" t="s">
        <v>16</v>
      </c>
      <c r="B40">
        <v>2</v>
      </c>
      <c r="C40">
        <v>1.53</v>
      </c>
      <c r="D40">
        <v>2019</v>
      </c>
      <c r="E40" t="s">
        <v>18</v>
      </c>
      <c r="F40">
        <v>2019091</v>
      </c>
      <c r="G40">
        <v>2019153</v>
      </c>
      <c r="H40">
        <v>4249</v>
      </c>
      <c r="I40">
        <v>706</v>
      </c>
      <c r="J40">
        <v>50</v>
      </c>
      <c r="K40">
        <v>102</v>
      </c>
      <c r="L40">
        <v>159</v>
      </c>
      <c r="M40">
        <v>125</v>
      </c>
      <c r="N40">
        <v>29.774619999999999</v>
      </c>
      <c r="O40">
        <v>13.24822</v>
      </c>
      <c r="P40">
        <v>24.235530000000001</v>
      </c>
      <c r="Q40">
        <v>16948</v>
      </c>
    </row>
    <row r="41" spans="1:17" x14ac:dyDescent="0.25">
      <c r="A41" t="s">
        <v>16</v>
      </c>
      <c r="B41">
        <v>2</v>
      </c>
      <c r="C41">
        <v>1.53</v>
      </c>
      <c r="D41">
        <v>2020</v>
      </c>
      <c r="E41" t="s">
        <v>18</v>
      </c>
      <c r="F41">
        <v>2020091</v>
      </c>
      <c r="G41">
        <v>2020151</v>
      </c>
      <c r="H41">
        <v>10298</v>
      </c>
      <c r="I41">
        <v>2883</v>
      </c>
      <c r="J41">
        <v>50</v>
      </c>
      <c r="K41">
        <v>201</v>
      </c>
      <c r="L41">
        <v>202</v>
      </c>
      <c r="M41">
        <v>125</v>
      </c>
      <c r="N41">
        <v>29.84975</v>
      </c>
      <c r="O41">
        <v>13.92132</v>
      </c>
      <c r="P41">
        <v>23.44163</v>
      </c>
      <c r="Q41">
        <v>69195</v>
      </c>
    </row>
    <row r="42" spans="1:17" x14ac:dyDescent="0.25">
      <c r="A42" t="s">
        <v>16</v>
      </c>
      <c r="B42">
        <v>3</v>
      </c>
      <c r="C42">
        <v>1.41</v>
      </c>
      <c r="D42">
        <v>2001</v>
      </c>
      <c r="E42" t="s">
        <v>17</v>
      </c>
      <c r="F42">
        <v>2001074</v>
      </c>
      <c r="G42">
        <v>2001153</v>
      </c>
      <c r="H42">
        <v>8730</v>
      </c>
      <c r="I42">
        <v>2606</v>
      </c>
      <c r="J42">
        <v>100</v>
      </c>
      <c r="K42">
        <v>225</v>
      </c>
      <c r="L42">
        <v>235</v>
      </c>
      <c r="M42">
        <v>75</v>
      </c>
      <c r="N42">
        <v>26.95234</v>
      </c>
      <c r="O42">
        <v>13.024760000000001</v>
      </c>
      <c r="P42">
        <v>23.194870000000002</v>
      </c>
      <c r="Q42">
        <v>52127</v>
      </c>
    </row>
    <row r="43" spans="1:17" x14ac:dyDescent="0.25">
      <c r="A43" t="s">
        <v>16</v>
      </c>
      <c r="B43">
        <v>3</v>
      </c>
      <c r="C43">
        <v>1.41</v>
      </c>
      <c r="D43">
        <v>2002</v>
      </c>
      <c r="E43" t="s">
        <v>17</v>
      </c>
      <c r="F43">
        <v>2002074</v>
      </c>
      <c r="G43">
        <v>2002154</v>
      </c>
      <c r="H43">
        <v>7923</v>
      </c>
      <c r="I43">
        <v>1727</v>
      </c>
      <c r="J43">
        <v>100</v>
      </c>
      <c r="K43">
        <v>182</v>
      </c>
      <c r="L43">
        <v>191</v>
      </c>
      <c r="M43">
        <v>75</v>
      </c>
      <c r="N43">
        <v>26.644860000000001</v>
      </c>
      <c r="O43">
        <v>12.84393</v>
      </c>
      <c r="P43">
        <v>22.83785</v>
      </c>
      <c r="Q43">
        <v>34544</v>
      </c>
    </row>
    <row r="44" spans="1:17" x14ac:dyDescent="0.25">
      <c r="A44" t="s">
        <v>16</v>
      </c>
      <c r="B44">
        <v>3</v>
      </c>
      <c r="C44">
        <v>1.41</v>
      </c>
      <c r="D44">
        <v>2003</v>
      </c>
      <c r="E44" t="s">
        <v>17</v>
      </c>
      <c r="F44">
        <v>2003074</v>
      </c>
      <c r="G44">
        <v>2003152</v>
      </c>
      <c r="H44">
        <v>4723</v>
      </c>
      <c r="I44">
        <v>818</v>
      </c>
      <c r="J44">
        <v>100</v>
      </c>
      <c r="K44">
        <v>74</v>
      </c>
      <c r="L44">
        <v>90</v>
      </c>
      <c r="M44">
        <v>75</v>
      </c>
      <c r="N44">
        <v>27.743929999999999</v>
      </c>
      <c r="O44">
        <v>13.48598</v>
      </c>
      <c r="P44">
        <v>22.79158</v>
      </c>
      <c r="Q44">
        <v>16359</v>
      </c>
    </row>
    <row r="45" spans="1:17" x14ac:dyDescent="0.25">
      <c r="A45" t="s">
        <v>16</v>
      </c>
      <c r="B45">
        <v>3</v>
      </c>
      <c r="C45">
        <v>1.41</v>
      </c>
      <c r="D45">
        <v>2004</v>
      </c>
      <c r="E45" t="s">
        <v>17</v>
      </c>
      <c r="F45">
        <v>2004074</v>
      </c>
      <c r="G45">
        <v>2004157</v>
      </c>
      <c r="H45">
        <v>10739</v>
      </c>
      <c r="I45">
        <v>3538</v>
      </c>
      <c r="J45">
        <v>100</v>
      </c>
      <c r="K45">
        <v>243</v>
      </c>
      <c r="L45">
        <v>308</v>
      </c>
      <c r="M45">
        <v>75</v>
      </c>
      <c r="N45">
        <v>27.68084</v>
      </c>
      <c r="O45">
        <v>12.85047</v>
      </c>
      <c r="P45">
        <v>23.241579999999999</v>
      </c>
      <c r="Q45">
        <v>70758</v>
      </c>
    </row>
    <row r="46" spans="1:17" x14ac:dyDescent="0.25">
      <c r="A46" t="s">
        <v>16</v>
      </c>
      <c r="B46">
        <v>3</v>
      </c>
      <c r="C46">
        <v>1.41</v>
      </c>
      <c r="D46">
        <v>2005</v>
      </c>
      <c r="E46" t="s">
        <v>17</v>
      </c>
      <c r="F46">
        <v>2005074</v>
      </c>
      <c r="G46">
        <v>2005151</v>
      </c>
      <c r="H46">
        <v>7051</v>
      </c>
      <c r="I46">
        <v>1558</v>
      </c>
      <c r="J46">
        <v>100</v>
      </c>
      <c r="K46">
        <v>163</v>
      </c>
      <c r="L46">
        <v>172</v>
      </c>
      <c r="M46">
        <v>75</v>
      </c>
      <c r="N46">
        <v>28.805140000000002</v>
      </c>
      <c r="O46">
        <v>13.10467</v>
      </c>
      <c r="P46">
        <v>23.347190000000001</v>
      </c>
      <c r="Q46">
        <v>31161</v>
      </c>
    </row>
    <row r="47" spans="1:17" x14ac:dyDescent="0.25">
      <c r="A47" t="s">
        <v>16</v>
      </c>
      <c r="B47">
        <v>3</v>
      </c>
      <c r="C47">
        <v>1.41</v>
      </c>
      <c r="D47">
        <v>2006</v>
      </c>
      <c r="E47" t="s">
        <v>17</v>
      </c>
      <c r="F47">
        <v>2006074</v>
      </c>
      <c r="G47">
        <v>2006147</v>
      </c>
      <c r="H47">
        <v>5626</v>
      </c>
      <c r="I47">
        <v>1388</v>
      </c>
      <c r="J47">
        <v>100</v>
      </c>
      <c r="K47">
        <v>131</v>
      </c>
      <c r="L47">
        <v>205</v>
      </c>
      <c r="M47">
        <v>75</v>
      </c>
      <c r="N47">
        <v>28.91075</v>
      </c>
      <c r="O47">
        <v>13.59346</v>
      </c>
      <c r="P47">
        <v>22.645320000000002</v>
      </c>
      <c r="Q47">
        <v>27751</v>
      </c>
    </row>
    <row r="48" spans="1:17" x14ac:dyDescent="0.25">
      <c r="A48" t="s">
        <v>16</v>
      </c>
      <c r="B48">
        <v>3</v>
      </c>
      <c r="C48">
        <v>1.41</v>
      </c>
      <c r="D48">
        <v>2007</v>
      </c>
      <c r="E48" t="s">
        <v>17</v>
      </c>
      <c r="F48">
        <v>2007074</v>
      </c>
      <c r="G48">
        <v>2007155</v>
      </c>
      <c r="H48">
        <v>10970</v>
      </c>
      <c r="I48">
        <v>3720</v>
      </c>
      <c r="J48">
        <v>100</v>
      </c>
      <c r="K48">
        <v>256</v>
      </c>
      <c r="L48">
        <v>364</v>
      </c>
      <c r="M48">
        <v>75</v>
      </c>
      <c r="N48">
        <v>26.823370000000001</v>
      </c>
      <c r="O48">
        <v>12.40047</v>
      </c>
      <c r="P48">
        <v>22.639720000000001</v>
      </c>
      <c r="Q48">
        <v>74391</v>
      </c>
    </row>
    <row r="49" spans="1:17" x14ac:dyDescent="0.25">
      <c r="A49" t="s">
        <v>16</v>
      </c>
      <c r="B49">
        <v>3</v>
      </c>
      <c r="C49">
        <v>1.41</v>
      </c>
      <c r="D49">
        <v>2008</v>
      </c>
      <c r="E49" t="s">
        <v>17</v>
      </c>
      <c r="F49">
        <v>2008074</v>
      </c>
      <c r="G49">
        <v>2008157</v>
      </c>
      <c r="H49">
        <v>10230</v>
      </c>
      <c r="I49">
        <v>3340</v>
      </c>
      <c r="J49">
        <v>100</v>
      </c>
      <c r="K49">
        <v>208</v>
      </c>
      <c r="L49">
        <v>198</v>
      </c>
      <c r="M49">
        <v>75</v>
      </c>
      <c r="N49">
        <v>26.799530000000001</v>
      </c>
      <c r="O49">
        <v>12.018219999999999</v>
      </c>
      <c r="P49">
        <v>22.70093</v>
      </c>
      <c r="Q49">
        <v>66803</v>
      </c>
    </row>
    <row r="50" spans="1:17" x14ac:dyDescent="0.25">
      <c r="A50" t="s">
        <v>16</v>
      </c>
      <c r="B50">
        <v>3</v>
      </c>
      <c r="C50">
        <v>1.41</v>
      </c>
      <c r="D50">
        <v>2009</v>
      </c>
      <c r="E50" t="s">
        <v>18</v>
      </c>
      <c r="F50">
        <v>2009074</v>
      </c>
      <c r="G50">
        <v>2009147</v>
      </c>
      <c r="H50">
        <v>8391</v>
      </c>
      <c r="I50">
        <v>3067</v>
      </c>
      <c r="J50">
        <v>100</v>
      </c>
      <c r="K50">
        <v>141</v>
      </c>
      <c r="L50">
        <v>219</v>
      </c>
      <c r="M50">
        <v>75</v>
      </c>
      <c r="N50">
        <v>28.447659999999999</v>
      </c>
      <c r="O50">
        <v>12.70327</v>
      </c>
      <c r="P50">
        <v>23.0444</v>
      </c>
      <c r="Q50">
        <v>61333</v>
      </c>
    </row>
    <row r="51" spans="1:17" x14ac:dyDescent="0.25">
      <c r="A51" t="s">
        <v>16</v>
      </c>
      <c r="B51">
        <v>3</v>
      </c>
      <c r="C51">
        <v>1.41</v>
      </c>
      <c r="D51">
        <v>2010</v>
      </c>
      <c r="E51" t="s">
        <v>18</v>
      </c>
      <c r="F51">
        <v>2010074</v>
      </c>
      <c r="G51">
        <v>2010145</v>
      </c>
      <c r="H51">
        <v>8403</v>
      </c>
      <c r="I51">
        <v>3128</v>
      </c>
      <c r="J51">
        <v>100</v>
      </c>
      <c r="K51">
        <v>271</v>
      </c>
      <c r="L51">
        <v>467</v>
      </c>
      <c r="M51">
        <v>75</v>
      </c>
      <c r="N51">
        <v>28.176629999999999</v>
      </c>
      <c r="O51">
        <v>13.269629999999999</v>
      </c>
      <c r="P51">
        <v>22.800930000000001</v>
      </c>
      <c r="Q51">
        <v>62557</v>
      </c>
    </row>
    <row r="52" spans="1:17" x14ac:dyDescent="0.25">
      <c r="A52" t="s">
        <v>16</v>
      </c>
      <c r="B52">
        <v>3</v>
      </c>
      <c r="C52">
        <v>1.41</v>
      </c>
      <c r="D52">
        <v>2011</v>
      </c>
      <c r="E52" t="s">
        <v>18</v>
      </c>
      <c r="F52">
        <v>2011074</v>
      </c>
      <c r="G52">
        <v>2011139</v>
      </c>
      <c r="H52">
        <v>9794</v>
      </c>
      <c r="I52">
        <v>4347</v>
      </c>
      <c r="J52">
        <v>100</v>
      </c>
      <c r="K52">
        <v>213</v>
      </c>
      <c r="L52">
        <v>316</v>
      </c>
      <c r="M52">
        <v>75</v>
      </c>
      <c r="N52">
        <v>28.825230000000001</v>
      </c>
      <c r="O52">
        <v>13.140650000000001</v>
      </c>
      <c r="P52">
        <v>23.24953</v>
      </c>
      <c r="Q52">
        <v>86933</v>
      </c>
    </row>
    <row r="53" spans="1:17" x14ac:dyDescent="0.25">
      <c r="A53" t="s">
        <v>16</v>
      </c>
      <c r="B53">
        <v>3</v>
      </c>
      <c r="C53">
        <v>1.41</v>
      </c>
      <c r="D53">
        <v>2012</v>
      </c>
      <c r="E53" t="s">
        <v>18</v>
      </c>
      <c r="F53">
        <v>2012074</v>
      </c>
      <c r="G53">
        <v>2012156</v>
      </c>
      <c r="H53">
        <v>5638</v>
      </c>
      <c r="I53">
        <v>1502</v>
      </c>
      <c r="J53">
        <v>100</v>
      </c>
      <c r="K53">
        <v>146</v>
      </c>
      <c r="L53">
        <v>143</v>
      </c>
      <c r="M53">
        <v>75</v>
      </c>
      <c r="N53">
        <v>27.79252</v>
      </c>
      <c r="O53">
        <v>12.34112</v>
      </c>
      <c r="P53">
        <v>22.88551</v>
      </c>
      <c r="Q53">
        <v>30047</v>
      </c>
    </row>
    <row r="54" spans="1:17" x14ac:dyDescent="0.25">
      <c r="A54" t="s">
        <v>16</v>
      </c>
      <c r="B54">
        <v>3</v>
      </c>
      <c r="C54">
        <v>1.41</v>
      </c>
      <c r="D54">
        <v>2013</v>
      </c>
      <c r="E54" t="s">
        <v>18</v>
      </c>
      <c r="F54">
        <v>2013074</v>
      </c>
      <c r="G54">
        <v>2013147</v>
      </c>
      <c r="H54">
        <v>6861</v>
      </c>
      <c r="I54">
        <v>1822</v>
      </c>
      <c r="J54">
        <v>100</v>
      </c>
      <c r="K54">
        <v>316</v>
      </c>
      <c r="L54">
        <v>325</v>
      </c>
      <c r="M54">
        <v>75</v>
      </c>
      <c r="N54">
        <v>28.334099999999999</v>
      </c>
      <c r="O54">
        <v>12.199059999999999</v>
      </c>
      <c r="P54">
        <v>23.418220000000002</v>
      </c>
      <c r="Q54">
        <v>36445</v>
      </c>
    </row>
    <row r="55" spans="1:17" x14ac:dyDescent="0.25">
      <c r="A55" t="s">
        <v>16</v>
      </c>
      <c r="B55">
        <v>3</v>
      </c>
      <c r="C55">
        <v>1.41</v>
      </c>
      <c r="D55">
        <v>2014</v>
      </c>
      <c r="E55" t="s">
        <v>18</v>
      </c>
      <c r="F55">
        <v>2014074</v>
      </c>
      <c r="G55">
        <v>2014141</v>
      </c>
      <c r="H55">
        <v>8150</v>
      </c>
      <c r="I55">
        <v>2587</v>
      </c>
      <c r="J55">
        <v>100</v>
      </c>
      <c r="K55">
        <v>267</v>
      </c>
      <c r="L55">
        <v>346</v>
      </c>
      <c r="M55">
        <v>75</v>
      </c>
      <c r="N55">
        <v>27.617760000000001</v>
      </c>
      <c r="O55">
        <v>12.66916</v>
      </c>
      <c r="P55">
        <v>22.81683</v>
      </c>
      <c r="Q55">
        <v>51741</v>
      </c>
    </row>
    <row r="56" spans="1:17" x14ac:dyDescent="0.25">
      <c r="A56" t="s">
        <v>16</v>
      </c>
      <c r="B56">
        <v>3</v>
      </c>
      <c r="C56">
        <v>1.41</v>
      </c>
      <c r="D56">
        <v>2015</v>
      </c>
      <c r="E56" t="s">
        <v>18</v>
      </c>
      <c r="F56">
        <v>2015074</v>
      </c>
      <c r="G56">
        <v>2015141</v>
      </c>
      <c r="H56">
        <v>7524</v>
      </c>
      <c r="I56">
        <v>2740</v>
      </c>
      <c r="J56">
        <v>100</v>
      </c>
      <c r="K56">
        <v>190</v>
      </c>
      <c r="L56">
        <v>159</v>
      </c>
      <c r="M56">
        <v>75</v>
      </c>
      <c r="N56">
        <v>28.844390000000001</v>
      </c>
      <c r="O56">
        <v>13.119619999999999</v>
      </c>
      <c r="P56">
        <v>23.194859999999998</v>
      </c>
      <c r="Q56">
        <v>54801</v>
      </c>
    </row>
    <row r="57" spans="1:17" x14ac:dyDescent="0.25">
      <c r="A57" t="s">
        <v>16</v>
      </c>
      <c r="B57">
        <v>3</v>
      </c>
      <c r="C57">
        <v>1.41</v>
      </c>
      <c r="D57">
        <v>2016</v>
      </c>
      <c r="E57" t="s">
        <v>18</v>
      </c>
      <c r="F57">
        <v>2016074</v>
      </c>
      <c r="G57">
        <v>2016151</v>
      </c>
      <c r="H57">
        <v>10522</v>
      </c>
      <c r="I57">
        <v>4141</v>
      </c>
      <c r="J57">
        <v>100</v>
      </c>
      <c r="K57">
        <v>275</v>
      </c>
      <c r="L57">
        <v>225</v>
      </c>
      <c r="M57">
        <v>75</v>
      </c>
      <c r="N57">
        <v>28.35981</v>
      </c>
      <c r="O57">
        <v>12.45421</v>
      </c>
      <c r="P57">
        <v>23.214950000000002</v>
      </c>
      <c r="Q57">
        <v>82826</v>
      </c>
    </row>
    <row r="58" spans="1:17" x14ac:dyDescent="0.25">
      <c r="A58" t="s">
        <v>16</v>
      </c>
      <c r="B58">
        <v>3</v>
      </c>
      <c r="C58">
        <v>1.41</v>
      </c>
      <c r="D58">
        <v>2017</v>
      </c>
      <c r="E58" t="s">
        <v>18</v>
      </c>
      <c r="F58">
        <v>2017074</v>
      </c>
      <c r="G58">
        <v>2017142</v>
      </c>
      <c r="H58">
        <v>8074</v>
      </c>
      <c r="I58">
        <v>2280</v>
      </c>
      <c r="J58">
        <v>100</v>
      </c>
      <c r="K58">
        <v>93</v>
      </c>
      <c r="L58">
        <v>254</v>
      </c>
      <c r="M58">
        <v>75</v>
      </c>
      <c r="N58">
        <v>30.696729999999999</v>
      </c>
      <c r="O58">
        <v>12.98738</v>
      </c>
      <c r="P58">
        <v>23.798590000000001</v>
      </c>
      <c r="Q58">
        <v>45601</v>
      </c>
    </row>
    <row r="59" spans="1:17" x14ac:dyDescent="0.25">
      <c r="A59" t="s">
        <v>16</v>
      </c>
      <c r="B59">
        <v>3</v>
      </c>
      <c r="C59">
        <v>1.41</v>
      </c>
      <c r="D59">
        <v>2018</v>
      </c>
      <c r="E59" t="s">
        <v>18</v>
      </c>
      <c r="F59">
        <v>2018074</v>
      </c>
      <c r="G59">
        <v>2018151</v>
      </c>
      <c r="H59">
        <v>8830</v>
      </c>
      <c r="I59">
        <v>3456</v>
      </c>
      <c r="J59">
        <v>100</v>
      </c>
      <c r="K59">
        <v>306</v>
      </c>
      <c r="L59">
        <v>130</v>
      </c>
      <c r="M59">
        <v>75</v>
      </c>
      <c r="N59">
        <v>28.02102</v>
      </c>
      <c r="O59">
        <v>13.03645</v>
      </c>
      <c r="P59">
        <v>22.382709999999999</v>
      </c>
      <c r="Q59">
        <v>69110</v>
      </c>
    </row>
    <row r="60" spans="1:17" x14ac:dyDescent="0.25">
      <c r="A60" t="s">
        <v>16</v>
      </c>
      <c r="B60">
        <v>3</v>
      </c>
      <c r="C60">
        <v>1.41</v>
      </c>
      <c r="D60">
        <v>2019</v>
      </c>
      <c r="E60" t="s">
        <v>18</v>
      </c>
      <c r="F60">
        <v>2019074</v>
      </c>
      <c r="G60">
        <v>2019144</v>
      </c>
      <c r="H60">
        <v>5773</v>
      </c>
      <c r="I60">
        <v>2049</v>
      </c>
      <c r="J60">
        <v>100</v>
      </c>
      <c r="K60">
        <v>102</v>
      </c>
      <c r="L60">
        <v>159</v>
      </c>
      <c r="M60">
        <v>75</v>
      </c>
      <c r="N60">
        <v>29.18411</v>
      </c>
      <c r="O60">
        <v>12.50234</v>
      </c>
      <c r="P60">
        <v>24.013079999999999</v>
      </c>
      <c r="Q60">
        <v>40980</v>
      </c>
    </row>
    <row r="61" spans="1:17" x14ac:dyDescent="0.25">
      <c r="A61" t="s">
        <v>16</v>
      </c>
      <c r="B61">
        <v>3</v>
      </c>
      <c r="C61">
        <v>1.41</v>
      </c>
      <c r="D61">
        <v>2020</v>
      </c>
      <c r="E61" t="s">
        <v>18</v>
      </c>
      <c r="F61">
        <v>2020074</v>
      </c>
      <c r="G61">
        <v>2020147</v>
      </c>
      <c r="H61">
        <v>10181</v>
      </c>
      <c r="I61">
        <v>3693</v>
      </c>
      <c r="J61">
        <v>100</v>
      </c>
      <c r="K61">
        <v>201</v>
      </c>
      <c r="L61">
        <v>202</v>
      </c>
      <c r="M61">
        <v>75</v>
      </c>
      <c r="N61">
        <v>28.948599999999999</v>
      </c>
      <c r="O61">
        <v>13.36215</v>
      </c>
      <c r="P61">
        <v>22.88458</v>
      </c>
      <c r="Q61">
        <v>73865</v>
      </c>
    </row>
    <row r="62" spans="1:17" x14ac:dyDescent="0.25">
      <c r="A62" t="s">
        <v>16</v>
      </c>
      <c r="B62">
        <v>4</v>
      </c>
      <c r="C62">
        <v>1.68</v>
      </c>
      <c r="D62">
        <v>2001</v>
      </c>
      <c r="E62" t="s">
        <v>17</v>
      </c>
      <c r="F62">
        <v>2001074</v>
      </c>
      <c r="G62">
        <v>2001153</v>
      </c>
      <c r="H62">
        <v>9964</v>
      </c>
      <c r="I62">
        <v>2775</v>
      </c>
      <c r="J62">
        <v>50</v>
      </c>
      <c r="K62">
        <v>225</v>
      </c>
      <c r="L62">
        <v>235</v>
      </c>
      <c r="M62">
        <v>100</v>
      </c>
      <c r="N62">
        <v>26.95234</v>
      </c>
      <c r="O62">
        <v>13.024760000000001</v>
      </c>
      <c r="P62">
        <v>23.194870000000002</v>
      </c>
      <c r="Q62">
        <v>61048</v>
      </c>
    </row>
    <row r="63" spans="1:17" x14ac:dyDescent="0.25">
      <c r="A63" t="s">
        <v>16</v>
      </c>
      <c r="B63">
        <v>4</v>
      </c>
      <c r="C63">
        <v>1.68</v>
      </c>
      <c r="D63">
        <v>2002</v>
      </c>
      <c r="E63" t="s">
        <v>17</v>
      </c>
      <c r="F63">
        <v>2002074</v>
      </c>
      <c r="G63">
        <v>2002154</v>
      </c>
      <c r="H63">
        <v>7834</v>
      </c>
      <c r="I63">
        <v>1127</v>
      </c>
      <c r="J63">
        <v>50</v>
      </c>
      <c r="K63">
        <v>182</v>
      </c>
      <c r="L63">
        <v>191</v>
      </c>
      <c r="M63">
        <v>100</v>
      </c>
      <c r="N63">
        <v>26.644860000000001</v>
      </c>
      <c r="O63">
        <v>12.84393</v>
      </c>
      <c r="P63">
        <v>22.83785</v>
      </c>
      <c r="Q63">
        <v>24797</v>
      </c>
    </row>
    <row r="64" spans="1:17" x14ac:dyDescent="0.25">
      <c r="A64" t="s">
        <v>16</v>
      </c>
      <c r="B64">
        <v>4</v>
      </c>
      <c r="C64">
        <v>1.68</v>
      </c>
      <c r="D64">
        <v>2003</v>
      </c>
      <c r="E64" t="s">
        <v>17</v>
      </c>
      <c r="F64">
        <v>2003074</v>
      </c>
      <c r="G64">
        <v>2003152</v>
      </c>
      <c r="H64">
        <v>4224</v>
      </c>
      <c r="I64">
        <v>419</v>
      </c>
      <c r="J64">
        <v>50</v>
      </c>
      <c r="K64">
        <v>74</v>
      </c>
      <c r="L64">
        <v>90</v>
      </c>
      <c r="M64">
        <v>100</v>
      </c>
      <c r="N64">
        <v>27.743929999999999</v>
      </c>
      <c r="O64">
        <v>13.48598</v>
      </c>
      <c r="P64">
        <v>22.79158</v>
      </c>
      <c r="Q64">
        <v>9221</v>
      </c>
    </row>
    <row r="65" spans="1:17" x14ac:dyDescent="0.25">
      <c r="A65" t="s">
        <v>16</v>
      </c>
      <c r="B65">
        <v>4</v>
      </c>
      <c r="C65">
        <v>1.68</v>
      </c>
      <c r="D65">
        <v>2004</v>
      </c>
      <c r="E65" t="s">
        <v>17</v>
      </c>
      <c r="F65">
        <v>2004074</v>
      </c>
      <c r="G65">
        <v>2004157</v>
      </c>
      <c r="H65">
        <v>11995</v>
      </c>
      <c r="I65">
        <v>3655</v>
      </c>
      <c r="J65">
        <v>50</v>
      </c>
      <c r="K65">
        <v>243</v>
      </c>
      <c r="L65">
        <v>308</v>
      </c>
      <c r="M65">
        <v>100</v>
      </c>
      <c r="N65">
        <v>27.68084</v>
      </c>
      <c r="O65">
        <v>12.85047</v>
      </c>
      <c r="P65">
        <v>23.241579999999999</v>
      </c>
      <c r="Q65">
        <v>80401</v>
      </c>
    </row>
    <row r="66" spans="1:17" x14ac:dyDescent="0.25">
      <c r="A66" t="s">
        <v>16</v>
      </c>
      <c r="B66">
        <v>4</v>
      </c>
      <c r="C66">
        <v>1.68</v>
      </c>
      <c r="D66">
        <v>2005</v>
      </c>
      <c r="E66" t="s">
        <v>17</v>
      </c>
      <c r="F66">
        <v>2005074</v>
      </c>
      <c r="G66">
        <v>2005151</v>
      </c>
      <c r="H66">
        <v>6801</v>
      </c>
      <c r="I66">
        <v>1098</v>
      </c>
      <c r="J66">
        <v>50</v>
      </c>
      <c r="K66">
        <v>163</v>
      </c>
      <c r="L66">
        <v>172</v>
      </c>
      <c r="M66">
        <v>100</v>
      </c>
      <c r="N66">
        <v>28.805140000000002</v>
      </c>
      <c r="O66">
        <v>13.10467</v>
      </c>
      <c r="P66">
        <v>23.347190000000001</v>
      </c>
      <c r="Q66">
        <v>24150</v>
      </c>
    </row>
    <row r="67" spans="1:17" x14ac:dyDescent="0.25">
      <c r="A67" t="s">
        <v>16</v>
      </c>
      <c r="B67">
        <v>4</v>
      </c>
      <c r="C67">
        <v>1.68</v>
      </c>
      <c r="D67">
        <v>2006</v>
      </c>
      <c r="E67" t="s">
        <v>17</v>
      </c>
      <c r="F67">
        <v>2006074</v>
      </c>
      <c r="G67">
        <v>2006147</v>
      </c>
      <c r="H67">
        <v>5456</v>
      </c>
      <c r="I67">
        <v>1053</v>
      </c>
      <c r="J67">
        <v>50</v>
      </c>
      <c r="K67">
        <v>131</v>
      </c>
      <c r="L67">
        <v>205</v>
      </c>
      <c r="M67">
        <v>100</v>
      </c>
      <c r="N67">
        <v>28.91075</v>
      </c>
      <c r="O67">
        <v>13.59346</v>
      </c>
      <c r="P67">
        <v>22.645320000000002</v>
      </c>
      <c r="Q67">
        <v>23155</v>
      </c>
    </row>
    <row r="68" spans="1:17" x14ac:dyDescent="0.25">
      <c r="A68" t="s">
        <v>16</v>
      </c>
      <c r="B68">
        <v>4</v>
      </c>
      <c r="C68">
        <v>1.68</v>
      </c>
      <c r="D68">
        <v>2007</v>
      </c>
      <c r="E68" t="s">
        <v>17</v>
      </c>
      <c r="F68">
        <v>2007074</v>
      </c>
      <c r="G68">
        <v>2007155</v>
      </c>
      <c r="H68">
        <v>11860</v>
      </c>
      <c r="I68">
        <v>3658</v>
      </c>
      <c r="J68">
        <v>50</v>
      </c>
      <c r="K68">
        <v>256</v>
      </c>
      <c r="L68">
        <v>364</v>
      </c>
      <c r="M68">
        <v>100</v>
      </c>
      <c r="N68">
        <v>26.823370000000001</v>
      </c>
      <c r="O68">
        <v>12.40047</v>
      </c>
      <c r="P68">
        <v>22.639720000000001</v>
      </c>
      <c r="Q68">
        <v>80477</v>
      </c>
    </row>
    <row r="69" spans="1:17" x14ac:dyDescent="0.25">
      <c r="A69" t="s">
        <v>16</v>
      </c>
      <c r="B69">
        <v>4</v>
      </c>
      <c r="C69">
        <v>1.68</v>
      </c>
      <c r="D69">
        <v>2008</v>
      </c>
      <c r="E69" t="s">
        <v>17</v>
      </c>
      <c r="F69">
        <v>2008074</v>
      </c>
      <c r="G69">
        <v>2008157</v>
      </c>
      <c r="H69">
        <v>10604</v>
      </c>
      <c r="I69">
        <v>2893</v>
      </c>
      <c r="J69">
        <v>50</v>
      </c>
      <c r="K69">
        <v>208</v>
      </c>
      <c r="L69">
        <v>198</v>
      </c>
      <c r="M69">
        <v>100</v>
      </c>
      <c r="N69">
        <v>26.799530000000001</v>
      </c>
      <c r="O69">
        <v>12.018219999999999</v>
      </c>
      <c r="P69">
        <v>22.70093</v>
      </c>
      <c r="Q69">
        <v>63640</v>
      </c>
    </row>
    <row r="70" spans="1:17" x14ac:dyDescent="0.25">
      <c r="A70" t="s">
        <v>16</v>
      </c>
      <c r="B70">
        <v>4</v>
      </c>
      <c r="C70">
        <v>1.68</v>
      </c>
      <c r="D70">
        <v>2009</v>
      </c>
      <c r="E70" t="s">
        <v>17</v>
      </c>
      <c r="F70">
        <v>2009074</v>
      </c>
      <c r="G70">
        <v>2009152</v>
      </c>
      <c r="H70">
        <v>7861</v>
      </c>
      <c r="I70">
        <v>1358</v>
      </c>
      <c r="J70">
        <v>50</v>
      </c>
      <c r="K70">
        <v>141</v>
      </c>
      <c r="L70">
        <v>219</v>
      </c>
      <c r="M70">
        <v>100</v>
      </c>
      <c r="N70">
        <v>28.447659999999999</v>
      </c>
      <c r="O70">
        <v>12.70327</v>
      </c>
      <c r="P70">
        <v>23.0444</v>
      </c>
      <c r="Q70">
        <v>29876</v>
      </c>
    </row>
    <row r="71" spans="1:17" x14ac:dyDescent="0.25">
      <c r="A71" t="s">
        <v>16</v>
      </c>
      <c r="B71">
        <v>4</v>
      </c>
      <c r="C71">
        <v>1.68</v>
      </c>
      <c r="D71">
        <v>2010</v>
      </c>
      <c r="E71" t="s">
        <v>18</v>
      </c>
      <c r="F71">
        <v>2010074</v>
      </c>
      <c r="G71">
        <v>2010145</v>
      </c>
      <c r="H71">
        <v>9699</v>
      </c>
      <c r="I71">
        <v>3557</v>
      </c>
      <c r="J71">
        <v>50</v>
      </c>
      <c r="K71">
        <v>271</v>
      </c>
      <c r="L71">
        <v>467</v>
      </c>
      <c r="M71">
        <v>100</v>
      </c>
      <c r="N71">
        <v>28.176629999999999</v>
      </c>
      <c r="O71">
        <v>13.269629999999999</v>
      </c>
      <c r="P71">
        <v>22.800930000000001</v>
      </c>
      <c r="Q71">
        <v>78257</v>
      </c>
    </row>
    <row r="72" spans="1:17" x14ac:dyDescent="0.25">
      <c r="A72" t="s">
        <v>16</v>
      </c>
      <c r="B72">
        <v>4</v>
      </c>
      <c r="C72">
        <v>1.68</v>
      </c>
      <c r="D72">
        <v>2011</v>
      </c>
      <c r="E72" t="s">
        <v>18</v>
      </c>
      <c r="F72">
        <v>2011074</v>
      </c>
      <c r="G72">
        <v>2011139</v>
      </c>
      <c r="H72">
        <v>11324</v>
      </c>
      <c r="I72">
        <v>5032</v>
      </c>
      <c r="J72">
        <v>50</v>
      </c>
      <c r="K72">
        <v>213</v>
      </c>
      <c r="L72">
        <v>316</v>
      </c>
      <c r="M72">
        <v>100</v>
      </c>
      <c r="N72">
        <v>28.825230000000001</v>
      </c>
      <c r="O72">
        <v>13.140650000000001</v>
      </c>
      <c r="P72">
        <v>23.24953</v>
      </c>
      <c r="Q72">
        <v>110704</v>
      </c>
    </row>
    <row r="73" spans="1:17" x14ac:dyDescent="0.25">
      <c r="A73" t="s">
        <v>16</v>
      </c>
      <c r="B73">
        <v>4</v>
      </c>
      <c r="C73">
        <v>1.68</v>
      </c>
      <c r="D73">
        <v>2012</v>
      </c>
      <c r="E73" t="s">
        <v>18</v>
      </c>
      <c r="F73">
        <v>2012074</v>
      </c>
      <c r="G73">
        <v>2012156</v>
      </c>
      <c r="H73">
        <v>4766</v>
      </c>
      <c r="I73">
        <v>825</v>
      </c>
      <c r="J73">
        <v>50</v>
      </c>
      <c r="K73">
        <v>146</v>
      </c>
      <c r="L73">
        <v>143</v>
      </c>
      <c r="M73">
        <v>100</v>
      </c>
      <c r="N73">
        <v>27.79252</v>
      </c>
      <c r="O73">
        <v>12.34112</v>
      </c>
      <c r="P73">
        <v>22.88551</v>
      </c>
      <c r="Q73">
        <v>18150</v>
      </c>
    </row>
    <row r="74" spans="1:17" x14ac:dyDescent="0.25">
      <c r="A74" t="s">
        <v>16</v>
      </c>
      <c r="B74">
        <v>4</v>
      </c>
      <c r="C74">
        <v>1.68</v>
      </c>
      <c r="D74">
        <v>2013</v>
      </c>
      <c r="E74" t="s">
        <v>18</v>
      </c>
      <c r="F74">
        <v>2013074</v>
      </c>
      <c r="G74">
        <v>2013147</v>
      </c>
      <c r="H74">
        <v>8112</v>
      </c>
      <c r="I74">
        <v>2208</v>
      </c>
      <c r="J74">
        <v>50</v>
      </c>
      <c r="K74">
        <v>316</v>
      </c>
      <c r="L74">
        <v>325</v>
      </c>
      <c r="M74">
        <v>100</v>
      </c>
      <c r="N74">
        <v>28.334099999999999</v>
      </c>
      <c r="O74">
        <v>12.199059999999999</v>
      </c>
      <c r="P74">
        <v>23.418220000000002</v>
      </c>
      <c r="Q74">
        <v>48584</v>
      </c>
    </row>
    <row r="75" spans="1:17" x14ac:dyDescent="0.25">
      <c r="A75" t="s">
        <v>16</v>
      </c>
      <c r="B75">
        <v>4</v>
      </c>
      <c r="C75">
        <v>1.68</v>
      </c>
      <c r="D75">
        <v>2014</v>
      </c>
      <c r="E75" t="s">
        <v>18</v>
      </c>
      <c r="F75">
        <v>2014074</v>
      </c>
      <c r="G75">
        <v>2014141</v>
      </c>
      <c r="H75">
        <v>9971</v>
      </c>
      <c r="I75">
        <v>3458</v>
      </c>
      <c r="J75">
        <v>50</v>
      </c>
      <c r="K75">
        <v>267</v>
      </c>
      <c r="L75">
        <v>346</v>
      </c>
      <c r="M75">
        <v>100</v>
      </c>
      <c r="N75">
        <v>27.617760000000001</v>
      </c>
      <c r="O75">
        <v>12.66916</v>
      </c>
      <c r="P75">
        <v>22.81683</v>
      </c>
      <c r="Q75">
        <v>76085</v>
      </c>
    </row>
    <row r="76" spans="1:17" x14ac:dyDescent="0.25">
      <c r="A76" t="s">
        <v>16</v>
      </c>
      <c r="B76">
        <v>4</v>
      </c>
      <c r="C76">
        <v>1.68</v>
      </c>
      <c r="D76">
        <v>2015</v>
      </c>
      <c r="E76" t="s">
        <v>18</v>
      </c>
      <c r="F76">
        <v>2015074</v>
      </c>
      <c r="G76">
        <v>2015141</v>
      </c>
      <c r="H76">
        <v>7358</v>
      </c>
      <c r="I76">
        <v>2274</v>
      </c>
      <c r="J76">
        <v>50</v>
      </c>
      <c r="K76">
        <v>190</v>
      </c>
      <c r="L76">
        <v>159</v>
      </c>
      <c r="M76">
        <v>100</v>
      </c>
      <c r="N76">
        <v>28.844390000000001</v>
      </c>
      <c r="O76">
        <v>13.119619999999999</v>
      </c>
      <c r="P76">
        <v>23.194859999999998</v>
      </c>
      <c r="Q76">
        <v>50025</v>
      </c>
    </row>
    <row r="77" spans="1:17" x14ac:dyDescent="0.25">
      <c r="A77" t="s">
        <v>16</v>
      </c>
      <c r="B77">
        <v>4</v>
      </c>
      <c r="C77">
        <v>1.68</v>
      </c>
      <c r="D77">
        <v>2016</v>
      </c>
      <c r="E77" t="s">
        <v>18</v>
      </c>
      <c r="F77">
        <v>2016074</v>
      </c>
      <c r="G77">
        <v>2016151</v>
      </c>
      <c r="H77">
        <v>11363</v>
      </c>
      <c r="I77">
        <v>3928</v>
      </c>
      <c r="J77">
        <v>50</v>
      </c>
      <c r="K77">
        <v>275</v>
      </c>
      <c r="L77">
        <v>225</v>
      </c>
      <c r="M77">
        <v>100</v>
      </c>
      <c r="N77">
        <v>28.35981</v>
      </c>
      <c r="O77">
        <v>12.45421</v>
      </c>
      <c r="P77">
        <v>23.214950000000002</v>
      </c>
      <c r="Q77">
        <v>86408</v>
      </c>
    </row>
    <row r="78" spans="1:17" x14ac:dyDescent="0.25">
      <c r="A78" t="s">
        <v>16</v>
      </c>
      <c r="B78">
        <v>4</v>
      </c>
      <c r="C78">
        <v>1.68</v>
      </c>
      <c r="D78">
        <v>2017</v>
      </c>
      <c r="E78" t="s">
        <v>18</v>
      </c>
      <c r="F78">
        <v>2017074</v>
      </c>
      <c r="G78">
        <v>2017142</v>
      </c>
      <c r="H78">
        <v>8721</v>
      </c>
      <c r="I78">
        <v>2291</v>
      </c>
      <c r="J78">
        <v>50</v>
      </c>
      <c r="K78">
        <v>93</v>
      </c>
      <c r="L78">
        <v>254</v>
      </c>
      <c r="M78">
        <v>100</v>
      </c>
      <c r="N78">
        <v>30.696729999999999</v>
      </c>
      <c r="O78">
        <v>12.98738</v>
      </c>
      <c r="P78">
        <v>23.798590000000001</v>
      </c>
      <c r="Q78">
        <v>50392</v>
      </c>
    </row>
    <row r="79" spans="1:17" x14ac:dyDescent="0.25">
      <c r="A79" t="s">
        <v>16</v>
      </c>
      <c r="B79">
        <v>4</v>
      </c>
      <c r="C79">
        <v>1.68</v>
      </c>
      <c r="D79">
        <v>2018</v>
      </c>
      <c r="E79" t="s">
        <v>18</v>
      </c>
      <c r="F79">
        <v>2018074</v>
      </c>
      <c r="G79">
        <v>2018151</v>
      </c>
      <c r="H79">
        <v>8898</v>
      </c>
      <c r="I79">
        <v>2852</v>
      </c>
      <c r="J79">
        <v>50</v>
      </c>
      <c r="K79">
        <v>306</v>
      </c>
      <c r="L79">
        <v>130</v>
      </c>
      <c r="M79">
        <v>100</v>
      </c>
      <c r="N79">
        <v>28.02102</v>
      </c>
      <c r="O79">
        <v>13.03645</v>
      </c>
      <c r="P79">
        <v>22.382709999999999</v>
      </c>
      <c r="Q79">
        <v>62748</v>
      </c>
    </row>
    <row r="80" spans="1:17" x14ac:dyDescent="0.25">
      <c r="A80" t="s">
        <v>16</v>
      </c>
      <c r="B80">
        <v>4</v>
      </c>
      <c r="C80">
        <v>1.68</v>
      </c>
      <c r="D80">
        <v>2019</v>
      </c>
      <c r="E80" t="s">
        <v>18</v>
      </c>
      <c r="F80">
        <v>2019074</v>
      </c>
      <c r="G80">
        <v>2019144</v>
      </c>
      <c r="H80">
        <v>5131</v>
      </c>
      <c r="I80">
        <v>1532</v>
      </c>
      <c r="J80">
        <v>50</v>
      </c>
      <c r="K80">
        <v>102</v>
      </c>
      <c r="L80">
        <v>159</v>
      </c>
      <c r="M80">
        <v>100</v>
      </c>
      <c r="N80">
        <v>29.18411</v>
      </c>
      <c r="O80">
        <v>12.50234</v>
      </c>
      <c r="P80">
        <v>24.013079999999999</v>
      </c>
      <c r="Q80">
        <v>33704</v>
      </c>
    </row>
    <row r="81" spans="1:17" x14ac:dyDescent="0.25">
      <c r="A81" t="s">
        <v>16</v>
      </c>
      <c r="B81">
        <v>4</v>
      </c>
      <c r="C81">
        <v>1.68</v>
      </c>
      <c r="D81">
        <v>2020</v>
      </c>
      <c r="E81" t="s">
        <v>18</v>
      </c>
      <c r="F81">
        <v>2020074</v>
      </c>
      <c r="G81">
        <v>2020147</v>
      </c>
      <c r="H81">
        <v>10337</v>
      </c>
      <c r="I81">
        <v>3206</v>
      </c>
      <c r="J81">
        <v>50</v>
      </c>
      <c r="K81">
        <v>201</v>
      </c>
      <c r="L81">
        <v>202</v>
      </c>
      <c r="M81">
        <v>100</v>
      </c>
      <c r="N81">
        <v>28.948599999999999</v>
      </c>
      <c r="O81">
        <v>13.36215</v>
      </c>
      <c r="P81">
        <v>22.88458</v>
      </c>
      <c r="Q81">
        <v>70542</v>
      </c>
    </row>
    <row r="82" spans="1:17" x14ac:dyDescent="0.25">
      <c r="A82" t="s">
        <v>16</v>
      </c>
      <c r="B82">
        <v>5</v>
      </c>
      <c r="C82">
        <v>1.49</v>
      </c>
      <c r="D82">
        <v>2001</v>
      </c>
      <c r="E82" t="s">
        <v>17</v>
      </c>
      <c r="F82">
        <v>2001074</v>
      </c>
      <c r="G82">
        <v>2001153</v>
      </c>
      <c r="H82">
        <v>10917</v>
      </c>
      <c r="I82">
        <v>3185</v>
      </c>
      <c r="J82">
        <v>100</v>
      </c>
      <c r="K82">
        <v>225</v>
      </c>
      <c r="L82">
        <v>235</v>
      </c>
      <c r="M82">
        <v>125</v>
      </c>
      <c r="N82">
        <v>26.95234</v>
      </c>
      <c r="O82">
        <v>13.024760000000001</v>
      </c>
      <c r="P82">
        <v>23.194870000000002</v>
      </c>
      <c r="Q82">
        <v>57336</v>
      </c>
    </row>
    <row r="83" spans="1:17" x14ac:dyDescent="0.25">
      <c r="A83" t="s">
        <v>16</v>
      </c>
      <c r="B83">
        <v>5</v>
      </c>
      <c r="C83">
        <v>1.49</v>
      </c>
      <c r="D83">
        <v>2002</v>
      </c>
      <c r="E83" t="s">
        <v>17</v>
      </c>
      <c r="F83">
        <v>2002074</v>
      </c>
      <c r="G83">
        <v>2002154</v>
      </c>
      <c r="H83">
        <v>9432</v>
      </c>
      <c r="I83">
        <v>1931</v>
      </c>
      <c r="J83">
        <v>100</v>
      </c>
      <c r="K83">
        <v>182</v>
      </c>
      <c r="L83">
        <v>191</v>
      </c>
      <c r="M83">
        <v>125</v>
      </c>
      <c r="N83">
        <v>26.644860000000001</v>
      </c>
      <c r="O83">
        <v>12.84393</v>
      </c>
      <c r="P83">
        <v>22.83785</v>
      </c>
      <c r="Q83">
        <v>34753</v>
      </c>
    </row>
    <row r="84" spans="1:17" x14ac:dyDescent="0.25">
      <c r="A84" t="s">
        <v>16</v>
      </c>
      <c r="B84">
        <v>5</v>
      </c>
      <c r="C84">
        <v>1.49</v>
      </c>
      <c r="D84">
        <v>2003</v>
      </c>
      <c r="E84" t="s">
        <v>17</v>
      </c>
      <c r="F84">
        <v>2003074</v>
      </c>
      <c r="G84">
        <v>2003152</v>
      </c>
      <c r="H84">
        <v>4840</v>
      </c>
      <c r="I84">
        <v>795</v>
      </c>
      <c r="J84">
        <v>100</v>
      </c>
      <c r="K84">
        <v>74</v>
      </c>
      <c r="L84">
        <v>90</v>
      </c>
      <c r="M84">
        <v>125</v>
      </c>
      <c r="N84">
        <v>27.743929999999999</v>
      </c>
      <c r="O84">
        <v>13.48598</v>
      </c>
      <c r="P84">
        <v>22.79158</v>
      </c>
      <c r="Q84">
        <v>14313</v>
      </c>
    </row>
    <row r="85" spans="1:17" x14ac:dyDescent="0.25">
      <c r="A85" t="s">
        <v>16</v>
      </c>
      <c r="B85">
        <v>5</v>
      </c>
      <c r="C85">
        <v>1.49</v>
      </c>
      <c r="D85">
        <v>2004</v>
      </c>
      <c r="E85" t="s">
        <v>17</v>
      </c>
      <c r="F85">
        <v>2004074</v>
      </c>
      <c r="G85">
        <v>2004157</v>
      </c>
      <c r="H85">
        <v>12814</v>
      </c>
      <c r="I85">
        <v>3950</v>
      </c>
      <c r="J85">
        <v>100</v>
      </c>
      <c r="K85">
        <v>243</v>
      </c>
      <c r="L85">
        <v>308</v>
      </c>
      <c r="M85">
        <v>125</v>
      </c>
      <c r="N85">
        <v>27.68084</v>
      </c>
      <c r="O85">
        <v>12.85047</v>
      </c>
      <c r="P85">
        <v>23.241579999999999</v>
      </c>
      <c r="Q85">
        <v>71098</v>
      </c>
    </row>
    <row r="86" spans="1:17" x14ac:dyDescent="0.25">
      <c r="A86" t="s">
        <v>16</v>
      </c>
      <c r="B86">
        <v>5</v>
      </c>
      <c r="C86">
        <v>1.49</v>
      </c>
      <c r="D86">
        <v>2005</v>
      </c>
      <c r="E86" t="s">
        <v>17</v>
      </c>
      <c r="F86">
        <v>2005074</v>
      </c>
      <c r="G86">
        <v>2005151</v>
      </c>
      <c r="H86">
        <v>7816</v>
      </c>
      <c r="I86">
        <v>1553</v>
      </c>
      <c r="J86">
        <v>100</v>
      </c>
      <c r="K86">
        <v>163</v>
      </c>
      <c r="L86">
        <v>172</v>
      </c>
      <c r="M86">
        <v>125</v>
      </c>
      <c r="N86">
        <v>28.805140000000002</v>
      </c>
      <c r="O86">
        <v>13.10467</v>
      </c>
      <c r="P86">
        <v>23.347190000000001</v>
      </c>
      <c r="Q86">
        <v>27952</v>
      </c>
    </row>
    <row r="87" spans="1:17" x14ac:dyDescent="0.25">
      <c r="A87" t="s">
        <v>16</v>
      </c>
      <c r="B87">
        <v>5</v>
      </c>
      <c r="C87">
        <v>1.49</v>
      </c>
      <c r="D87">
        <v>2006</v>
      </c>
      <c r="E87" t="s">
        <v>17</v>
      </c>
      <c r="F87">
        <v>2006074</v>
      </c>
      <c r="G87">
        <v>2006147</v>
      </c>
      <c r="H87">
        <v>6101</v>
      </c>
      <c r="I87">
        <v>1529</v>
      </c>
      <c r="J87">
        <v>100</v>
      </c>
      <c r="K87">
        <v>131</v>
      </c>
      <c r="L87">
        <v>205</v>
      </c>
      <c r="M87">
        <v>125</v>
      </c>
      <c r="N87">
        <v>28.91075</v>
      </c>
      <c r="O87">
        <v>13.59346</v>
      </c>
      <c r="P87">
        <v>22.645320000000002</v>
      </c>
      <c r="Q87">
        <v>27526</v>
      </c>
    </row>
    <row r="88" spans="1:17" x14ac:dyDescent="0.25">
      <c r="A88" t="s">
        <v>16</v>
      </c>
      <c r="B88">
        <v>5</v>
      </c>
      <c r="C88">
        <v>1.49</v>
      </c>
      <c r="D88">
        <v>2007</v>
      </c>
      <c r="E88" t="s">
        <v>17</v>
      </c>
      <c r="F88">
        <v>2007074</v>
      </c>
      <c r="G88">
        <v>2007155</v>
      </c>
      <c r="H88">
        <v>12648</v>
      </c>
      <c r="I88">
        <v>4128</v>
      </c>
      <c r="J88">
        <v>100</v>
      </c>
      <c r="K88">
        <v>256</v>
      </c>
      <c r="L88">
        <v>364</v>
      </c>
      <c r="M88">
        <v>125</v>
      </c>
      <c r="N88">
        <v>26.823370000000001</v>
      </c>
      <c r="O88">
        <v>12.40047</v>
      </c>
      <c r="P88">
        <v>22.639720000000001</v>
      </c>
      <c r="Q88">
        <v>74306</v>
      </c>
    </row>
    <row r="89" spans="1:17" x14ac:dyDescent="0.25">
      <c r="A89" t="s">
        <v>16</v>
      </c>
      <c r="B89">
        <v>5</v>
      </c>
      <c r="C89">
        <v>1.49</v>
      </c>
      <c r="D89">
        <v>2008</v>
      </c>
      <c r="E89" t="s">
        <v>17</v>
      </c>
      <c r="F89">
        <v>2008074</v>
      </c>
      <c r="G89">
        <v>2008157</v>
      </c>
      <c r="H89">
        <v>12022</v>
      </c>
      <c r="I89">
        <v>3733</v>
      </c>
      <c r="J89">
        <v>100</v>
      </c>
      <c r="K89">
        <v>208</v>
      </c>
      <c r="L89">
        <v>198</v>
      </c>
      <c r="M89">
        <v>125</v>
      </c>
      <c r="N89">
        <v>26.799530000000001</v>
      </c>
      <c r="O89">
        <v>12.018219999999999</v>
      </c>
      <c r="P89">
        <v>22.70093</v>
      </c>
      <c r="Q89">
        <v>67198</v>
      </c>
    </row>
    <row r="90" spans="1:17" x14ac:dyDescent="0.25">
      <c r="A90" t="s">
        <v>16</v>
      </c>
      <c r="B90">
        <v>5</v>
      </c>
      <c r="C90">
        <v>1.49</v>
      </c>
      <c r="D90">
        <v>2009</v>
      </c>
      <c r="E90" t="s">
        <v>17</v>
      </c>
      <c r="F90">
        <v>2009074</v>
      </c>
      <c r="G90">
        <v>2009152</v>
      </c>
      <c r="H90">
        <v>9110</v>
      </c>
      <c r="I90">
        <v>2042</v>
      </c>
      <c r="J90">
        <v>100</v>
      </c>
      <c r="K90">
        <v>141</v>
      </c>
      <c r="L90">
        <v>219</v>
      </c>
      <c r="M90">
        <v>125</v>
      </c>
      <c r="N90">
        <v>28.447659999999999</v>
      </c>
      <c r="O90">
        <v>12.70327</v>
      </c>
      <c r="P90">
        <v>23.0444</v>
      </c>
      <c r="Q90">
        <v>36756</v>
      </c>
    </row>
    <row r="91" spans="1:17" x14ac:dyDescent="0.25">
      <c r="A91" t="s">
        <v>16</v>
      </c>
      <c r="B91">
        <v>5</v>
      </c>
      <c r="C91">
        <v>1.49</v>
      </c>
      <c r="D91">
        <v>2010</v>
      </c>
      <c r="E91" t="s">
        <v>18</v>
      </c>
      <c r="F91">
        <v>2010074</v>
      </c>
      <c r="G91">
        <v>2010145</v>
      </c>
      <c r="H91">
        <v>10717</v>
      </c>
      <c r="I91">
        <v>3831</v>
      </c>
      <c r="J91">
        <v>100</v>
      </c>
      <c r="K91">
        <v>271</v>
      </c>
      <c r="L91">
        <v>467</v>
      </c>
      <c r="M91">
        <v>125</v>
      </c>
      <c r="N91">
        <v>28.176629999999999</v>
      </c>
      <c r="O91">
        <v>13.269629999999999</v>
      </c>
      <c r="P91">
        <v>22.800930000000001</v>
      </c>
      <c r="Q91">
        <v>68966</v>
      </c>
    </row>
    <row r="92" spans="1:17" x14ac:dyDescent="0.25">
      <c r="A92" t="s">
        <v>16</v>
      </c>
      <c r="B92">
        <v>5</v>
      </c>
      <c r="C92">
        <v>1.49</v>
      </c>
      <c r="D92">
        <v>2011</v>
      </c>
      <c r="E92" t="s">
        <v>18</v>
      </c>
      <c r="F92">
        <v>2011074</v>
      </c>
      <c r="G92">
        <v>2011139</v>
      </c>
      <c r="H92">
        <v>12223</v>
      </c>
      <c r="I92">
        <v>5198</v>
      </c>
      <c r="J92">
        <v>100</v>
      </c>
      <c r="K92">
        <v>213</v>
      </c>
      <c r="L92">
        <v>316</v>
      </c>
      <c r="M92">
        <v>125</v>
      </c>
      <c r="N92">
        <v>28.825230000000001</v>
      </c>
      <c r="O92">
        <v>13.140650000000001</v>
      </c>
      <c r="P92">
        <v>23.24953</v>
      </c>
      <c r="Q92">
        <v>93571</v>
      </c>
    </row>
    <row r="93" spans="1:17" x14ac:dyDescent="0.25">
      <c r="A93" t="s">
        <v>16</v>
      </c>
      <c r="B93">
        <v>5</v>
      </c>
      <c r="C93">
        <v>1.49</v>
      </c>
      <c r="D93">
        <v>2012</v>
      </c>
      <c r="E93" t="s">
        <v>18</v>
      </c>
      <c r="F93">
        <v>2012074</v>
      </c>
      <c r="G93">
        <v>2012156</v>
      </c>
      <c r="H93">
        <v>6123</v>
      </c>
      <c r="I93">
        <v>1633</v>
      </c>
      <c r="J93">
        <v>100</v>
      </c>
      <c r="K93">
        <v>146</v>
      </c>
      <c r="L93">
        <v>143</v>
      </c>
      <c r="M93">
        <v>125</v>
      </c>
      <c r="N93">
        <v>27.79252</v>
      </c>
      <c r="O93">
        <v>12.34112</v>
      </c>
      <c r="P93">
        <v>22.88551</v>
      </c>
      <c r="Q93">
        <v>29386</v>
      </c>
    </row>
    <row r="94" spans="1:17" x14ac:dyDescent="0.25">
      <c r="A94" t="s">
        <v>16</v>
      </c>
      <c r="B94">
        <v>5</v>
      </c>
      <c r="C94">
        <v>1.49</v>
      </c>
      <c r="D94">
        <v>2013</v>
      </c>
      <c r="E94" t="s">
        <v>18</v>
      </c>
      <c r="F94">
        <v>2013074</v>
      </c>
      <c r="G94">
        <v>2013147</v>
      </c>
      <c r="H94">
        <v>8646</v>
      </c>
      <c r="I94">
        <v>2284</v>
      </c>
      <c r="J94">
        <v>100</v>
      </c>
      <c r="K94">
        <v>316</v>
      </c>
      <c r="L94">
        <v>325</v>
      </c>
      <c r="M94">
        <v>125</v>
      </c>
      <c r="N94">
        <v>28.334099999999999</v>
      </c>
      <c r="O94">
        <v>12.199059999999999</v>
      </c>
      <c r="P94">
        <v>23.418220000000002</v>
      </c>
      <c r="Q94">
        <v>41113</v>
      </c>
    </row>
    <row r="95" spans="1:17" x14ac:dyDescent="0.25">
      <c r="A95" t="s">
        <v>16</v>
      </c>
      <c r="B95">
        <v>5</v>
      </c>
      <c r="C95">
        <v>1.49</v>
      </c>
      <c r="D95">
        <v>2014</v>
      </c>
      <c r="E95" t="s">
        <v>18</v>
      </c>
      <c r="F95">
        <v>2014074</v>
      </c>
      <c r="G95">
        <v>2014141</v>
      </c>
      <c r="H95">
        <v>10319</v>
      </c>
      <c r="I95">
        <v>3184</v>
      </c>
      <c r="J95">
        <v>100</v>
      </c>
      <c r="K95">
        <v>267</v>
      </c>
      <c r="L95">
        <v>346</v>
      </c>
      <c r="M95">
        <v>125</v>
      </c>
      <c r="N95">
        <v>27.617760000000001</v>
      </c>
      <c r="O95">
        <v>12.66916</v>
      </c>
      <c r="P95">
        <v>22.81683</v>
      </c>
      <c r="Q95">
        <v>57307</v>
      </c>
    </row>
    <row r="96" spans="1:17" x14ac:dyDescent="0.25">
      <c r="A96" t="s">
        <v>16</v>
      </c>
      <c r="B96">
        <v>5</v>
      </c>
      <c r="C96">
        <v>1.49</v>
      </c>
      <c r="D96">
        <v>2015</v>
      </c>
      <c r="E96" t="s">
        <v>18</v>
      </c>
      <c r="F96">
        <v>2015074</v>
      </c>
      <c r="G96">
        <v>2015141</v>
      </c>
      <c r="H96">
        <v>8304</v>
      </c>
      <c r="I96">
        <v>3033</v>
      </c>
      <c r="J96">
        <v>100</v>
      </c>
      <c r="K96">
        <v>190</v>
      </c>
      <c r="L96">
        <v>159</v>
      </c>
      <c r="M96">
        <v>125</v>
      </c>
      <c r="N96">
        <v>28.844390000000001</v>
      </c>
      <c r="O96">
        <v>13.119619999999999</v>
      </c>
      <c r="P96">
        <v>23.194859999999998</v>
      </c>
      <c r="Q96">
        <v>54592</v>
      </c>
    </row>
    <row r="97" spans="1:17" x14ac:dyDescent="0.25">
      <c r="A97" t="s">
        <v>16</v>
      </c>
      <c r="B97">
        <v>5</v>
      </c>
      <c r="C97">
        <v>1.49</v>
      </c>
      <c r="D97">
        <v>2016</v>
      </c>
      <c r="E97" t="s">
        <v>18</v>
      </c>
      <c r="F97">
        <v>2016074</v>
      </c>
      <c r="G97">
        <v>2016151</v>
      </c>
      <c r="H97">
        <v>12815</v>
      </c>
      <c r="I97">
        <v>4691</v>
      </c>
      <c r="J97">
        <v>100</v>
      </c>
      <c r="K97">
        <v>275</v>
      </c>
      <c r="L97">
        <v>225</v>
      </c>
      <c r="M97">
        <v>125</v>
      </c>
      <c r="N97">
        <v>28.35981</v>
      </c>
      <c r="O97">
        <v>12.45421</v>
      </c>
      <c r="P97">
        <v>23.214950000000002</v>
      </c>
      <c r="Q97">
        <v>84431</v>
      </c>
    </row>
    <row r="98" spans="1:17" x14ac:dyDescent="0.25">
      <c r="A98" t="s">
        <v>16</v>
      </c>
      <c r="B98">
        <v>5</v>
      </c>
      <c r="C98">
        <v>1.49</v>
      </c>
      <c r="D98">
        <v>2017</v>
      </c>
      <c r="E98" t="s">
        <v>18</v>
      </c>
      <c r="F98">
        <v>2017074</v>
      </c>
      <c r="G98">
        <v>2017142</v>
      </c>
      <c r="H98">
        <v>9541</v>
      </c>
      <c r="I98">
        <v>2530</v>
      </c>
      <c r="J98">
        <v>100</v>
      </c>
      <c r="K98">
        <v>93</v>
      </c>
      <c r="L98">
        <v>254</v>
      </c>
      <c r="M98">
        <v>125</v>
      </c>
      <c r="N98">
        <v>30.696729999999999</v>
      </c>
      <c r="O98">
        <v>12.98738</v>
      </c>
      <c r="P98">
        <v>23.798590000000001</v>
      </c>
      <c r="Q98">
        <v>45546</v>
      </c>
    </row>
    <row r="99" spans="1:17" x14ac:dyDescent="0.25">
      <c r="A99" t="s">
        <v>16</v>
      </c>
      <c r="B99">
        <v>5</v>
      </c>
      <c r="C99">
        <v>1.49</v>
      </c>
      <c r="D99">
        <v>2018</v>
      </c>
      <c r="E99" t="s">
        <v>18</v>
      </c>
      <c r="F99">
        <v>2018074</v>
      </c>
      <c r="G99">
        <v>2018151</v>
      </c>
      <c r="H99">
        <v>10539</v>
      </c>
      <c r="I99">
        <v>3826</v>
      </c>
      <c r="J99">
        <v>100</v>
      </c>
      <c r="K99">
        <v>306</v>
      </c>
      <c r="L99">
        <v>130</v>
      </c>
      <c r="M99">
        <v>125</v>
      </c>
      <c r="N99">
        <v>28.02102</v>
      </c>
      <c r="O99">
        <v>13.03645</v>
      </c>
      <c r="P99">
        <v>22.382709999999999</v>
      </c>
      <c r="Q99">
        <v>68875</v>
      </c>
    </row>
    <row r="100" spans="1:17" x14ac:dyDescent="0.25">
      <c r="A100" t="s">
        <v>16</v>
      </c>
      <c r="B100">
        <v>5</v>
      </c>
      <c r="C100">
        <v>1.49</v>
      </c>
      <c r="D100">
        <v>2019</v>
      </c>
      <c r="E100" t="s">
        <v>18</v>
      </c>
      <c r="F100">
        <v>2019074</v>
      </c>
      <c r="G100">
        <v>2019144</v>
      </c>
      <c r="H100">
        <v>5734</v>
      </c>
      <c r="I100">
        <v>1967</v>
      </c>
      <c r="J100">
        <v>100</v>
      </c>
      <c r="K100">
        <v>102</v>
      </c>
      <c r="L100">
        <v>159</v>
      </c>
      <c r="M100">
        <v>125</v>
      </c>
      <c r="N100">
        <v>29.18411</v>
      </c>
      <c r="O100">
        <v>12.50234</v>
      </c>
      <c r="P100">
        <v>24.013079999999999</v>
      </c>
      <c r="Q100">
        <v>35411</v>
      </c>
    </row>
    <row r="101" spans="1:17" x14ac:dyDescent="0.25">
      <c r="A101" t="s">
        <v>16</v>
      </c>
      <c r="B101">
        <v>5</v>
      </c>
      <c r="C101">
        <v>1.49</v>
      </c>
      <c r="D101">
        <v>2020</v>
      </c>
      <c r="E101" t="s">
        <v>18</v>
      </c>
      <c r="F101">
        <v>2020074</v>
      </c>
      <c r="G101">
        <v>2020147</v>
      </c>
      <c r="H101">
        <v>11520</v>
      </c>
      <c r="I101">
        <v>3780</v>
      </c>
      <c r="J101">
        <v>100</v>
      </c>
      <c r="K101">
        <v>201</v>
      </c>
      <c r="L101">
        <v>202</v>
      </c>
      <c r="M101">
        <v>125</v>
      </c>
      <c r="N101">
        <v>28.948599999999999</v>
      </c>
      <c r="O101">
        <v>13.36215</v>
      </c>
      <c r="P101">
        <v>22.88458</v>
      </c>
      <c r="Q101">
        <v>68033</v>
      </c>
    </row>
    <row r="102" spans="1:17" x14ac:dyDescent="0.25">
      <c r="A102" t="s">
        <v>16</v>
      </c>
      <c r="B102">
        <v>6</v>
      </c>
      <c r="C102">
        <v>1.41</v>
      </c>
      <c r="D102">
        <v>2001</v>
      </c>
      <c r="E102" t="s">
        <v>17</v>
      </c>
      <c r="F102">
        <v>2001105</v>
      </c>
      <c r="G102">
        <v>2001177</v>
      </c>
      <c r="H102">
        <v>8087</v>
      </c>
      <c r="I102">
        <v>1478</v>
      </c>
      <c r="J102">
        <v>100</v>
      </c>
      <c r="K102">
        <v>225</v>
      </c>
      <c r="L102">
        <v>235</v>
      </c>
      <c r="M102">
        <v>125</v>
      </c>
      <c r="N102">
        <v>28.044809999999998</v>
      </c>
      <c r="O102">
        <v>13.863390000000001</v>
      </c>
      <c r="P102">
        <v>23.866669999999999</v>
      </c>
      <c r="Q102">
        <v>32506</v>
      </c>
    </row>
    <row r="103" spans="1:17" x14ac:dyDescent="0.25">
      <c r="A103" t="s">
        <v>16</v>
      </c>
      <c r="B103">
        <v>6</v>
      </c>
      <c r="C103">
        <v>1.41</v>
      </c>
      <c r="D103">
        <v>2002</v>
      </c>
      <c r="E103" t="s">
        <v>17</v>
      </c>
      <c r="F103">
        <v>2002105</v>
      </c>
      <c r="G103">
        <v>2002170</v>
      </c>
      <c r="H103">
        <v>9146</v>
      </c>
      <c r="I103">
        <v>1803</v>
      </c>
      <c r="J103">
        <v>100</v>
      </c>
      <c r="K103">
        <v>182</v>
      </c>
      <c r="L103">
        <v>191</v>
      </c>
      <c r="M103">
        <v>125</v>
      </c>
      <c r="N103">
        <v>27.930599999999998</v>
      </c>
      <c r="O103">
        <v>13.66994</v>
      </c>
      <c r="P103">
        <v>23.858470000000001</v>
      </c>
      <c r="Q103">
        <v>39662</v>
      </c>
    </row>
    <row r="104" spans="1:17" x14ac:dyDescent="0.25">
      <c r="A104" t="s">
        <v>16</v>
      </c>
      <c r="B104">
        <v>6</v>
      </c>
      <c r="C104">
        <v>1.41</v>
      </c>
      <c r="D104">
        <v>2003</v>
      </c>
      <c r="E104" t="s">
        <v>17</v>
      </c>
      <c r="F104">
        <v>2003105</v>
      </c>
      <c r="G104">
        <v>2003167</v>
      </c>
      <c r="H104">
        <v>6675</v>
      </c>
      <c r="I104">
        <v>2093</v>
      </c>
      <c r="J104">
        <v>100</v>
      </c>
      <c r="K104">
        <v>74</v>
      </c>
      <c r="L104">
        <v>90</v>
      </c>
      <c r="M104">
        <v>125</v>
      </c>
      <c r="N104">
        <v>29.21367</v>
      </c>
      <c r="O104">
        <v>14.4612</v>
      </c>
      <c r="P104">
        <v>23.838249999999999</v>
      </c>
      <c r="Q104">
        <v>46049</v>
      </c>
    </row>
    <row r="105" spans="1:17" x14ac:dyDescent="0.25">
      <c r="A105" t="s">
        <v>16</v>
      </c>
      <c r="B105">
        <v>6</v>
      </c>
      <c r="C105">
        <v>1.41</v>
      </c>
      <c r="D105">
        <v>2004</v>
      </c>
      <c r="E105" t="s">
        <v>17</v>
      </c>
      <c r="F105">
        <v>2004105</v>
      </c>
      <c r="G105">
        <v>2004170</v>
      </c>
      <c r="H105">
        <v>8980</v>
      </c>
      <c r="I105">
        <v>1847</v>
      </c>
      <c r="J105">
        <v>100</v>
      </c>
      <c r="K105">
        <v>243</v>
      </c>
      <c r="L105">
        <v>308</v>
      </c>
      <c r="M105">
        <v>125</v>
      </c>
      <c r="N105">
        <v>29.298909999999999</v>
      </c>
      <c r="O105">
        <v>13.912570000000001</v>
      </c>
      <c r="P105">
        <v>23.849720000000001</v>
      </c>
      <c r="Q105">
        <v>40638</v>
      </c>
    </row>
    <row r="106" spans="1:17" x14ac:dyDescent="0.25">
      <c r="A106" t="s">
        <v>16</v>
      </c>
      <c r="B106">
        <v>6</v>
      </c>
      <c r="C106">
        <v>1.41</v>
      </c>
      <c r="D106">
        <v>2005</v>
      </c>
      <c r="E106" t="s">
        <v>17</v>
      </c>
      <c r="F106">
        <v>2005105</v>
      </c>
      <c r="G106">
        <v>2005165</v>
      </c>
      <c r="H106">
        <v>7062</v>
      </c>
      <c r="I106">
        <v>1888</v>
      </c>
      <c r="J106">
        <v>100</v>
      </c>
      <c r="K106">
        <v>163</v>
      </c>
      <c r="L106">
        <v>172</v>
      </c>
      <c r="M106">
        <v>125</v>
      </c>
      <c r="N106">
        <v>29.95027</v>
      </c>
      <c r="O106">
        <v>13.78088</v>
      </c>
      <c r="P106">
        <v>24.193439999999999</v>
      </c>
      <c r="Q106">
        <v>41539</v>
      </c>
    </row>
    <row r="107" spans="1:17" x14ac:dyDescent="0.25">
      <c r="A107" t="s">
        <v>16</v>
      </c>
      <c r="B107">
        <v>6</v>
      </c>
      <c r="C107">
        <v>1.41</v>
      </c>
      <c r="D107">
        <v>2006</v>
      </c>
      <c r="E107" t="s">
        <v>17</v>
      </c>
      <c r="F107">
        <v>2006105</v>
      </c>
      <c r="G107">
        <v>2006165</v>
      </c>
      <c r="H107">
        <v>7961</v>
      </c>
      <c r="I107">
        <v>2607</v>
      </c>
      <c r="J107">
        <v>100</v>
      </c>
      <c r="K107">
        <v>131</v>
      </c>
      <c r="L107">
        <v>205</v>
      </c>
      <c r="M107">
        <v>125</v>
      </c>
      <c r="N107">
        <v>30.355740000000001</v>
      </c>
      <c r="O107">
        <v>14.387980000000001</v>
      </c>
      <c r="P107">
        <v>23.725680000000001</v>
      </c>
      <c r="Q107">
        <v>57344</v>
      </c>
    </row>
    <row r="108" spans="1:17" x14ac:dyDescent="0.25">
      <c r="A108" t="s">
        <v>16</v>
      </c>
      <c r="B108">
        <v>6</v>
      </c>
      <c r="C108">
        <v>1.41</v>
      </c>
      <c r="D108">
        <v>2007</v>
      </c>
      <c r="E108" t="s">
        <v>17</v>
      </c>
      <c r="F108">
        <v>2007105</v>
      </c>
      <c r="G108">
        <v>2007169</v>
      </c>
      <c r="H108">
        <v>10937</v>
      </c>
      <c r="I108">
        <v>3067</v>
      </c>
      <c r="J108">
        <v>100</v>
      </c>
      <c r="K108">
        <v>256</v>
      </c>
      <c r="L108">
        <v>364</v>
      </c>
      <c r="M108">
        <v>125</v>
      </c>
      <c r="N108">
        <v>28.353549999999998</v>
      </c>
      <c r="O108">
        <v>13.622960000000001</v>
      </c>
      <c r="P108">
        <v>23.421309999999998</v>
      </c>
      <c r="Q108">
        <v>67484</v>
      </c>
    </row>
    <row r="109" spans="1:17" x14ac:dyDescent="0.25">
      <c r="A109" t="s">
        <v>16</v>
      </c>
      <c r="B109">
        <v>6</v>
      </c>
      <c r="C109">
        <v>1.41</v>
      </c>
      <c r="D109">
        <v>2008</v>
      </c>
      <c r="E109" t="s">
        <v>17</v>
      </c>
      <c r="F109">
        <v>2008105</v>
      </c>
      <c r="G109">
        <v>2008172</v>
      </c>
      <c r="H109">
        <v>9668</v>
      </c>
      <c r="I109">
        <v>1996</v>
      </c>
      <c r="J109">
        <v>100</v>
      </c>
      <c r="K109">
        <v>208</v>
      </c>
      <c r="L109">
        <v>198</v>
      </c>
      <c r="M109">
        <v>125</v>
      </c>
      <c r="N109">
        <v>27.91638</v>
      </c>
      <c r="O109">
        <v>12.96557</v>
      </c>
      <c r="P109">
        <v>23.461200000000002</v>
      </c>
      <c r="Q109">
        <v>43902</v>
      </c>
    </row>
    <row r="110" spans="1:17" x14ac:dyDescent="0.25">
      <c r="A110" t="s">
        <v>16</v>
      </c>
      <c r="B110">
        <v>6</v>
      </c>
      <c r="C110">
        <v>1.41</v>
      </c>
      <c r="D110">
        <v>2009</v>
      </c>
      <c r="E110" t="s">
        <v>17</v>
      </c>
      <c r="F110">
        <v>2009105</v>
      </c>
      <c r="G110">
        <v>2009169</v>
      </c>
      <c r="H110">
        <v>9739</v>
      </c>
      <c r="I110">
        <v>2352</v>
      </c>
      <c r="J110">
        <v>100</v>
      </c>
      <c r="K110">
        <v>141</v>
      </c>
      <c r="L110">
        <v>219</v>
      </c>
      <c r="M110">
        <v>125</v>
      </c>
      <c r="N110">
        <v>29.53661</v>
      </c>
      <c r="O110">
        <v>13.875959999999999</v>
      </c>
      <c r="P110">
        <v>23.79946</v>
      </c>
      <c r="Q110">
        <v>51745</v>
      </c>
    </row>
    <row r="111" spans="1:17" x14ac:dyDescent="0.25">
      <c r="A111" t="s">
        <v>16</v>
      </c>
      <c r="B111">
        <v>6</v>
      </c>
      <c r="C111">
        <v>1.41</v>
      </c>
      <c r="D111">
        <v>2010</v>
      </c>
      <c r="E111" t="s">
        <v>18</v>
      </c>
      <c r="F111">
        <v>2010105</v>
      </c>
      <c r="G111">
        <v>2010160</v>
      </c>
      <c r="H111">
        <v>10185</v>
      </c>
      <c r="I111">
        <v>3779</v>
      </c>
      <c r="J111">
        <v>100</v>
      </c>
      <c r="K111">
        <v>271</v>
      </c>
      <c r="L111">
        <v>467</v>
      </c>
      <c r="M111">
        <v>125</v>
      </c>
      <c r="N111">
        <v>29.60492</v>
      </c>
      <c r="O111">
        <v>14.28088</v>
      </c>
      <c r="P111">
        <v>23.679780000000001</v>
      </c>
      <c r="Q111">
        <v>83135</v>
      </c>
    </row>
    <row r="112" spans="1:17" x14ac:dyDescent="0.25">
      <c r="A112" t="s">
        <v>16</v>
      </c>
      <c r="B112">
        <v>6</v>
      </c>
      <c r="C112">
        <v>1.41</v>
      </c>
      <c r="D112">
        <v>2011</v>
      </c>
      <c r="E112" t="s">
        <v>18</v>
      </c>
      <c r="F112">
        <v>2011105</v>
      </c>
      <c r="G112">
        <v>2011162</v>
      </c>
      <c r="H112">
        <v>11360</v>
      </c>
      <c r="I112">
        <v>3919</v>
      </c>
      <c r="J112">
        <v>100</v>
      </c>
      <c r="K112">
        <v>213</v>
      </c>
      <c r="L112">
        <v>316</v>
      </c>
      <c r="M112">
        <v>125</v>
      </c>
      <c r="N112">
        <v>29.818580000000001</v>
      </c>
      <c r="O112">
        <v>13.919129999999999</v>
      </c>
      <c r="P112">
        <v>23.89235</v>
      </c>
      <c r="Q112">
        <v>86212</v>
      </c>
    </row>
    <row r="113" spans="1:17" x14ac:dyDescent="0.25">
      <c r="A113" t="s">
        <v>16</v>
      </c>
      <c r="B113">
        <v>6</v>
      </c>
      <c r="C113">
        <v>1.41</v>
      </c>
      <c r="D113">
        <v>2012</v>
      </c>
      <c r="E113" t="s">
        <v>18</v>
      </c>
      <c r="F113">
        <v>2012105</v>
      </c>
      <c r="G113">
        <v>2012163</v>
      </c>
      <c r="H113">
        <v>6123</v>
      </c>
      <c r="I113">
        <v>2346</v>
      </c>
      <c r="J113">
        <v>100</v>
      </c>
      <c r="K113">
        <v>146</v>
      </c>
      <c r="L113">
        <v>143</v>
      </c>
      <c r="M113">
        <v>125</v>
      </c>
      <c r="N113">
        <v>29.088509999999999</v>
      </c>
      <c r="O113">
        <v>13.369949999999999</v>
      </c>
      <c r="P113">
        <v>23.842079999999999</v>
      </c>
      <c r="Q113">
        <v>51611</v>
      </c>
    </row>
    <row r="114" spans="1:17" x14ac:dyDescent="0.25">
      <c r="A114" t="s">
        <v>16</v>
      </c>
      <c r="B114">
        <v>6</v>
      </c>
      <c r="C114">
        <v>1.41</v>
      </c>
      <c r="D114">
        <v>2013</v>
      </c>
      <c r="E114" t="s">
        <v>18</v>
      </c>
      <c r="F114">
        <v>2013105</v>
      </c>
      <c r="G114">
        <v>2013167</v>
      </c>
      <c r="H114">
        <v>8912</v>
      </c>
      <c r="I114">
        <v>2710</v>
      </c>
      <c r="J114">
        <v>100</v>
      </c>
      <c r="K114">
        <v>316</v>
      </c>
      <c r="L114">
        <v>325</v>
      </c>
      <c r="M114">
        <v>125</v>
      </c>
      <c r="N114">
        <v>29.677589999999999</v>
      </c>
      <c r="O114">
        <v>12.844810000000001</v>
      </c>
      <c r="P114">
        <v>24.626239999999999</v>
      </c>
      <c r="Q114">
        <v>59610</v>
      </c>
    </row>
    <row r="115" spans="1:17" x14ac:dyDescent="0.25">
      <c r="A115" t="s">
        <v>16</v>
      </c>
      <c r="B115">
        <v>6</v>
      </c>
      <c r="C115">
        <v>1.41</v>
      </c>
      <c r="D115">
        <v>2014</v>
      </c>
      <c r="E115" t="s">
        <v>18</v>
      </c>
      <c r="F115">
        <v>2014105</v>
      </c>
      <c r="G115">
        <v>2014162</v>
      </c>
      <c r="H115">
        <v>10741</v>
      </c>
      <c r="I115">
        <v>3782</v>
      </c>
      <c r="J115">
        <v>100</v>
      </c>
      <c r="K115">
        <v>267</v>
      </c>
      <c r="L115">
        <v>346</v>
      </c>
      <c r="M115">
        <v>125</v>
      </c>
      <c r="N115">
        <v>28.795079999999999</v>
      </c>
      <c r="O115">
        <v>13.556290000000001</v>
      </c>
      <c r="P115">
        <v>23.764489999999999</v>
      </c>
      <c r="Q115">
        <v>83206</v>
      </c>
    </row>
    <row r="116" spans="1:17" x14ac:dyDescent="0.25">
      <c r="A116" t="s">
        <v>16</v>
      </c>
      <c r="B116">
        <v>6</v>
      </c>
      <c r="C116">
        <v>1.41</v>
      </c>
      <c r="D116">
        <v>2015</v>
      </c>
      <c r="E116" t="s">
        <v>18</v>
      </c>
      <c r="F116">
        <v>2015105</v>
      </c>
      <c r="G116">
        <v>2015159</v>
      </c>
      <c r="H116">
        <v>8445</v>
      </c>
      <c r="I116">
        <v>2761</v>
      </c>
      <c r="J116">
        <v>100</v>
      </c>
      <c r="K116">
        <v>190</v>
      </c>
      <c r="L116">
        <v>159</v>
      </c>
      <c r="M116">
        <v>125</v>
      </c>
      <c r="N116">
        <v>30.136060000000001</v>
      </c>
      <c r="O116">
        <v>14.0541</v>
      </c>
      <c r="P116">
        <v>24.18798</v>
      </c>
      <c r="Q116">
        <v>60735</v>
      </c>
    </row>
    <row r="117" spans="1:17" x14ac:dyDescent="0.25">
      <c r="A117" t="s">
        <v>16</v>
      </c>
      <c r="B117">
        <v>6</v>
      </c>
      <c r="C117">
        <v>1.41</v>
      </c>
      <c r="D117">
        <v>2016</v>
      </c>
      <c r="E117" t="s">
        <v>18</v>
      </c>
      <c r="F117">
        <v>2016105</v>
      </c>
      <c r="G117">
        <v>2016165</v>
      </c>
      <c r="H117">
        <v>9731</v>
      </c>
      <c r="I117">
        <v>2922</v>
      </c>
      <c r="J117">
        <v>100</v>
      </c>
      <c r="K117">
        <v>275</v>
      </c>
      <c r="L117">
        <v>225</v>
      </c>
      <c r="M117">
        <v>125</v>
      </c>
      <c r="N117">
        <v>30.153009999999998</v>
      </c>
      <c r="O117">
        <v>13.56831</v>
      </c>
      <c r="P117">
        <v>24.236609999999999</v>
      </c>
      <c r="Q117">
        <v>64293</v>
      </c>
    </row>
    <row r="118" spans="1:17" x14ac:dyDescent="0.25">
      <c r="A118" t="s">
        <v>16</v>
      </c>
      <c r="B118">
        <v>6</v>
      </c>
      <c r="C118">
        <v>1.41</v>
      </c>
      <c r="D118">
        <v>2017</v>
      </c>
      <c r="E118" t="s">
        <v>18</v>
      </c>
      <c r="F118">
        <v>2017105</v>
      </c>
      <c r="G118">
        <v>2017157</v>
      </c>
      <c r="H118">
        <v>9330</v>
      </c>
      <c r="I118">
        <v>2741</v>
      </c>
      <c r="J118">
        <v>100</v>
      </c>
      <c r="K118">
        <v>93</v>
      </c>
      <c r="L118">
        <v>254</v>
      </c>
      <c r="M118">
        <v>125</v>
      </c>
      <c r="N118">
        <v>32.146999999999998</v>
      </c>
      <c r="O118">
        <v>14.1683</v>
      </c>
      <c r="P118">
        <v>24.39453</v>
      </c>
      <c r="Q118">
        <v>60312</v>
      </c>
    </row>
    <row r="119" spans="1:17" x14ac:dyDescent="0.25">
      <c r="A119" t="s">
        <v>16</v>
      </c>
      <c r="B119">
        <v>6</v>
      </c>
      <c r="C119">
        <v>1.41</v>
      </c>
      <c r="D119">
        <v>2018</v>
      </c>
      <c r="E119" t="s">
        <v>18</v>
      </c>
      <c r="F119">
        <v>2018105</v>
      </c>
      <c r="G119">
        <v>2018164</v>
      </c>
      <c r="H119">
        <v>10928</v>
      </c>
      <c r="I119">
        <v>3727</v>
      </c>
      <c r="J119">
        <v>100</v>
      </c>
      <c r="K119">
        <v>306</v>
      </c>
      <c r="L119">
        <v>130</v>
      </c>
      <c r="M119">
        <v>125</v>
      </c>
      <c r="N119">
        <v>29.957370000000001</v>
      </c>
      <c r="O119">
        <v>14.20656</v>
      </c>
      <c r="P119">
        <v>23.21912</v>
      </c>
      <c r="Q119">
        <v>81991</v>
      </c>
    </row>
    <row r="120" spans="1:17" x14ac:dyDescent="0.25">
      <c r="A120" t="s">
        <v>16</v>
      </c>
      <c r="B120">
        <v>6</v>
      </c>
      <c r="C120">
        <v>1.41</v>
      </c>
      <c r="D120">
        <v>2019</v>
      </c>
      <c r="E120" t="s">
        <v>18</v>
      </c>
      <c r="F120">
        <v>2019105</v>
      </c>
      <c r="G120">
        <v>2019160</v>
      </c>
      <c r="H120">
        <v>6116</v>
      </c>
      <c r="I120">
        <v>2461</v>
      </c>
      <c r="J120">
        <v>100</v>
      </c>
      <c r="K120">
        <v>102</v>
      </c>
      <c r="L120">
        <v>159</v>
      </c>
      <c r="M120">
        <v>125</v>
      </c>
      <c r="N120">
        <v>30.601099999999999</v>
      </c>
      <c r="O120">
        <v>13.709289999999999</v>
      </c>
      <c r="P120">
        <v>24.56776</v>
      </c>
      <c r="Q120">
        <v>54136</v>
      </c>
    </row>
    <row r="121" spans="1:17" x14ac:dyDescent="0.25">
      <c r="A121" t="s">
        <v>16</v>
      </c>
      <c r="B121">
        <v>6</v>
      </c>
      <c r="C121">
        <v>1.41</v>
      </c>
      <c r="D121">
        <v>2020</v>
      </c>
      <c r="E121" t="s">
        <v>18</v>
      </c>
      <c r="F121">
        <v>2020105</v>
      </c>
      <c r="G121">
        <v>2020159</v>
      </c>
      <c r="H121">
        <v>9948</v>
      </c>
      <c r="I121">
        <v>3122</v>
      </c>
      <c r="J121">
        <v>100</v>
      </c>
      <c r="K121">
        <v>201</v>
      </c>
      <c r="L121">
        <v>202</v>
      </c>
      <c r="M121">
        <v>125</v>
      </c>
      <c r="N121">
        <v>30.616949999999999</v>
      </c>
      <c r="O121">
        <v>14.26502</v>
      </c>
      <c r="P121">
        <v>24.059570000000001</v>
      </c>
      <c r="Q121">
        <v>68674</v>
      </c>
    </row>
    <row r="122" spans="1:17" x14ac:dyDescent="0.25">
      <c r="A122" t="s">
        <v>16</v>
      </c>
      <c r="B122">
        <v>7</v>
      </c>
      <c r="C122">
        <v>1.63</v>
      </c>
      <c r="D122">
        <v>2001</v>
      </c>
      <c r="E122" t="s">
        <v>17</v>
      </c>
      <c r="F122">
        <v>2001074</v>
      </c>
      <c r="G122">
        <v>2001153</v>
      </c>
      <c r="H122">
        <v>9761</v>
      </c>
      <c r="I122">
        <v>2664</v>
      </c>
      <c r="J122">
        <v>50</v>
      </c>
      <c r="K122">
        <v>225</v>
      </c>
      <c r="L122">
        <v>235</v>
      </c>
      <c r="M122">
        <v>100</v>
      </c>
      <c r="N122">
        <v>26.95234</v>
      </c>
      <c r="O122">
        <v>13.024760000000001</v>
      </c>
      <c r="P122">
        <v>23.194870000000002</v>
      </c>
      <c r="Q122">
        <v>53287</v>
      </c>
    </row>
    <row r="123" spans="1:17" x14ac:dyDescent="0.25">
      <c r="A123" t="s">
        <v>16</v>
      </c>
      <c r="B123">
        <v>7</v>
      </c>
      <c r="C123">
        <v>1.63</v>
      </c>
      <c r="D123">
        <v>2002</v>
      </c>
      <c r="E123" t="s">
        <v>17</v>
      </c>
      <c r="F123">
        <v>2002074</v>
      </c>
      <c r="G123">
        <v>2002154</v>
      </c>
      <c r="H123">
        <v>7731</v>
      </c>
      <c r="I123">
        <v>1024</v>
      </c>
      <c r="J123">
        <v>50</v>
      </c>
      <c r="K123">
        <v>182</v>
      </c>
      <c r="L123">
        <v>191</v>
      </c>
      <c r="M123">
        <v>100</v>
      </c>
      <c r="N123">
        <v>26.644860000000001</v>
      </c>
      <c r="O123">
        <v>12.84393</v>
      </c>
      <c r="P123">
        <v>22.83785</v>
      </c>
      <c r="Q123">
        <v>20477</v>
      </c>
    </row>
    <row r="124" spans="1:17" x14ac:dyDescent="0.25">
      <c r="A124" t="s">
        <v>16</v>
      </c>
      <c r="B124">
        <v>7</v>
      </c>
      <c r="C124">
        <v>1.63</v>
      </c>
      <c r="D124">
        <v>2003</v>
      </c>
      <c r="E124" t="s">
        <v>17</v>
      </c>
      <c r="F124">
        <v>2003074</v>
      </c>
      <c r="G124">
        <v>2003152</v>
      </c>
      <c r="H124">
        <v>4223</v>
      </c>
      <c r="I124">
        <v>417</v>
      </c>
      <c r="J124">
        <v>50</v>
      </c>
      <c r="K124">
        <v>74</v>
      </c>
      <c r="L124">
        <v>90</v>
      </c>
      <c r="M124">
        <v>100</v>
      </c>
      <c r="N124">
        <v>27.743929999999999</v>
      </c>
      <c r="O124">
        <v>13.48598</v>
      </c>
      <c r="P124">
        <v>22.79158</v>
      </c>
      <c r="Q124">
        <v>8344</v>
      </c>
    </row>
    <row r="125" spans="1:17" x14ac:dyDescent="0.25">
      <c r="A125" t="s">
        <v>16</v>
      </c>
      <c r="B125">
        <v>7</v>
      </c>
      <c r="C125">
        <v>1.63</v>
      </c>
      <c r="D125">
        <v>2004</v>
      </c>
      <c r="E125" t="s">
        <v>17</v>
      </c>
      <c r="F125">
        <v>2004074</v>
      </c>
      <c r="G125">
        <v>2004157</v>
      </c>
      <c r="H125">
        <v>11848</v>
      </c>
      <c r="I125">
        <v>3532</v>
      </c>
      <c r="J125">
        <v>50</v>
      </c>
      <c r="K125">
        <v>243</v>
      </c>
      <c r="L125">
        <v>308</v>
      </c>
      <c r="M125">
        <v>100</v>
      </c>
      <c r="N125">
        <v>27.68084</v>
      </c>
      <c r="O125">
        <v>12.85047</v>
      </c>
      <c r="P125">
        <v>23.241579999999999</v>
      </c>
      <c r="Q125">
        <v>70634</v>
      </c>
    </row>
    <row r="126" spans="1:17" x14ac:dyDescent="0.25">
      <c r="A126" t="s">
        <v>16</v>
      </c>
      <c r="B126">
        <v>7</v>
      </c>
      <c r="C126">
        <v>1.63</v>
      </c>
      <c r="D126">
        <v>2005</v>
      </c>
      <c r="E126" t="s">
        <v>17</v>
      </c>
      <c r="F126">
        <v>2005074</v>
      </c>
      <c r="G126">
        <v>2005151</v>
      </c>
      <c r="H126">
        <v>6817</v>
      </c>
      <c r="I126">
        <v>1096</v>
      </c>
      <c r="J126">
        <v>50</v>
      </c>
      <c r="K126">
        <v>163</v>
      </c>
      <c r="L126">
        <v>172</v>
      </c>
      <c r="M126">
        <v>100</v>
      </c>
      <c r="N126">
        <v>28.805140000000002</v>
      </c>
      <c r="O126">
        <v>13.10467</v>
      </c>
      <c r="P126">
        <v>23.347190000000001</v>
      </c>
      <c r="Q126">
        <v>21911</v>
      </c>
    </row>
    <row r="127" spans="1:17" x14ac:dyDescent="0.25">
      <c r="A127" t="s">
        <v>16</v>
      </c>
      <c r="B127">
        <v>7</v>
      </c>
      <c r="C127">
        <v>1.63</v>
      </c>
      <c r="D127">
        <v>2006</v>
      </c>
      <c r="E127" t="s">
        <v>17</v>
      </c>
      <c r="F127">
        <v>2006074</v>
      </c>
      <c r="G127">
        <v>2006147</v>
      </c>
      <c r="H127">
        <v>5458</v>
      </c>
      <c r="I127">
        <v>1052</v>
      </c>
      <c r="J127">
        <v>50</v>
      </c>
      <c r="K127">
        <v>131</v>
      </c>
      <c r="L127">
        <v>205</v>
      </c>
      <c r="M127">
        <v>100</v>
      </c>
      <c r="N127">
        <v>28.91075</v>
      </c>
      <c r="O127">
        <v>13.59346</v>
      </c>
      <c r="P127">
        <v>22.645320000000002</v>
      </c>
      <c r="Q127">
        <v>21037</v>
      </c>
    </row>
    <row r="128" spans="1:17" x14ac:dyDescent="0.25">
      <c r="A128" t="s">
        <v>16</v>
      </c>
      <c r="B128">
        <v>7</v>
      </c>
      <c r="C128">
        <v>1.63</v>
      </c>
      <c r="D128">
        <v>2007</v>
      </c>
      <c r="E128" t="s">
        <v>17</v>
      </c>
      <c r="F128">
        <v>2007074</v>
      </c>
      <c r="G128">
        <v>2007155</v>
      </c>
      <c r="H128">
        <v>11727</v>
      </c>
      <c r="I128">
        <v>3558</v>
      </c>
      <c r="J128">
        <v>50</v>
      </c>
      <c r="K128">
        <v>256</v>
      </c>
      <c r="L128">
        <v>364</v>
      </c>
      <c r="M128">
        <v>100</v>
      </c>
      <c r="N128">
        <v>26.823370000000001</v>
      </c>
      <c r="O128">
        <v>12.40047</v>
      </c>
      <c r="P128">
        <v>22.639720000000001</v>
      </c>
      <c r="Q128">
        <v>71163</v>
      </c>
    </row>
    <row r="129" spans="1:17" x14ac:dyDescent="0.25">
      <c r="A129" t="s">
        <v>16</v>
      </c>
      <c r="B129">
        <v>7</v>
      </c>
      <c r="C129">
        <v>1.63</v>
      </c>
      <c r="D129">
        <v>2008</v>
      </c>
      <c r="E129" t="s">
        <v>17</v>
      </c>
      <c r="F129">
        <v>2008074</v>
      </c>
      <c r="G129">
        <v>2008157</v>
      </c>
      <c r="H129">
        <v>10547</v>
      </c>
      <c r="I129">
        <v>2837</v>
      </c>
      <c r="J129">
        <v>50</v>
      </c>
      <c r="K129">
        <v>208</v>
      </c>
      <c r="L129">
        <v>198</v>
      </c>
      <c r="M129">
        <v>100</v>
      </c>
      <c r="N129">
        <v>26.799530000000001</v>
      </c>
      <c r="O129">
        <v>12.018219999999999</v>
      </c>
      <c r="P129">
        <v>22.70093</v>
      </c>
      <c r="Q129">
        <v>56750</v>
      </c>
    </row>
    <row r="130" spans="1:17" x14ac:dyDescent="0.25">
      <c r="A130" t="s">
        <v>16</v>
      </c>
      <c r="B130">
        <v>7</v>
      </c>
      <c r="C130">
        <v>1.63</v>
      </c>
      <c r="D130">
        <v>2009</v>
      </c>
      <c r="E130" t="s">
        <v>17</v>
      </c>
      <c r="F130">
        <v>2009074</v>
      </c>
      <c r="G130">
        <v>2009152</v>
      </c>
      <c r="H130">
        <v>7824</v>
      </c>
      <c r="I130">
        <v>1307</v>
      </c>
      <c r="J130">
        <v>50</v>
      </c>
      <c r="K130">
        <v>141</v>
      </c>
      <c r="L130">
        <v>219</v>
      </c>
      <c r="M130">
        <v>100</v>
      </c>
      <c r="N130">
        <v>28.447659999999999</v>
      </c>
      <c r="O130">
        <v>12.70327</v>
      </c>
      <c r="P130">
        <v>23.0444</v>
      </c>
      <c r="Q130">
        <v>26147</v>
      </c>
    </row>
    <row r="131" spans="1:17" x14ac:dyDescent="0.25">
      <c r="A131" t="s">
        <v>16</v>
      </c>
      <c r="B131">
        <v>7</v>
      </c>
      <c r="C131">
        <v>1.63</v>
      </c>
      <c r="D131">
        <v>2010</v>
      </c>
      <c r="E131" t="s">
        <v>17</v>
      </c>
      <c r="F131">
        <v>2010074</v>
      </c>
      <c r="G131">
        <v>2010152</v>
      </c>
      <c r="H131">
        <v>9747</v>
      </c>
      <c r="I131">
        <v>3139</v>
      </c>
      <c r="J131">
        <v>50</v>
      </c>
      <c r="K131">
        <v>271</v>
      </c>
      <c r="L131">
        <v>467</v>
      </c>
      <c r="M131">
        <v>100</v>
      </c>
      <c r="N131">
        <v>28.176629999999999</v>
      </c>
      <c r="O131">
        <v>13.269629999999999</v>
      </c>
      <c r="P131">
        <v>22.800930000000001</v>
      </c>
      <c r="Q131">
        <v>62789</v>
      </c>
    </row>
    <row r="132" spans="1:17" x14ac:dyDescent="0.25">
      <c r="A132" t="s">
        <v>16</v>
      </c>
      <c r="B132">
        <v>7</v>
      </c>
      <c r="C132">
        <v>1.63</v>
      </c>
      <c r="D132">
        <v>2011</v>
      </c>
      <c r="E132" t="s">
        <v>17</v>
      </c>
      <c r="F132">
        <v>2011074</v>
      </c>
      <c r="G132">
        <v>2011144</v>
      </c>
      <c r="H132">
        <v>11514</v>
      </c>
      <c r="I132">
        <v>4269</v>
      </c>
      <c r="J132">
        <v>50</v>
      </c>
      <c r="K132">
        <v>213</v>
      </c>
      <c r="L132">
        <v>316</v>
      </c>
      <c r="M132">
        <v>100</v>
      </c>
      <c r="N132">
        <v>28.825230000000001</v>
      </c>
      <c r="O132">
        <v>13.140650000000001</v>
      </c>
      <c r="P132">
        <v>23.24953</v>
      </c>
      <c r="Q132">
        <v>85387</v>
      </c>
    </row>
    <row r="133" spans="1:17" x14ac:dyDescent="0.25">
      <c r="A133" t="s">
        <v>16</v>
      </c>
      <c r="B133">
        <v>7</v>
      </c>
      <c r="C133">
        <v>1.63</v>
      </c>
      <c r="D133">
        <v>2012</v>
      </c>
      <c r="E133" t="s">
        <v>18</v>
      </c>
      <c r="F133">
        <v>2012074</v>
      </c>
      <c r="G133">
        <v>2012156</v>
      </c>
      <c r="H133">
        <v>4752</v>
      </c>
      <c r="I133">
        <v>807</v>
      </c>
      <c r="J133">
        <v>50</v>
      </c>
      <c r="K133">
        <v>146</v>
      </c>
      <c r="L133">
        <v>143</v>
      </c>
      <c r="M133">
        <v>100</v>
      </c>
      <c r="N133">
        <v>27.79252</v>
      </c>
      <c r="O133">
        <v>12.34112</v>
      </c>
      <c r="P133">
        <v>22.88551</v>
      </c>
      <c r="Q133">
        <v>16136</v>
      </c>
    </row>
    <row r="134" spans="1:17" x14ac:dyDescent="0.25">
      <c r="A134" t="s">
        <v>16</v>
      </c>
      <c r="B134">
        <v>7</v>
      </c>
      <c r="C134">
        <v>1.63</v>
      </c>
      <c r="D134">
        <v>2013</v>
      </c>
      <c r="E134" t="s">
        <v>18</v>
      </c>
      <c r="F134">
        <v>2013074</v>
      </c>
      <c r="G134">
        <v>2013147</v>
      </c>
      <c r="H134">
        <v>7846</v>
      </c>
      <c r="I134">
        <v>2054</v>
      </c>
      <c r="J134">
        <v>50</v>
      </c>
      <c r="K134">
        <v>316</v>
      </c>
      <c r="L134">
        <v>325</v>
      </c>
      <c r="M134">
        <v>100</v>
      </c>
      <c r="N134">
        <v>28.334099999999999</v>
      </c>
      <c r="O134">
        <v>12.199059999999999</v>
      </c>
      <c r="P134">
        <v>23.418220000000002</v>
      </c>
      <c r="Q134">
        <v>41074</v>
      </c>
    </row>
    <row r="135" spans="1:17" x14ac:dyDescent="0.25">
      <c r="A135" t="s">
        <v>16</v>
      </c>
      <c r="B135">
        <v>7</v>
      </c>
      <c r="C135">
        <v>1.63</v>
      </c>
      <c r="D135">
        <v>2014</v>
      </c>
      <c r="E135" t="s">
        <v>18</v>
      </c>
      <c r="F135">
        <v>2014074</v>
      </c>
      <c r="G135">
        <v>2014141</v>
      </c>
      <c r="H135">
        <v>9745</v>
      </c>
      <c r="I135">
        <v>3282</v>
      </c>
      <c r="J135">
        <v>50</v>
      </c>
      <c r="K135">
        <v>267</v>
      </c>
      <c r="L135">
        <v>346</v>
      </c>
      <c r="M135">
        <v>100</v>
      </c>
      <c r="N135">
        <v>27.617760000000001</v>
      </c>
      <c r="O135">
        <v>12.66916</v>
      </c>
      <c r="P135">
        <v>22.81683</v>
      </c>
      <c r="Q135">
        <v>65636</v>
      </c>
    </row>
    <row r="136" spans="1:17" x14ac:dyDescent="0.25">
      <c r="A136" t="s">
        <v>16</v>
      </c>
      <c r="B136">
        <v>7</v>
      </c>
      <c r="C136">
        <v>1.63</v>
      </c>
      <c r="D136">
        <v>2015</v>
      </c>
      <c r="E136" t="s">
        <v>18</v>
      </c>
      <c r="F136">
        <v>2015074</v>
      </c>
      <c r="G136">
        <v>2015141</v>
      </c>
      <c r="H136">
        <v>7335</v>
      </c>
      <c r="I136">
        <v>2251</v>
      </c>
      <c r="J136">
        <v>50</v>
      </c>
      <c r="K136">
        <v>190</v>
      </c>
      <c r="L136">
        <v>159</v>
      </c>
      <c r="M136">
        <v>100</v>
      </c>
      <c r="N136">
        <v>28.844390000000001</v>
      </c>
      <c r="O136">
        <v>13.119619999999999</v>
      </c>
      <c r="P136">
        <v>23.194859999999998</v>
      </c>
      <c r="Q136">
        <v>45029</v>
      </c>
    </row>
    <row r="137" spans="1:17" x14ac:dyDescent="0.25">
      <c r="A137" t="s">
        <v>16</v>
      </c>
      <c r="B137">
        <v>7</v>
      </c>
      <c r="C137">
        <v>1.63</v>
      </c>
      <c r="D137">
        <v>2016</v>
      </c>
      <c r="E137" t="s">
        <v>18</v>
      </c>
      <c r="F137">
        <v>2016074</v>
      </c>
      <c r="G137">
        <v>2016151</v>
      </c>
      <c r="H137">
        <v>11333</v>
      </c>
      <c r="I137">
        <v>3904</v>
      </c>
      <c r="J137">
        <v>50</v>
      </c>
      <c r="K137">
        <v>275</v>
      </c>
      <c r="L137">
        <v>225</v>
      </c>
      <c r="M137">
        <v>100</v>
      </c>
      <c r="N137">
        <v>28.35981</v>
      </c>
      <c r="O137">
        <v>12.45421</v>
      </c>
      <c r="P137">
        <v>23.214950000000002</v>
      </c>
      <c r="Q137">
        <v>78074</v>
      </c>
    </row>
    <row r="138" spans="1:17" x14ac:dyDescent="0.25">
      <c r="A138" t="s">
        <v>16</v>
      </c>
      <c r="B138">
        <v>7</v>
      </c>
      <c r="C138">
        <v>1.63</v>
      </c>
      <c r="D138">
        <v>2017</v>
      </c>
      <c r="E138" t="s">
        <v>18</v>
      </c>
      <c r="F138">
        <v>2017074</v>
      </c>
      <c r="G138">
        <v>2017142</v>
      </c>
      <c r="H138">
        <v>8701</v>
      </c>
      <c r="I138">
        <v>2260</v>
      </c>
      <c r="J138">
        <v>50</v>
      </c>
      <c r="K138">
        <v>93</v>
      </c>
      <c r="L138">
        <v>254</v>
      </c>
      <c r="M138">
        <v>100</v>
      </c>
      <c r="N138">
        <v>30.696729999999999</v>
      </c>
      <c r="O138">
        <v>12.98738</v>
      </c>
      <c r="P138">
        <v>23.798590000000001</v>
      </c>
      <c r="Q138">
        <v>45200</v>
      </c>
    </row>
    <row r="139" spans="1:17" x14ac:dyDescent="0.25">
      <c r="A139" t="s">
        <v>16</v>
      </c>
      <c r="B139">
        <v>7</v>
      </c>
      <c r="C139">
        <v>1.63</v>
      </c>
      <c r="D139">
        <v>2018</v>
      </c>
      <c r="E139" t="s">
        <v>18</v>
      </c>
      <c r="F139">
        <v>2018074</v>
      </c>
      <c r="G139">
        <v>2018151</v>
      </c>
      <c r="H139">
        <v>8905</v>
      </c>
      <c r="I139">
        <v>2850</v>
      </c>
      <c r="J139">
        <v>50</v>
      </c>
      <c r="K139">
        <v>306</v>
      </c>
      <c r="L139">
        <v>130</v>
      </c>
      <c r="M139">
        <v>100</v>
      </c>
      <c r="N139">
        <v>28.02102</v>
      </c>
      <c r="O139">
        <v>13.03645</v>
      </c>
      <c r="P139">
        <v>22.382709999999999</v>
      </c>
      <c r="Q139">
        <v>57000</v>
      </c>
    </row>
    <row r="140" spans="1:17" x14ac:dyDescent="0.25">
      <c r="A140" t="s">
        <v>16</v>
      </c>
      <c r="B140">
        <v>7</v>
      </c>
      <c r="C140">
        <v>1.63</v>
      </c>
      <c r="D140">
        <v>2019</v>
      </c>
      <c r="E140" t="s">
        <v>18</v>
      </c>
      <c r="F140">
        <v>2019074</v>
      </c>
      <c r="G140">
        <v>2019144</v>
      </c>
      <c r="H140">
        <v>5130</v>
      </c>
      <c r="I140">
        <v>1532</v>
      </c>
      <c r="J140">
        <v>50</v>
      </c>
      <c r="K140">
        <v>102</v>
      </c>
      <c r="L140">
        <v>159</v>
      </c>
      <c r="M140">
        <v>100</v>
      </c>
      <c r="N140">
        <v>29.18411</v>
      </c>
      <c r="O140">
        <v>12.50234</v>
      </c>
      <c r="P140">
        <v>24.013079999999999</v>
      </c>
      <c r="Q140">
        <v>30631</v>
      </c>
    </row>
    <row r="141" spans="1:17" x14ac:dyDescent="0.25">
      <c r="A141" t="s">
        <v>16</v>
      </c>
      <c r="B141">
        <v>7</v>
      </c>
      <c r="C141">
        <v>1.63</v>
      </c>
      <c r="D141">
        <v>2020</v>
      </c>
      <c r="E141" t="s">
        <v>18</v>
      </c>
      <c r="F141">
        <v>2020074</v>
      </c>
      <c r="G141">
        <v>2020147</v>
      </c>
      <c r="H141">
        <v>10350</v>
      </c>
      <c r="I141">
        <v>3219</v>
      </c>
      <c r="J141">
        <v>50</v>
      </c>
      <c r="K141">
        <v>201</v>
      </c>
      <c r="L141">
        <v>202</v>
      </c>
      <c r="M141">
        <v>100</v>
      </c>
      <c r="N141">
        <v>28.948599999999999</v>
      </c>
      <c r="O141">
        <v>13.36215</v>
      </c>
      <c r="P141">
        <v>22.88458</v>
      </c>
      <c r="Q141">
        <v>64388</v>
      </c>
    </row>
    <row r="142" spans="1:17" x14ac:dyDescent="0.25">
      <c r="A142" t="s">
        <v>16</v>
      </c>
      <c r="B142">
        <v>8</v>
      </c>
      <c r="C142">
        <v>1.49</v>
      </c>
      <c r="D142">
        <v>2001</v>
      </c>
      <c r="E142" t="s">
        <v>17</v>
      </c>
      <c r="F142">
        <v>2001091</v>
      </c>
      <c r="G142">
        <v>2001162</v>
      </c>
      <c r="H142">
        <v>10233</v>
      </c>
      <c r="I142">
        <v>2814</v>
      </c>
      <c r="J142">
        <v>100</v>
      </c>
      <c r="K142">
        <v>225</v>
      </c>
      <c r="L142">
        <v>235</v>
      </c>
      <c r="M142">
        <v>125</v>
      </c>
      <c r="N142">
        <v>27.594919999999998</v>
      </c>
      <c r="O142">
        <v>13.4137</v>
      </c>
      <c r="P142">
        <v>23.716750000000001</v>
      </c>
      <c r="Q142">
        <v>59098</v>
      </c>
    </row>
    <row r="143" spans="1:17" x14ac:dyDescent="0.25">
      <c r="A143" t="s">
        <v>16</v>
      </c>
      <c r="B143">
        <v>8</v>
      </c>
      <c r="C143">
        <v>1.49</v>
      </c>
      <c r="D143">
        <v>2002</v>
      </c>
      <c r="E143" t="s">
        <v>17</v>
      </c>
      <c r="F143">
        <v>2002091</v>
      </c>
      <c r="G143">
        <v>2002164</v>
      </c>
      <c r="H143">
        <v>10008</v>
      </c>
      <c r="I143">
        <v>2449</v>
      </c>
      <c r="J143">
        <v>100</v>
      </c>
      <c r="K143">
        <v>182</v>
      </c>
      <c r="L143">
        <v>191</v>
      </c>
      <c r="M143">
        <v>125</v>
      </c>
      <c r="N143">
        <v>27.10305</v>
      </c>
      <c r="O143">
        <v>13.228429999999999</v>
      </c>
      <c r="P143">
        <v>23.25076</v>
      </c>
      <c r="Q143">
        <v>51428</v>
      </c>
    </row>
    <row r="144" spans="1:17" x14ac:dyDescent="0.25">
      <c r="A144" t="s">
        <v>16</v>
      </c>
      <c r="B144">
        <v>8</v>
      </c>
      <c r="C144">
        <v>1.49</v>
      </c>
      <c r="D144">
        <v>2003</v>
      </c>
      <c r="E144" t="s">
        <v>17</v>
      </c>
      <c r="F144">
        <v>2003091</v>
      </c>
      <c r="G144">
        <v>2003159</v>
      </c>
      <c r="H144">
        <v>5215</v>
      </c>
      <c r="I144">
        <v>1777</v>
      </c>
      <c r="J144">
        <v>100</v>
      </c>
      <c r="K144">
        <v>74</v>
      </c>
      <c r="L144">
        <v>90</v>
      </c>
      <c r="M144">
        <v>125</v>
      </c>
      <c r="N144">
        <v>28.552790000000002</v>
      </c>
      <c r="O144">
        <v>13.9665</v>
      </c>
      <c r="P144">
        <v>23.503039999999999</v>
      </c>
      <c r="Q144">
        <v>37323</v>
      </c>
    </row>
    <row r="145" spans="1:17" x14ac:dyDescent="0.25">
      <c r="A145" t="s">
        <v>16</v>
      </c>
      <c r="B145">
        <v>8</v>
      </c>
      <c r="C145">
        <v>1.49</v>
      </c>
      <c r="D145">
        <v>2004</v>
      </c>
      <c r="E145" t="s">
        <v>17</v>
      </c>
      <c r="F145">
        <v>2004091</v>
      </c>
      <c r="G145">
        <v>2004162</v>
      </c>
      <c r="H145">
        <v>10662</v>
      </c>
      <c r="I145">
        <v>3100</v>
      </c>
      <c r="J145">
        <v>100</v>
      </c>
      <c r="K145">
        <v>243</v>
      </c>
      <c r="L145">
        <v>308</v>
      </c>
      <c r="M145">
        <v>125</v>
      </c>
      <c r="N145">
        <v>28.562439999999999</v>
      </c>
      <c r="O145">
        <v>13.373609999999999</v>
      </c>
      <c r="P145">
        <v>23.701519999999999</v>
      </c>
      <c r="Q145">
        <v>65097</v>
      </c>
    </row>
    <row r="146" spans="1:17" x14ac:dyDescent="0.25">
      <c r="A146" t="s">
        <v>16</v>
      </c>
      <c r="B146">
        <v>8</v>
      </c>
      <c r="C146">
        <v>1.49</v>
      </c>
      <c r="D146">
        <v>2005</v>
      </c>
      <c r="E146" t="s">
        <v>17</v>
      </c>
      <c r="F146">
        <v>2005091</v>
      </c>
      <c r="G146">
        <v>2005159</v>
      </c>
      <c r="H146">
        <v>7399</v>
      </c>
      <c r="I146">
        <v>1734</v>
      </c>
      <c r="J146">
        <v>100</v>
      </c>
      <c r="K146">
        <v>163</v>
      </c>
      <c r="L146">
        <v>172</v>
      </c>
      <c r="M146">
        <v>125</v>
      </c>
      <c r="N146">
        <v>29.330459999999999</v>
      </c>
      <c r="O146">
        <v>13.43046</v>
      </c>
      <c r="P146">
        <v>23.958880000000001</v>
      </c>
      <c r="Q146">
        <v>36404</v>
      </c>
    </row>
    <row r="147" spans="1:17" x14ac:dyDescent="0.25">
      <c r="A147" t="s">
        <v>16</v>
      </c>
      <c r="B147">
        <v>8</v>
      </c>
      <c r="C147">
        <v>1.49</v>
      </c>
      <c r="D147">
        <v>2006</v>
      </c>
      <c r="E147" t="s">
        <v>17</v>
      </c>
      <c r="F147">
        <v>2006091</v>
      </c>
      <c r="G147">
        <v>2006156</v>
      </c>
      <c r="H147">
        <v>6462</v>
      </c>
      <c r="I147">
        <v>1815</v>
      </c>
      <c r="J147">
        <v>100</v>
      </c>
      <c r="K147">
        <v>131</v>
      </c>
      <c r="L147">
        <v>205</v>
      </c>
      <c r="M147">
        <v>125</v>
      </c>
      <c r="N147">
        <v>29.784770000000002</v>
      </c>
      <c r="O147">
        <v>14.032999999999999</v>
      </c>
      <c r="P147">
        <v>23.359390000000001</v>
      </c>
      <c r="Q147">
        <v>38118</v>
      </c>
    </row>
    <row r="148" spans="1:17" x14ac:dyDescent="0.25">
      <c r="A148" t="s">
        <v>16</v>
      </c>
      <c r="B148">
        <v>8</v>
      </c>
      <c r="C148">
        <v>1.49</v>
      </c>
      <c r="D148">
        <v>2007</v>
      </c>
      <c r="E148" t="s">
        <v>17</v>
      </c>
      <c r="F148">
        <v>2007091</v>
      </c>
      <c r="G148">
        <v>2007163</v>
      </c>
      <c r="H148">
        <v>12189</v>
      </c>
      <c r="I148">
        <v>3994</v>
      </c>
      <c r="J148">
        <v>100</v>
      </c>
      <c r="K148">
        <v>256</v>
      </c>
      <c r="L148">
        <v>364</v>
      </c>
      <c r="M148">
        <v>125</v>
      </c>
      <c r="N148">
        <v>27.577159999999999</v>
      </c>
      <c r="O148">
        <v>13.11219</v>
      </c>
      <c r="P148">
        <v>22.91574</v>
      </c>
      <c r="Q148">
        <v>83879</v>
      </c>
    </row>
    <row r="149" spans="1:17" x14ac:dyDescent="0.25">
      <c r="A149" t="s">
        <v>16</v>
      </c>
      <c r="B149">
        <v>8</v>
      </c>
      <c r="C149">
        <v>1.49</v>
      </c>
      <c r="D149">
        <v>2008</v>
      </c>
      <c r="E149" t="s">
        <v>17</v>
      </c>
      <c r="F149">
        <v>2008091</v>
      </c>
      <c r="G149">
        <v>2008164</v>
      </c>
      <c r="H149">
        <v>11800</v>
      </c>
      <c r="I149">
        <v>3548</v>
      </c>
      <c r="J149">
        <v>100</v>
      </c>
      <c r="K149">
        <v>208</v>
      </c>
      <c r="L149">
        <v>198</v>
      </c>
      <c r="M149">
        <v>125</v>
      </c>
      <c r="N149">
        <v>27.518260000000001</v>
      </c>
      <c r="O149">
        <v>12.576639999999999</v>
      </c>
      <c r="P149">
        <v>23.153300000000002</v>
      </c>
      <c r="Q149">
        <v>74511</v>
      </c>
    </row>
    <row r="150" spans="1:17" x14ac:dyDescent="0.25">
      <c r="A150" t="s">
        <v>16</v>
      </c>
      <c r="B150">
        <v>8</v>
      </c>
      <c r="C150">
        <v>1.49</v>
      </c>
      <c r="D150">
        <v>2009</v>
      </c>
      <c r="E150" t="s">
        <v>17</v>
      </c>
      <c r="F150">
        <v>2009091</v>
      </c>
      <c r="G150">
        <v>2009163</v>
      </c>
      <c r="H150">
        <v>10044</v>
      </c>
      <c r="I150">
        <v>2613</v>
      </c>
      <c r="J150">
        <v>100</v>
      </c>
      <c r="K150">
        <v>141</v>
      </c>
      <c r="L150">
        <v>219</v>
      </c>
      <c r="M150">
        <v>125</v>
      </c>
      <c r="N150">
        <v>28.913699999999999</v>
      </c>
      <c r="O150">
        <v>13.28477</v>
      </c>
      <c r="P150">
        <v>23.55686</v>
      </c>
      <c r="Q150">
        <v>54870</v>
      </c>
    </row>
    <row r="151" spans="1:17" x14ac:dyDescent="0.25">
      <c r="A151" t="s">
        <v>16</v>
      </c>
      <c r="B151">
        <v>8</v>
      </c>
      <c r="C151">
        <v>1.49</v>
      </c>
      <c r="D151">
        <v>2010</v>
      </c>
      <c r="E151" t="s">
        <v>18</v>
      </c>
      <c r="F151">
        <v>2010091</v>
      </c>
      <c r="G151">
        <v>2010154</v>
      </c>
      <c r="H151">
        <v>10206</v>
      </c>
      <c r="I151">
        <v>4087</v>
      </c>
      <c r="J151">
        <v>100</v>
      </c>
      <c r="K151">
        <v>271</v>
      </c>
      <c r="L151">
        <v>467</v>
      </c>
      <c r="M151">
        <v>125</v>
      </c>
      <c r="N151">
        <v>28.943660000000001</v>
      </c>
      <c r="O151">
        <v>13.73147</v>
      </c>
      <c r="P151">
        <v>23.500509999999998</v>
      </c>
      <c r="Q151">
        <v>85828</v>
      </c>
    </row>
    <row r="152" spans="1:17" x14ac:dyDescent="0.25">
      <c r="A152" t="s">
        <v>16</v>
      </c>
      <c r="B152">
        <v>8</v>
      </c>
      <c r="C152">
        <v>1.49</v>
      </c>
      <c r="D152">
        <v>2011</v>
      </c>
      <c r="E152" t="s">
        <v>18</v>
      </c>
      <c r="F152">
        <v>2011091</v>
      </c>
      <c r="G152">
        <v>2011147</v>
      </c>
      <c r="H152">
        <v>12147</v>
      </c>
      <c r="I152">
        <v>5109</v>
      </c>
      <c r="J152">
        <v>100</v>
      </c>
      <c r="K152">
        <v>213</v>
      </c>
      <c r="L152">
        <v>316</v>
      </c>
      <c r="M152">
        <v>125</v>
      </c>
      <c r="N152">
        <v>29.576139999999999</v>
      </c>
      <c r="O152">
        <v>13.629440000000001</v>
      </c>
      <c r="P152">
        <v>23.699490000000001</v>
      </c>
      <c r="Q152">
        <v>107297</v>
      </c>
    </row>
    <row r="153" spans="1:17" x14ac:dyDescent="0.25">
      <c r="A153" t="s">
        <v>16</v>
      </c>
      <c r="B153">
        <v>8</v>
      </c>
      <c r="C153">
        <v>1.49</v>
      </c>
      <c r="D153">
        <v>2012</v>
      </c>
      <c r="E153" t="s">
        <v>18</v>
      </c>
      <c r="F153">
        <v>2012091</v>
      </c>
      <c r="G153">
        <v>2012157</v>
      </c>
      <c r="H153">
        <v>6152</v>
      </c>
      <c r="I153">
        <v>1860</v>
      </c>
      <c r="J153">
        <v>100</v>
      </c>
      <c r="K153">
        <v>146</v>
      </c>
      <c r="L153">
        <v>143</v>
      </c>
      <c r="M153">
        <v>125</v>
      </c>
      <c r="N153">
        <v>28.360910000000001</v>
      </c>
      <c r="O153">
        <v>12.93909</v>
      </c>
      <c r="P153">
        <v>23.30153</v>
      </c>
      <c r="Q153">
        <v>39053</v>
      </c>
    </row>
    <row r="154" spans="1:17" x14ac:dyDescent="0.25">
      <c r="A154" t="s">
        <v>16</v>
      </c>
      <c r="B154">
        <v>8</v>
      </c>
      <c r="C154">
        <v>1.49</v>
      </c>
      <c r="D154">
        <v>2013</v>
      </c>
      <c r="E154" t="s">
        <v>18</v>
      </c>
      <c r="F154">
        <v>2013091</v>
      </c>
      <c r="G154">
        <v>2013154</v>
      </c>
      <c r="H154">
        <v>10277</v>
      </c>
      <c r="I154">
        <v>3416</v>
      </c>
      <c r="J154">
        <v>100</v>
      </c>
      <c r="K154">
        <v>316</v>
      </c>
      <c r="L154">
        <v>325</v>
      </c>
      <c r="M154">
        <v>125</v>
      </c>
      <c r="N154">
        <v>29.317260000000001</v>
      </c>
      <c r="O154">
        <v>12.59137</v>
      </c>
      <c r="P154">
        <v>24.37208</v>
      </c>
      <c r="Q154">
        <v>71728</v>
      </c>
    </row>
    <row r="155" spans="1:17" x14ac:dyDescent="0.25">
      <c r="A155" t="s">
        <v>16</v>
      </c>
      <c r="B155">
        <v>8</v>
      </c>
      <c r="C155">
        <v>1.49</v>
      </c>
      <c r="D155">
        <v>2014</v>
      </c>
      <c r="E155" t="s">
        <v>18</v>
      </c>
      <c r="F155">
        <v>2014091</v>
      </c>
      <c r="G155">
        <v>2014152</v>
      </c>
      <c r="H155">
        <v>10553</v>
      </c>
      <c r="I155">
        <v>3266</v>
      </c>
      <c r="J155">
        <v>100</v>
      </c>
      <c r="K155">
        <v>267</v>
      </c>
      <c r="L155">
        <v>346</v>
      </c>
      <c r="M155">
        <v>125</v>
      </c>
      <c r="N155">
        <v>28.380700000000001</v>
      </c>
      <c r="O155">
        <v>13.32742</v>
      </c>
      <c r="P155">
        <v>23.334019999999999</v>
      </c>
      <c r="Q155">
        <v>68593</v>
      </c>
    </row>
    <row r="156" spans="1:17" x14ac:dyDescent="0.25">
      <c r="A156" t="s">
        <v>16</v>
      </c>
      <c r="B156">
        <v>8</v>
      </c>
      <c r="C156">
        <v>1.49</v>
      </c>
      <c r="D156">
        <v>2015</v>
      </c>
      <c r="E156" t="s">
        <v>18</v>
      </c>
      <c r="F156">
        <v>2015091</v>
      </c>
      <c r="G156">
        <v>2015150</v>
      </c>
      <c r="H156">
        <v>7506</v>
      </c>
      <c r="I156">
        <v>2042</v>
      </c>
      <c r="J156">
        <v>100</v>
      </c>
      <c r="K156">
        <v>190</v>
      </c>
      <c r="L156">
        <v>159</v>
      </c>
      <c r="M156">
        <v>125</v>
      </c>
      <c r="N156">
        <v>29.6538</v>
      </c>
      <c r="O156">
        <v>13.73452</v>
      </c>
      <c r="P156">
        <v>23.767510000000001</v>
      </c>
      <c r="Q156">
        <v>42885</v>
      </c>
    </row>
    <row r="157" spans="1:17" x14ac:dyDescent="0.25">
      <c r="A157" t="s">
        <v>16</v>
      </c>
      <c r="B157">
        <v>8</v>
      </c>
      <c r="C157">
        <v>1.49</v>
      </c>
      <c r="D157">
        <v>2016</v>
      </c>
      <c r="E157" t="s">
        <v>18</v>
      </c>
      <c r="F157">
        <v>2016091</v>
      </c>
      <c r="G157">
        <v>2016158</v>
      </c>
      <c r="H157">
        <v>11660</v>
      </c>
      <c r="I157">
        <v>3814</v>
      </c>
      <c r="J157">
        <v>100</v>
      </c>
      <c r="K157">
        <v>275</v>
      </c>
      <c r="L157">
        <v>225</v>
      </c>
      <c r="M157">
        <v>125</v>
      </c>
      <c r="N157">
        <v>29.304069999999999</v>
      </c>
      <c r="O157">
        <v>13.03706</v>
      </c>
      <c r="P157">
        <v>23.8599</v>
      </c>
      <c r="Q157">
        <v>80088</v>
      </c>
    </row>
    <row r="158" spans="1:17" x14ac:dyDescent="0.25">
      <c r="A158" t="s">
        <v>16</v>
      </c>
      <c r="B158">
        <v>8</v>
      </c>
      <c r="C158">
        <v>1.49</v>
      </c>
      <c r="D158">
        <v>2017</v>
      </c>
      <c r="E158" t="s">
        <v>18</v>
      </c>
      <c r="F158">
        <v>2017091</v>
      </c>
      <c r="G158">
        <v>2017148</v>
      </c>
      <c r="H158">
        <v>9817</v>
      </c>
      <c r="I158">
        <v>2579</v>
      </c>
      <c r="J158">
        <v>100</v>
      </c>
      <c r="K158">
        <v>93</v>
      </c>
      <c r="L158">
        <v>254</v>
      </c>
      <c r="M158">
        <v>125</v>
      </c>
      <c r="N158">
        <v>31.704070000000002</v>
      </c>
      <c r="O158">
        <v>13.61726</v>
      </c>
      <c r="P158">
        <v>24.412690000000001</v>
      </c>
      <c r="Q158">
        <v>54156</v>
      </c>
    </row>
    <row r="159" spans="1:17" x14ac:dyDescent="0.25">
      <c r="A159" t="s">
        <v>16</v>
      </c>
      <c r="B159">
        <v>8</v>
      </c>
      <c r="C159">
        <v>1.49</v>
      </c>
      <c r="D159">
        <v>2018</v>
      </c>
      <c r="E159" t="s">
        <v>18</v>
      </c>
      <c r="F159">
        <v>2018091</v>
      </c>
      <c r="G159">
        <v>2018157</v>
      </c>
      <c r="H159">
        <v>10942</v>
      </c>
      <c r="I159">
        <v>3838</v>
      </c>
      <c r="J159">
        <v>100</v>
      </c>
      <c r="K159">
        <v>306</v>
      </c>
      <c r="L159">
        <v>130</v>
      </c>
      <c r="M159">
        <v>125</v>
      </c>
      <c r="N159">
        <v>29.07563</v>
      </c>
      <c r="O159">
        <v>13.6934</v>
      </c>
      <c r="P159">
        <v>22.77411</v>
      </c>
      <c r="Q159">
        <v>80595</v>
      </c>
    </row>
    <row r="160" spans="1:17" x14ac:dyDescent="0.25">
      <c r="A160" t="s">
        <v>16</v>
      </c>
      <c r="B160">
        <v>8</v>
      </c>
      <c r="C160">
        <v>1.49</v>
      </c>
      <c r="D160">
        <v>2019</v>
      </c>
      <c r="E160" t="s">
        <v>18</v>
      </c>
      <c r="F160">
        <v>2019091</v>
      </c>
      <c r="G160">
        <v>2019153</v>
      </c>
      <c r="H160">
        <v>5037</v>
      </c>
      <c r="I160">
        <v>1209</v>
      </c>
      <c r="J160">
        <v>100</v>
      </c>
      <c r="K160">
        <v>102</v>
      </c>
      <c r="L160">
        <v>159</v>
      </c>
      <c r="M160">
        <v>125</v>
      </c>
      <c r="N160">
        <v>29.774619999999999</v>
      </c>
      <c r="O160">
        <v>13.24822</v>
      </c>
      <c r="P160">
        <v>24.235530000000001</v>
      </c>
      <c r="Q160">
        <v>25380</v>
      </c>
    </row>
    <row r="161" spans="1:17" x14ac:dyDescent="0.25">
      <c r="A161" t="s">
        <v>16</v>
      </c>
      <c r="B161">
        <v>8</v>
      </c>
      <c r="C161">
        <v>1.49</v>
      </c>
      <c r="D161">
        <v>2020</v>
      </c>
      <c r="E161" t="s">
        <v>18</v>
      </c>
      <c r="F161">
        <v>2020091</v>
      </c>
      <c r="G161">
        <v>2020151</v>
      </c>
      <c r="H161">
        <v>11324</v>
      </c>
      <c r="I161">
        <v>3629</v>
      </c>
      <c r="J161">
        <v>100</v>
      </c>
      <c r="K161">
        <v>201</v>
      </c>
      <c r="L161">
        <v>202</v>
      </c>
      <c r="M161">
        <v>125</v>
      </c>
      <c r="N161">
        <v>29.84975</v>
      </c>
      <c r="O161">
        <v>13.92132</v>
      </c>
      <c r="P161">
        <v>23.44163</v>
      </c>
      <c r="Q161">
        <v>76218</v>
      </c>
    </row>
    <row r="162" spans="1:17" x14ac:dyDescent="0.25">
      <c r="A162" t="s">
        <v>16</v>
      </c>
      <c r="B162">
        <v>9</v>
      </c>
      <c r="C162">
        <v>1.46</v>
      </c>
      <c r="D162">
        <v>2001</v>
      </c>
      <c r="E162" t="s">
        <v>17</v>
      </c>
      <c r="F162">
        <v>2001091</v>
      </c>
      <c r="G162">
        <v>2001162</v>
      </c>
      <c r="H162">
        <v>8646</v>
      </c>
      <c r="I162">
        <v>1611</v>
      </c>
      <c r="J162">
        <v>50</v>
      </c>
      <c r="K162">
        <v>225</v>
      </c>
      <c r="L162">
        <v>235</v>
      </c>
      <c r="M162">
        <v>125</v>
      </c>
      <c r="N162">
        <v>27.594919999999998</v>
      </c>
      <c r="O162">
        <v>13.4137</v>
      </c>
      <c r="P162">
        <v>23.716750000000001</v>
      </c>
      <c r="Q162">
        <v>27392</v>
      </c>
    </row>
    <row r="163" spans="1:17" x14ac:dyDescent="0.25">
      <c r="A163" t="s">
        <v>16</v>
      </c>
      <c r="B163">
        <v>9</v>
      </c>
      <c r="C163">
        <v>1.46</v>
      </c>
      <c r="D163">
        <v>2002</v>
      </c>
      <c r="E163" t="s">
        <v>17</v>
      </c>
      <c r="F163">
        <v>2002091</v>
      </c>
      <c r="G163">
        <v>2002164</v>
      </c>
      <c r="H163">
        <v>8346</v>
      </c>
      <c r="I163">
        <v>1188</v>
      </c>
      <c r="J163">
        <v>50</v>
      </c>
      <c r="K163">
        <v>182</v>
      </c>
      <c r="L163">
        <v>191</v>
      </c>
      <c r="M163">
        <v>125</v>
      </c>
      <c r="N163">
        <v>27.10305</v>
      </c>
      <c r="O163">
        <v>13.228429999999999</v>
      </c>
      <c r="P163">
        <v>23.25076</v>
      </c>
      <c r="Q163">
        <v>20199</v>
      </c>
    </row>
    <row r="164" spans="1:17" x14ac:dyDescent="0.25">
      <c r="A164" t="s">
        <v>16</v>
      </c>
      <c r="B164">
        <v>9</v>
      </c>
      <c r="C164">
        <v>1.46</v>
      </c>
      <c r="D164">
        <v>2003</v>
      </c>
      <c r="E164" t="s">
        <v>17</v>
      </c>
      <c r="F164">
        <v>2003091</v>
      </c>
      <c r="G164">
        <v>2003159</v>
      </c>
      <c r="H164">
        <v>3403</v>
      </c>
      <c r="I164">
        <v>306</v>
      </c>
      <c r="J164">
        <v>50</v>
      </c>
      <c r="K164">
        <v>74</v>
      </c>
      <c r="L164">
        <v>90</v>
      </c>
      <c r="M164">
        <v>125</v>
      </c>
      <c r="N164">
        <v>28.552790000000002</v>
      </c>
      <c r="O164">
        <v>13.9665</v>
      </c>
      <c r="P164">
        <v>23.503039999999999</v>
      </c>
      <c r="Q164">
        <v>5204</v>
      </c>
    </row>
    <row r="165" spans="1:17" x14ac:dyDescent="0.25">
      <c r="A165" t="s">
        <v>16</v>
      </c>
      <c r="B165">
        <v>9</v>
      </c>
      <c r="C165">
        <v>1.46</v>
      </c>
      <c r="D165">
        <v>2004</v>
      </c>
      <c r="E165" t="s">
        <v>17</v>
      </c>
      <c r="F165">
        <v>2004091</v>
      </c>
      <c r="G165">
        <v>2004162</v>
      </c>
      <c r="H165">
        <v>9315</v>
      </c>
      <c r="I165">
        <v>2039</v>
      </c>
      <c r="J165">
        <v>50</v>
      </c>
      <c r="K165">
        <v>243</v>
      </c>
      <c r="L165">
        <v>308</v>
      </c>
      <c r="M165">
        <v>125</v>
      </c>
      <c r="N165">
        <v>28.562439999999999</v>
      </c>
      <c r="O165">
        <v>13.373609999999999</v>
      </c>
      <c r="P165">
        <v>23.701519999999999</v>
      </c>
      <c r="Q165">
        <v>34655</v>
      </c>
    </row>
    <row r="166" spans="1:17" x14ac:dyDescent="0.25">
      <c r="A166" t="s">
        <v>16</v>
      </c>
      <c r="B166">
        <v>9</v>
      </c>
      <c r="C166">
        <v>1.46</v>
      </c>
      <c r="D166">
        <v>2005</v>
      </c>
      <c r="E166" t="s">
        <v>17</v>
      </c>
      <c r="F166">
        <v>2005091</v>
      </c>
      <c r="G166">
        <v>2005159</v>
      </c>
      <c r="H166">
        <v>6099</v>
      </c>
      <c r="I166">
        <v>802</v>
      </c>
      <c r="J166">
        <v>50</v>
      </c>
      <c r="K166">
        <v>163</v>
      </c>
      <c r="L166">
        <v>172</v>
      </c>
      <c r="M166">
        <v>125</v>
      </c>
      <c r="N166">
        <v>29.330459999999999</v>
      </c>
      <c r="O166">
        <v>13.43046</v>
      </c>
      <c r="P166">
        <v>23.958880000000001</v>
      </c>
      <c r="Q166">
        <v>13632</v>
      </c>
    </row>
    <row r="167" spans="1:17" x14ac:dyDescent="0.25">
      <c r="A167" t="s">
        <v>16</v>
      </c>
      <c r="B167">
        <v>9</v>
      </c>
      <c r="C167">
        <v>1.46</v>
      </c>
      <c r="D167">
        <v>2006</v>
      </c>
      <c r="E167" t="s">
        <v>17</v>
      </c>
      <c r="F167">
        <v>2006091</v>
      </c>
      <c r="G167">
        <v>2006156</v>
      </c>
      <c r="H167">
        <v>5329</v>
      </c>
      <c r="I167">
        <v>865</v>
      </c>
      <c r="J167">
        <v>50</v>
      </c>
      <c r="K167">
        <v>131</v>
      </c>
      <c r="L167">
        <v>205</v>
      </c>
      <c r="M167">
        <v>125</v>
      </c>
      <c r="N167">
        <v>29.784770000000002</v>
      </c>
      <c r="O167">
        <v>14.032999999999999</v>
      </c>
      <c r="P167">
        <v>23.359390000000001</v>
      </c>
      <c r="Q167">
        <v>14713</v>
      </c>
    </row>
    <row r="168" spans="1:17" x14ac:dyDescent="0.25">
      <c r="A168" t="s">
        <v>16</v>
      </c>
      <c r="B168">
        <v>9</v>
      </c>
      <c r="C168">
        <v>1.46</v>
      </c>
      <c r="D168">
        <v>2007</v>
      </c>
      <c r="E168" t="s">
        <v>17</v>
      </c>
      <c r="F168">
        <v>2007091</v>
      </c>
      <c r="G168">
        <v>2007163</v>
      </c>
      <c r="H168">
        <v>10730</v>
      </c>
      <c r="I168">
        <v>2770</v>
      </c>
      <c r="J168">
        <v>50</v>
      </c>
      <c r="K168">
        <v>256</v>
      </c>
      <c r="L168">
        <v>364</v>
      </c>
      <c r="M168">
        <v>125</v>
      </c>
      <c r="N168">
        <v>27.577159999999999</v>
      </c>
      <c r="O168">
        <v>13.11219</v>
      </c>
      <c r="P168">
        <v>22.91574</v>
      </c>
      <c r="Q168">
        <v>47083</v>
      </c>
    </row>
    <row r="169" spans="1:17" x14ac:dyDescent="0.25">
      <c r="A169" t="s">
        <v>16</v>
      </c>
      <c r="B169">
        <v>9</v>
      </c>
      <c r="C169">
        <v>1.46</v>
      </c>
      <c r="D169">
        <v>2008</v>
      </c>
      <c r="E169" t="s">
        <v>17</v>
      </c>
      <c r="F169">
        <v>2008091</v>
      </c>
      <c r="G169">
        <v>2008164</v>
      </c>
      <c r="H169">
        <v>10427</v>
      </c>
      <c r="I169">
        <v>2312</v>
      </c>
      <c r="J169">
        <v>50</v>
      </c>
      <c r="K169">
        <v>208</v>
      </c>
      <c r="L169">
        <v>198</v>
      </c>
      <c r="M169">
        <v>125</v>
      </c>
      <c r="N169">
        <v>27.518260000000001</v>
      </c>
      <c r="O169">
        <v>12.576639999999999</v>
      </c>
      <c r="P169">
        <v>23.153300000000002</v>
      </c>
      <c r="Q169">
        <v>39304</v>
      </c>
    </row>
    <row r="170" spans="1:17" x14ac:dyDescent="0.25">
      <c r="A170" t="s">
        <v>16</v>
      </c>
      <c r="B170">
        <v>9</v>
      </c>
      <c r="C170">
        <v>1.46</v>
      </c>
      <c r="D170">
        <v>2009</v>
      </c>
      <c r="E170" t="s">
        <v>17</v>
      </c>
      <c r="F170">
        <v>2009091</v>
      </c>
      <c r="G170">
        <v>2009163</v>
      </c>
      <c r="H170">
        <v>8167</v>
      </c>
      <c r="I170">
        <v>1200</v>
      </c>
      <c r="J170">
        <v>50</v>
      </c>
      <c r="K170">
        <v>141</v>
      </c>
      <c r="L170">
        <v>219</v>
      </c>
      <c r="M170">
        <v>125</v>
      </c>
      <c r="N170">
        <v>28.913699999999999</v>
      </c>
      <c r="O170">
        <v>13.28477</v>
      </c>
      <c r="P170">
        <v>23.55686</v>
      </c>
      <c r="Q170">
        <v>20402</v>
      </c>
    </row>
    <row r="171" spans="1:17" x14ac:dyDescent="0.25">
      <c r="A171" t="s">
        <v>16</v>
      </c>
      <c r="B171">
        <v>9</v>
      </c>
      <c r="C171">
        <v>1.46</v>
      </c>
      <c r="D171">
        <v>2010</v>
      </c>
      <c r="E171" t="s">
        <v>17</v>
      </c>
      <c r="F171">
        <v>2010091</v>
      </c>
      <c r="G171">
        <v>2010159</v>
      </c>
      <c r="H171">
        <v>9920</v>
      </c>
      <c r="I171">
        <v>2397</v>
      </c>
      <c r="J171">
        <v>50</v>
      </c>
      <c r="K171">
        <v>271</v>
      </c>
      <c r="L171">
        <v>467</v>
      </c>
      <c r="M171">
        <v>125</v>
      </c>
      <c r="N171">
        <v>28.943660000000001</v>
      </c>
      <c r="O171">
        <v>13.73147</v>
      </c>
      <c r="P171">
        <v>23.500509999999998</v>
      </c>
      <c r="Q171">
        <v>40752</v>
      </c>
    </row>
    <row r="172" spans="1:17" x14ac:dyDescent="0.25">
      <c r="A172" t="s">
        <v>16</v>
      </c>
      <c r="B172">
        <v>9</v>
      </c>
      <c r="C172">
        <v>1.46</v>
      </c>
      <c r="D172">
        <v>2011</v>
      </c>
      <c r="E172" t="s">
        <v>17</v>
      </c>
      <c r="F172">
        <v>2011091</v>
      </c>
      <c r="G172">
        <v>2011153</v>
      </c>
      <c r="H172">
        <v>11390</v>
      </c>
      <c r="I172">
        <v>3624</v>
      </c>
      <c r="J172">
        <v>50</v>
      </c>
      <c r="K172">
        <v>213</v>
      </c>
      <c r="L172">
        <v>316</v>
      </c>
      <c r="M172">
        <v>125</v>
      </c>
      <c r="N172">
        <v>29.576139999999999</v>
      </c>
      <c r="O172">
        <v>13.629440000000001</v>
      </c>
      <c r="P172">
        <v>23.699490000000001</v>
      </c>
      <c r="Q172">
        <v>61612</v>
      </c>
    </row>
    <row r="173" spans="1:17" x14ac:dyDescent="0.25">
      <c r="A173" t="s">
        <v>16</v>
      </c>
      <c r="B173">
        <v>9</v>
      </c>
      <c r="C173">
        <v>1.46</v>
      </c>
      <c r="D173">
        <v>2012</v>
      </c>
      <c r="E173" t="s">
        <v>18</v>
      </c>
      <c r="F173">
        <v>2012091</v>
      </c>
      <c r="G173">
        <v>2012157</v>
      </c>
      <c r="H173">
        <v>4856</v>
      </c>
      <c r="I173">
        <v>882</v>
      </c>
      <c r="J173">
        <v>50</v>
      </c>
      <c r="K173">
        <v>146</v>
      </c>
      <c r="L173">
        <v>143</v>
      </c>
      <c r="M173">
        <v>125</v>
      </c>
      <c r="N173">
        <v>28.360910000000001</v>
      </c>
      <c r="O173">
        <v>12.93909</v>
      </c>
      <c r="P173">
        <v>23.30153</v>
      </c>
      <c r="Q173">
        <v>14990</v>
      </c>
    </row>
    <row r="174" spans="1:17" x14ac:dyDescent="0.25">
      <c r="A174" t="s">
        <v>16</v>
      </c>
      <c r="B174">
        <v>9</v>
      </c>
      <c r="C174">
        <v>1.46</v>
      </c>
      <c r="D174">
        <v>2013</v>
      </c>
      <c r="E174" t="s">
        <v>18</v>
      </c>
      <c r="F174">
        <v>2013091</v>
      </c>
      <c r="G174">
        <v>2013154</v>
      </c>
      <c r="H174">
        <v>9191</v>
      </c>
      <c r="I174">
        <v>2468</v>
      </c>
      <c r="J174">
        <v>50</v>
      </c>
      <c r="K174">
        <v>316</v>
      </c>
      <c r="L174">
        <v>325</v>
      </c>
      <c r="M174">
        <v>125</v>
      </c>
      <c r="N174">
        <v>29.317260000000001</v>
      </c>
      <c r="O174">
        <v>12.59137</v>
      </c>
      <c r="P174">
        <v>24.37208</v>
      </c>
      <c r="Q174">
        <v>41949</v>
      </c>
    </row>
    <row r="175" spans="1:17" x14ac:dyDescent="0.25">
      <c r="A175" t="s">
        <v>16</v>
      </c>
      <c r="B175">
        <v>9</v>
      </c>
      <c r="C175">
        <v>1.46</v>
      </c>
      <c r="D175">
        <v>2014</v>
      </c>
      <c r="E175" t="s">
        <v>18</v>
      </c>
      <c r="F175">
        <v>2014091</v>
      </c>
      <c r="G175">
        <v>2014152</v>
      </c>
      <c r="H175">
        <v>9524</v>
      </c>
      <c r="I175">
        <v>2376</v>
      </c>
      <c r="J175">
        <v>50</v>
      </c>
      <c r="K175">
        <v>267</v>
      </c>
      <c r="L175">
        <v>346</v>
      </c>
      <c r="M175">
        <v>125</v>
      </c>
      <c r="N175">
        <v>28.380700000000001</v>
      </c>
      <c r="O175">
        <v>13.32742</v>
      </c>
      <c r="P175">
        <v>23.334019999999999</v>
      </c>
      <c r="Q175">
        <v>40386</v>
      </c>
    </row>
    <row r="176" spans="1:17" x14ac:dyDescent="0.25">
      <c r="A176" t="s">
        <v>16</v>
      </c>
      <c r="B176">
        <v>9</v>
      </c>
      <c r="C176">
        <v>1.46</v>
      </c>
      <c r="D176">
        <v>2015</v>
      </c>
      <c r="E176" t="s">
        <v>18</v>
      </c>
      <c r="F176">
        <v>2015091</v>
      </c>
      <c r="G176">
        <v>2015150</v>
      </c>
      <c r="H176">
        <v>6752</v>
      </c>
      <c r="I176">
        <v>1394</v>
      </c>
      <c r="J176">
        <v>50</v>
      </c>
      <c r="K176">
        <v>190</v>
      </c>
      <c r="L176">
        <v>159</v>
      </c>
      <c r="M176">
        <v>125</v>
      </c>
      <c r="N176">
        <v>29.6538</v>
      </c>
      <c r="O176">
        <v>13.73452</v>
      </c>
      <c r="P176">
        <v>23.767510000000001</v>
      </c>
      <c r="Q176">
        <v>23695</v>
      </c>
    </row>
    <row r="177" spans="1:17" x14ac:dyDescent="0.25">
      <c r="A177" t="s">
        <v>16</v>
      </c>
      <c r="B177">
        <v>9</v>
      </c>
      <c r="C177">
        <v>1.46</v>
      </c>
      <c r="D177">
        <v>2016</v>
      </c>
      <c r="E177" t="s">
        <v>18</v>
      </c>
      <c r="F177">
        <v>2016091</v>
      </c>
      <c r="G177">
        <v>2016158</v>
      </c>
      <c r="H177">
        <v>10600</v>
      </c>
      <c r="I177">
        <v>2709</v>
      </c>
      <c r="J177">
        <v>50</v>
      </c>
      <c r="K177">
        <v>275</v>
      </c>
      <c r="L177">
        <v>225</v>
      </c>
      <c r="M177">
        <v>125</v>
      </c>
      <c r="N177">
        <v>29.304069999999999</v>
      </c>
      <c r="O177">
        <v>13.03706</v>
      </c>
      <c r="P177">
        <v>23.8599</v>
      </c>
      <c r="Q177">
        <v>46053</v>
      </c>
    </row>
    <row r="178" spans="1:17" x14ac:dyDescent="0.25">
      <c r="A178" t="s">
        <v>16</v>
      </c>
      <c r="B178">
        <v>9</v>
      </c>
      <c r="C178">
        <v>1.46</v>
      </c>
      <c r="D178">
        <v>2017</v>
      </c>
      <c r="E178" t="s">
        <v>18</v>
      </c>
      <c r="F178">
        <v>2017091</v>
      </c>
      <c r="G178">
        <v>2017148</v>
      </c>
      <c r="H178">
        <v>9121</v>
      </c>
      <c r="I178">
        <v>2071</v>
      </c>
      <c r="J178">
        <v>50</v>
      </c>
      <c r="K178">
        <v>93</v>
      </c>
      <c r="L178">
        <v>254</v>
      </c>
      <c r="M178">
        <v>125</v>
      </c>
      <c r="N178">
        <v>31.704070000000002</v>
      </c>
      <c r="O178">
        <v>13.61726</v>
      </c>
      <c r="P178">
        <v>24.412690000000001</v>
      </c>
      <c r="Q178">
        <v>35200</v>
      </c>
    </row>
    <row r="179" spans="1:17" x14ac:dyDescent="0.25">
      <c r="A179" t="s">
        <v>16</v>
      </c>
      <c r="B179">
        <v>9</v>
      </c>
      <c r="C179">
        <v>1.46</v>
      </c>
      <c r="D179">
        <v>2018</v>
      </c>
      <c r="E179" t="s">
        <v>18</v>
      </c>
      <c r="F179">
        <v>2018091</v>
      </c>
      <c r="G179">
        <v>2018157</v>
      </c>
      <c r="H179">
        <v>9899</v>
      </c>
      <c r="I179">
        <v>2833</v>
      </c>
      <c r="J179">
        <v>50</v>
      </c>
      <c r="K179">
        <v>306</v>
      </c>
      <c r="L179">
        <v>130</v>
      </c>
      <c r="M179">
        <v>125</v>
      </c>
      <c r="N179">
        <v>29.07563</v>
      </c>
      <c r="O179">
        <v>13.6934</v>
      </c>
      <c r="P179">
        <v>22.77411</v>
      </c>
      <c r="Q179">
        <v>48155</v>
      </c>
    </row>
    <row r="180" spans="1:17" x14ac:dyDescent="0.25">
      <c r="A180" t="s">
        <v>16</v>
      </c>
      <c r="B180">
        <v>9</v>
      </c>
      <c r="C180">
        <v>1.46</v>
      </c>
      <c r="D180">
        <v>2019</v>
      </c>
      <c r="E180" t="s">
        <v>18</v>
      </c>
      <c r="F180">
        <v>2019091</v>
      </c>
      <c r="G180">
        <v>2019153</v>
      </c>
      <c r="H180">
        <v>4251</v>
      </c>
      <c r="I180">
        <v>707</v>
      </c>
      <c r="J180">
        <v>50</v>
      </c>
      <c r="K180">
        <v>102</v>
      </c>
      <c r="L180">
        <v>159</v>
      </c>
      <c r="M180">
        <v>125</v>
      </c>
      <c r="N180">
        <v>29.774619999999999</v>
      </c>
      <c r="O180">
        <v>13.24822</v>
      </c>
      <c r="P180">
        <v>24.235530000000001</v>
      </c>
      <c r="Q180">
        <v>12017</v>
      </c>
    </row>
    <row r="181" spans="1:17" x14ac:dyDescent="0.25">
      <c r="A181" t="s">
        <v>16</v>
      </c>
      <c r="B181">
        <v>9</v>
      </c>
      <c r="C181">
        <v>1.46</v>
      </c>
      <c r="D181">
        <v>2020</v>
      </c>
      <c r="E181" t="s">
        <v>18</v>
      </c>
      <c r="F181">
        <v>2020091</v>
      </c>
      <c r="G181">
        <v>2020151</v>
      </c>
      <c r="H181">
        <v>10303</v>
      </c>
      <c r="I181">
        <v>2889</v>
      </c>
      <c r="J181">
        <v>50</v>
      </c>
      <c r="K181">
        <v>201</v>
      </c>
      <c r="L181">
        <v>202</v>
      </c>
      <c r="M181">
        <v>125</v>
      </c>
      <c r="N181">
        <v>29.84975</v>
      </c>
      <c r="O181">
        <v>13.92132</v>
      </c>
      <c r="P181">
        <v>23.44163</v>
      </c>
      <c r="Q181">
        <v>49110</v>
      </c>
    </row>
    <row r="182" spans="1:17" x14ac:dyDescent="0.25">
      <c r="A182" t="s">
        <v>16</v>
      </c>
      <c r="B182">
        <v>10</v>
      </c>
      <c r="C182">
        <v>1.49</v>
      </c>
      <c r="D182">
        <v>2001</v>
      </c>
      <c r="E182" t="s">
        <v>17</v>
      </c>
      <c r="F182">
        <v>2001105</v>
      </c>
      <c r="G182">
        <v>2001177</v>
      </c>
      <c r="H182">
        <v>6174</v>
      </c>
      <c r="I182">
        <v>735</v>
      </c>
      <c r="J182">
        <v>50</v>
      </c>
      <c r="K182">
        <v>225</v>
      </c>
      <c r="L182">
        <v>235</v>
      </c>
      <c r="M182">
        <v>100</v>
      </c>
      <c r="N182">
        <v>28.044809999999998</v>
      </c>
      <c r="O182">
        <v>13.863390000000001</v>
      </c>
      <c r="P182">
        <v>23.866669999999999</v>
      </c>
      <c r="Q182">
        <v>14696</v>
      </c>
    </row>
    <row r="183" spans="1:17" x14ac:dyDescent="0.25">
      <c r="A183" t="s">
        <v>16</v>
      </c>
      <c r="B183">
        <v>10</v>
      </c>
      <c r="C183">
        <v>1.49</v>
      </c>
      <c r="D183">
        <v>2002</v>
      </c>
      <c r="E183" t="s">
        <v>17</v>
      </c>
      <c r="F183">
        <v>2002105</v>
      </c>
      <c r="G183">
        <v>2002170</v>
      </c>
      <c r="H183">
        <v>6997</v>
      </c>
      <c r="I183">
        <v>788</v>
      </c>
      <c r="J183">
        <v>50</v>
      </c>
      <c r="K183">
        <v>182</v>
      </c>
      <c r="L183">
        <v>191</v>
      </c>
      <c r="M183">
        <v>100</v>
      </c>
      <c r="N183">
        <v>27.930599999999998</v>
      </c>
      <c r="O183">
        <v>13.66994</v>
      </c>
      <c r="P183">
        <v>23.858470000000001</v>
      </c>
      <c r="Q183">
        <v>15756</v>
      </c>
    </row>
    <row r="184" spans="1:17" x14ac:dyDescent="0.25">
      <c r="A184" t="s">
        <v>16</v>
      </c>
      <c r="B184">
        <v>10</v>
      </c>
      <c r="C184">
        <v>1.49</v>
      </c>
      <c r="D184">
        <v>2003</v>
      </c>
      <c r="E184" t="s">
        <v>17</v>
      </c>
      <c r="F184">
        <v>2003105</v>
      </c>
      <c r="G184">
        <v>2003167</v>
      </c>
      <c r="H184">
        <v>3432</v>
      </c>
      <c r="I184">
        <v>431</v>
      </c>
      <c r="J184">
        <v>50</v>
      </c>
      <c r="K184">
        <v>74</v>
      </c>
      <c r="L184">
        <v>90</v>
      </c>
      <c r="M184">
        <v>100</v>
      </c>
      <c r="N184">
        <v>29.21367</v>
      </c>
      <c r="O184">
        <v>14.4612</v>
      </c>
      <c r="P184">
        <v>23.838249999999999</v>
      </c>
      <c r="Q184">
        <v>8624</v>
      </c>
    </row>
    <row r="185" spans="1:17" x14ac:dyDescent="0.25">
      <c r="A185" t="s">
        <v>16</v>
      </c>
      <c r="B185">
        <v>10</v>
      </c>
      <c r="C185">
        <v>1.49</v>
      </c>
      <c r="D185">
        <v>2004</v>
      </c>
      <c r="E185" t="s">
        <v>17</v>
      </c>
      <c r="F185">
        <v>2004105</v>
      </c>
      <c r="G185">
        <v>2004170</v>
      </c>
      <c r="H185">
        <v>7153</v>
      </c>
      <c r="I185">
        <v>1068</v>
      </c>
      <c r="J185">
        <v>50</v>
      </c>
      <c r="K185">
        <v>243</v>
      </c>
      <c r="L185">
        <v>308</v>
      </c>
      <c r="M185">
        <v>100</v>
      </c>
      <c r="N185">
        <v>29.298909999999999</v>
      </c>
      <c r="O185">
        <v>13.912570000000001</v>
      </c>
      <c r="P185">
        <v>23.849720000000001</v>
      </c>
      <c r="Q185">
        <v>21358</v>
      </c>
    </row>
    <row r="186" spans="1:17" x14ac:dyDescent="0.25">
      <c r="A186" t="s">
        <v>16</v>
      </c>
      <c r="B186">
        <v>10</v>
      </c>
      <c r="C186">
        <v>1.49</v>
      </c>
      <c r="D186">
        <v>2005</v>
      </c>
      <c r="E186" t="s">
        <v>17</v>
      </c>
      <c r="F186">
        <v>2005105</v>
      </c>
      <c r="G186">
        <v>2005165</v>
      </c>
      <c r="H186">
        <v>5250</v>
      </c>
      <c r="I186">
        <v>619</v>
      </c>
      <c r="J186">
        <v>50</v>
      </c>
      <c r="K186">
        <v>163</v>
      </c>
      <c r="L186">
        <v>172</v>
      </c>
      <c r="M186">
        <v>100</v>
      </c>
      <c r="N186">
        <v>29.95027</v>
      </c>
      <c r="O186">
        <v>13.78088</v>
      </c>
      <c r="P186">
        <v>24.193439999999999</v>
      </c>
      <c r="Q186">
        <v>12385</v>
      </c>
    </row>
    <row r="187" spans="1:17" x14ac:dyDescent="0.25">
      <c r="A187" t="s">
        <v>16</v>
      </c>
      <c r="B187">
        <v>10</v>
      </c>
      <c r="C187">
        <v>1.49</v>
      </c>
      <c r="D187">
        <v>2006</v>
      </c>
      <c r="E187" t="s">
        <v>17</v>
      </c>
      <c r="F187">
        <v>2006105</v>
      </c>
      <c r="G187">
        <v>2006165</v>
      </c>
      <c r="H187">
        <v>5597</v>
      </c>
      <c r="I187">
        <v>970</v>
      </c>
      <c r="J187">
        <v>50</v>
      </c>
      <c r="K187">
        <v>131</v>
      </c>
      <c r="L187">
        <v>205</v>
      </c>
      <c r="M187">
        <v>100</v>
      </c>
      <c r="N187">
        <v>30.355740000000001</v>
      </c>
      <c r="O187">
        <v>14.387980000000001</v>
      </c>
      <c r="P187">
        <v>23.725680000000001</v>
      </c>
      <c r="Q187">
        <v>19408</v>
      </c>
    </row>
    <row r="188" spans="1:17" x14ac:dyDescent="0.25">
      <c r="A188" t="s">
        <v>16</v>
      </c>
      <c r="B188">
        <v>10</v>
      </c>
      <c r="C188">
        <v>1.49</v>
      </c>
      <c r="D188">
        <v>2007</v>
      </c>
      <c r="E188" t="s">
        <v>17</v>
      </c>
      <c r="F188">
        <v>2007105</v>
      </c>
      <c r="G188">
        <v>2007169</v>
      </c>
      <c r="H188">
        <v>8924</v>
      </c>
      <c r="I188">
        <v>1990</v>
      </c>
      <c r="J188">
        <v>50</v>
      </c>
      <c r="K188">
        <v>256</v>
      </c>
      <c r="L188">
        <v>364</v>
      </c>
      <c r="M188">
        <v>100</v>
      </c>
      <c r="N188">
        <v>28.353549999999998</v>
      </c>
      <c r="O188">
        <v>13.622960000000001</v>
      </c>
      <c r="P188">
        <v>23.421309999999998</v>
      </c>
      <c r="Q188">
        <v>39796</v>
      </c>
    </row>
    <row r="189" spans="1:17" x14ac:dyDescent="0.25">
      <c r="A189" t="s">
        <v>16</v>
      </c>
      <c r="B189">
        <v>10</v>
      </c>
      <c r="C189">
        <v>1.49</v>
      </c>
      <c r="D189">
        <v>2008</v>
      </c>
      <c r="E189" t="s">
        <v>17</v>
      </c>
      <c r="F189">
        <v>2008105</v>
      </c>
      <c r="G189">
        <v>2008172</v>
      </c>
      <c r="H189">
        <v>7944</v>
      </c>
      <c r="I189">
        <v>1216</v>
      </c>
      <c r="J189">
        <v>50</v>
      </c>
      <c r="K189">
        <v>208</v>
      </c>
      <c r="L189">
        <v>198</v>
      </c>
      <c r="M189">
        <v>100</v>
      </c>
      <c r="N189">
        <v>27.91638</v>
      </c>
      <c r="O189">
        <v>12.96557</v>
      </c>
      <c r="P189">
        <v>23.461200000000002</v>
      </c>
      <c r="Q189">
        <v>24323</v>
      </c>
    </row>
    <row r="190" spans="1:17" x14ac:dyDescent="0.25">
      <c r="A190" t="s">
        <v>16</v>
      </c>
      <c r="B190">
        <v>10</v>
      </c>
      <c r="C190">
        <v>1.49</v>
      </c>
      <c r="D190">
        <v>2009</v>
      </c>
      <c r="E190" t="s">
        <v>18</v>
      </c>
      <c r="F190">
        <v>2009105</v>
      </c>
      <c r="G190">
        <v>2009163</v>
      </c>
      <c r="H190">
        <v>8054</v>
      </c>
      <c r="I190">
        <v>1860</v>
      </c>
      <c r="J190">
        <v>50</v>
      </c>
      <c r="K190">
        <v>141</v>
      </c>
      <c r="L190">
        <v>219</v>
      </c>
      <c r="M190">
        <v>100</v>
      </c>
      <c r="N190">
        <v>29.53661</v>
      </c>
      <c r="O190">
        <v>13.875959999999999</v>
      </c>
      <c r="P190">
        <v>23.79946</v>
      </c>
      <c r="Q190">
        <v>37196</v>
      </c>
    </row>
    <row r="191" spans="1:17" x14ac:dyDescent="0.25">
      <c r="A191" t="s">
        <v>16</v>
      </c>
      <c r="B191">
        <v>10</v>
      </c>
      <c r="C191">
        <v>1.49</v>
      </c>
      <c r="D191">
        <v>2010</v>
      </c>
      <c r="E191" t="s">
        <v>18</v>
      </c>
      <c r="F191">
        <v>2010105</v>
      </c>
      <c r="G191">
        <v>2010160</v>
      </c>
      <c r="H191">
        <v>8634</v>
      </c>
      <c r="I191">
        <v>3013</v>
      </c>
      <c r="J191">
        <v>50</v>
      </c>
      <c r="K191">
        <v>271</v>
      </c>
      <c r="L191">
        <v>467</v>
      </c>
      <c r="M191">
        <v>100</v>
      </c>
      <c r="N191">
        <v>29.60492</v>
      </c>
      <c r="O191">
        <v>14.28088</v>
      </c>
      <c r="P191">
        <v>23.679780000000001</v>
      </c>
      <c r="Q191">
        <v>60257</v>
      </c>
    </row>
    <row r="192" spans="1:17" x14ac:dyDescent="0.25">
      <c r="A192" t="s">
        <v>16</v>
      </c>
      <c r="B192">
        <v>10</v>
      </c>
      <c r="C192">
        <v>1.49</v>
      </c>
      <c r="D192">
        <v>2011</v>
      </c>
      <c r="E192" t="s">
        <v>18</v>
      </c>
      <c r="F192">
        <v>2011105</v>
      </c>
      <c r="G192">
        <v>2011162</v>
      </c>
      <c r="H192">
        <v>9703</v>
      </c>
      <c r="I192">
        <v>3000</v>
      </c>
      <c r="J192">
        <v>50</v>
      </c>
      <c r="K192">
        <v>213</v>
      </c>
      <c r="L192">
        <v>316</v>
      </c>
      <c r="M192">
        <v>100</v>
      </c>
      <c r="N192">
        <v>29.818580000000001</v>
      </c>
      <c r="O192">
        <v>13.919129999999999</v>
      </c>
      <c r="P192">
        <v>23.89235</v>
      </c>
      <c r="Q192">
        <v>60006</v>
      </c>
    </row>
    <row r="193" spans="1:17" x14ac:dyDescent="0.25">
      <c r="A193" t="s">
        <v>16</v>
      </c>
      <c r="B193">
        <v>10</v>
      </c>
      <c r="C193">
        <v>1.49</v>
      </c>
      <c r="D193">
        <v>2012</v>
      </c>
      <c r="E193" t="s">
        <v>18</v>
      </c>
      <c r="F193">
        <v>2012105</v>
      </c>
      <c r="G193">
        <v>2012163</v>
      </c>
      <c r="H193">
        <v>4071</v>
      </c>
      <c r="I193">
        <v>864</v>
      </c>
      <c r="J193">
        <v>50</v>
      </c>
      <c r="K193">
        <v>146</v>
      </c>
      <c r="L193">
        <v>143</v>
      </c>
      <c r="M193">
        <v>100</v>
      </c>
      <c r="N193">
        <v>29.088509999999999</v>
      </c>
      <c r="O193">
        <v>13.369949999999999</v>
      </c>
      <c r="P193">
        <v>23.842079999999999</v>
      </c>
      <c r="Q193">
        <v>17289</v>
      </c>
    </row>
    <row r="194" spans="1:17" x14ac:dyDescent="0.25">
      <c r="A194" t="s">
        <v>16</v>
      </c>
      <c r="B194">
        <v>10</v>
      </c>
      <c r="C194">
        <v>1.49</v>
      </c>
      <c r="D194">
        <v>2013</v>
      </c>
      <c r="E194" t="s">
        <v>18</v>
      </c>
      <c r="F194">
        <v>2013105</v>
      </c>
      <c r="G194">
        <v>2013167</v>
      </c>
      <c r="H194">
        <v>6979</v>
      </c>
      <c r="I194">
        <v>1640</v>
      </c>
      <c r="J194">
        <v>50</v>
      </c>
      <c r="K194">
        <v>316</v>
      </c>
      <c r="L194">
        <v>325</v>
      </c>
      <c r="M194">
        <v>100</v>
      </c>
      <c r="N194">
        <v>29.677589999999999</v>
      </c>
      <c r="O194">
        <v>12.844810000000001</v>
      </c>
      <c r="P194">
        <v>24.626239999999999</v>
      </c>
      <c r="Q194">
        <v>32795</v>
      </c>
    </row>
    <row r="195" spans="1:17" x14ac:dyDescent="0.25">
      <c r="A195" t="s">
        <v>16</v>
      </c>
      <c r="B195">
        <v>10</v>
      </c>
      <c r="C195">
        <v>1.49</v>
      </c>
      <c r="D195">
        <v>2014</v>
      </c>
      <c r="E195" t="s">
        <v>18</v>
      </c>
      <c r="F195">
        <v>2014105</v>
      </c>
      <c r="G195">
        <v>2014162</v>
      </c>
      <c r="H195">
        <v>9124</v>
      </c>
      <c r="I195">
        <v>2869</v>
      </c>
      <c r="J195">
        <v>50</v>
      </c>
      <c r="K195">
        <v>267</v>
      </c>
      <c r="L195">
        <v>346</v>
      </c>
      <c r="M195">
        <v>100</v>
      </c>
      <c r="N195">
        <v>28.795079999999999</v>
      </c>
      <c r="O195">
        <v>13.556290000000001</v>
      </c>
      <c r="P195">
        <v>23.764489999999999</v>
      </c>
      <c r="Q195">
        <v>57388</v>
      </c>
    </row>
    <row r="196" spans="1:17" x14ac:dyDescent="0.25">
      <c r="A196" t="s">
        <v>16</v>
      </c>
      <c r="B196">
        <v>10</v>
      </c>
      <c r="C196">
        <v>1.49</v>
      </c>
      <c r="D196">
        <v>2015</v>
      </c>
      <c r="E196" t="s">
        <v>18</v>
      </c>
      <c r="F196">
        <v>2015105</v>
      </c>
      <c r="G196">
        <v>2015159</v>
      </c>
      <c r="H196">
        <v>6897</v>
      </c>
      <c r="I196">
        <v>1508</v>
      </c>
      <c r="J196">
        <v>50</v>
      </c>
      <c r="K196">
        <v>190</v>
      </c>
      <c r="L196">
        <v>159</v>
      </c>
      <c r="M196">
        <v>100</v>
      </c>
      <c r="N196">
        <v>30.136060000000001</v>
      </c>
      <c r="O196">
        <v>14.0541</v>
      </c>
      <c r="P196">
        <v>24.18798</v>
      </c>
      <c r="Q196">
        <v>30158</v>
      </c>
    </row>
    <row r="197" spans="1:17" x14ac:dyDescent="0.25">
      <c r="A197" t="s">
        <v>16</v>
      </c>
      <c r="B197">
        <v>10</v>
      </c>
      <c r="C197">
        <v>1.49</v>
      </c>
      <c r="D197">
        <v>2016</v>
      </c>
      <c r="E197" t="s">
        <v>18</v>
      </c>
      <c r="F197">
        <v>2016105</v>
      </c>
      <c r="G197">
        <v>2016165</v>
      </c>
      <c r="H197">
        <v>7910</v>
      </c>
      <c r="I197">
        <v>1666</v>
      </c>
      <c r="J197">
        <v>50</v>
      </c>
      <c r="K197">
        <v>275</v>
      </c>
      <c r="L197">
        <v>225</v>
      </c>
      <c r="M197">
        <v>100</v>
      </c>
      <c r="N197">
        <v>30.153009999999998</v>
      </c>
      <c r="O197">
        <v>13.56831</v>
      </c>
      <c r="P197">
        <v>24.236609999999999</v>
      </c>
      <c r="Q197">
        <v>33310</v>
      </c>
    </row>
    <row r="198" spans="1:17" x14ac:dyDescent="0.25">
      <c r="A198" t="s">
        <v>16</v>
      </c>
      <c r="B198">
        <v>10</v>
      </c>
      <c r="C198">
        <v>1.49</v>
      </c>
      <c r="D198">
        <v>2017</v>
      </c>
      <c r="E198" t="s">
        <v>18</v>
      </c>
      <c r="F198">
        <v>2017105</v>
      </c>
      <c r="G198">
        <v>2017157</v>
      </c>
      <c r="H198">
        <v>7994</v>
      </c>
      <c r="I198">
        <v>1724</v>
      </c>
      <c r="J198">
        <v>50</v>
      </c>
      <c r="K198">
        <v>93</v>
      </c>
      <c r="L198">
        <v>254</v>
      </c>
      <c r="M198">
        <v>100</v>
      </c>
      <c r="N198">
        <v>32.146999999999998</v>
      </c>
      <c r="O198">
        <v>14.1683</v>
      </c>
      <c r="P198">
        <v>24.39453</v>
      </c>
      <c r="Q198">
        <v>34480</v>
      </c>
    </row>
    <row r="199" spans="1:17" x14ac:dyDescent="0.25">
      <c r="A199" t="s">
        <v>16</v>
      </c>
      <c r="B199">
        <v>10</v>
      </c>
      <c r="C199">
        <v>1.49</v>
      </c>
      <c r="D199">
        <v>2018</v>
      </c>
      <c r="E199" t="s">
        <v>18</v>
      </c>
      <c r="F199">
        <v>2018105</v>
      </c>
      <c r="G199">
        <v>2018164</v>
      </c>
      <c r="H199">
        <v>9225</v>
      </c>
      <c r="I199">
        <v>2567</v>
      </c>
      <c r="J199">
        <v>50</v>
      </c>
      <c r="K199">
        <v>306</v>
      </c>
      <c r="L199">
        <v>130</v>
      </c>
      <c r="M199">
        <v>100</v>
      </c>
      <c r="N199">
        <v>29.957370000000001</v>
      </c>
      <c r="O199">
        <v>14.20656</v>
      </c>
      <c r="P199">
        <v>23.21912</v>
      </c>
      <c r="Q199">
        <v>51333</v>
      </c>
    </row>
    <row r="200" spans="1:17" x14ac:dyDescent="0.25">
      <c r="A200" t="s">
        <v>16</v>
      </c>
      <c r="B200">
        <v>10</v>
      </c>
      <c r="C200">
        <v>1.49</v>
      </c>
      <c r="D200">
        <v>2019</v>
      </c>
      <c r="E200" t="s">
        <v>18</v>
      </c>
      <c r="F200">
        <v>2019105</v>
      </c>
      <c r="G200">
        <v>2019160</v>
      </c>
      <c r="H200">
        <v>4036</v>
      </c>
      <c r="I200">
        <v>886</v>
      </c>
      <c r="J200">
        <v>50</v>
      </c>
      <c r="K200">
        <v>102</v>
      </c>
      <c r="L200">
        <v>159</v>
      </c>
      <c r="M200">
        <v>100</v>
      </c>
      <c r="N200">
        <v>30.601099999999999</v>
      </c>
      <c r="O200">
        <v>13.709289999999999</v>
      </c>
      <c r="P200">
        <v>24.56776</v>
      </c>
      <c r="Q200">
        <v>17712</v>
      </c>
    </row>
    <row r="201" spans="1:17" x14ac:dyDescent="0.25">
      <c r="A201" t="s">
        <v>16</v>
      </c>
      <c r="B201">
        <v>10</v>
      </c>
      <c r="C201">
        <v>1.49</v>
      </c>
      <c r="D201">
        <v>2020</v>
      </c>
      <c r="E201" t="s">
        <v>18</v>
      </c>
      <c r="F201">
        <v>2020105</v>
      </c>
      <c r="G201">
        <v>2020159</v>
      </c>
      <c r="H201">
        <v>8493</v>
      </c>
      <c r="I201">
        <v>1955</v>
      </c>
      <c r="J201">
        <v>50</v>
      </c>
      <c r="K201">
        <v>201</v>
      </c>
      <c r="L201">
        <v>202</v>
      </c>
      <c r="M201">
        <v>100</v>
      </c>
      <c r="N201">
        <v>30.616949999999999</v>
      </c>
      <c r="O201">
        <v>14.26502</v>
      </c>
      <c r="P201">
        <v>24.059570000000001</v>
      </c>
      <c r="Q201">
        <v>39104</v>
      </c>
    </row>
    <row r="202" spans="1:17" x14ac:dyDescent="0.25">
      <c r="A202" t="s">
        <v>16</v>
      </c>
      <c r="B202">
        <v>11</v>
      </c>
      <c r="C202">
        <v>1.52</v>
      </c>
      <c r="D202">
        <v>2001</v>
      </c>
      <c r="E202" t="s">
        <v>17</v>
      </c>
      <c r="F202">
        <v>2001074</v>
      </c>
      <c r="G202">
        <v>2001153</v>
      </c>
      <c r="H202">
        <v>8380</v>
      </c>
      <c r="I202">
        <v>2264</v>
      </c>
      <c r="J202">
        <v>50</v>
      </c>
      <c r="K202">
        <v>225</v>
      </c>
      <c r="L202">
        <v>235</v>
      </c>
      <c r="M202">
        <v>75</v>
      </c>
      <c r="N202">
        <v>26.95234</v>
      </c>
      <c r="O202">
        <v>13.024760000000001</v>
      </c>
      <c r="P202">
        <v>23.194870000000002</v>
      </c>
      <c r="Q202">
        <v>40759</v>
      </c>
    </row>
    <row r="203" spans="1:17" x14ac:dyDescent="0.25">
      <c r="A203" t="s">
        <v>16</v>
      </c>
      <c r="B203">
        <v>11</v>
      </c>
      <c r="C203">
        <v>1.52</v>
      </c>
      <c r="D203">
        <v>2002</v>
      </c>
      <c r="E203" t="s">
        <v>17</v>
      </c>
      <c r="F203">
        <v>2002074</v>
      </c>
      <c r="G203">
        <v>2002154</v>
      </c>
      <c r="H203">
        <v>6880</v>
      </c>
      <c r="I203">
        <v>827</v>
      </c>
      <c r="J203">
        <v>50</v>
      </c>
      <c r="K203">
        <v>182</v>
      </c>
      <c r="L203">
        <v>191</v>
      </c>
      <c r="M203">
        <v>75</v>
      </c>
      <c r="N203">
        <v>26.644860000000001</v>
      </c>
      <c r="O203">
        <v>12.84393</v>
      </c>
      <c r="P203">
        <v>22.83785</v>
      </c>
      <c r="Q203">
        <v>14888</v>
      </c>
    </row>
    <row r="204" spans="1:17" x14ac:dyDescent="0.25">
      <c r="A204" t="s">
        <v>16</v>
      </c>
      <c r="B204">
        <v>11</v>
      </c>
      <c r="C204">
        <v>1.52</v>
      </c>
      <c r="D204">
        <v>2003</v>
      </c>
      <c r="E204" t="s">
        <v>17</v>
      </c>
      <c r="F204">
        <v>2003074</v>
      </c>
      <c r="G204">
        <v>2003152</v>
      </c>
      <c r="H204">
        <v>4150</v>
      </c>
      <c r="I204">
        <v>410</v>
      </c>
      <c r="J204">
        <v>50</v>
      </c>
      <c r="K204">
        <v>74</v>
      </c>
      <c r="L204">
        <v>90</v>
      </c>
      <c r="M204">
        <v>75</v>
      </c>
      <c r="N204">
        <v>27.743929999999999</v>
      </c>
      <c r="O204">
        <v>13.48598</v>
      </c>
      <c r="P204">
        <v>22.79158</v>
      </c>
      <c r="Q204">
        <v>7377</v>
      </c>
    </row>
    <row r="205" spans="1:17" x14ac:dyDescent="0.25">
      <c r="A205" t="s">
        <v>16</v>
      </c>
      <c r="B205">
        <v>11</v>
      </c>
      <c r="C205">
        <v>1.52</v>
      </c>
      <c r="D205">
        <v>2004</v>
      </c>
      <c r="E205" t="s">
        <v>17</v>
      </c>
      <c r="F205">
        <v>2004074</v>
      </c>
      <c r="G205">
        <v>2004157</v>
      </c>
      <c r="H205">
        <v>10698</v>
      </c>
      <c r="I205">
        <v>3233</v>
      </c>
      <c r="J205">
        <v>50</v>
      </c>
      <c r="K205">
        <v>243</v>
      </c>
      <c r="L205">
        <v>308</v>
      </c>
      <c r="M205">
        <v>75</v>
      </c>
      <c r="N205">
        <v>27.68084</v>
      </c>
      <c r="O205">
        <v>12.85047</v>
      </c>
      <c r="P205">
        <v>23.241579999999999</v>
      </c>
      <c r="Q205">
        <v>58189</v>
      </c>
    </row>
    <row r="206" spans="1:17" x14ac:dyDescent="0.25">
      <c r="A206" t="s">
        <v>16</v>
      </c>
      <c r="B206">
        <v>11</v>
      </c>
      <c r="C206">
        <v>1.52</v>
      </c>
      <c r="D206">
        <v>2005</v>
      </c>
      <c r="E206" t="s">
        <v>17</v>
      </c>
      <c r="F206">
        <v>2005074</v>
      </c>
      <c r="G206">
        <v>2005151</v>
      </c>
      <c r="H206">
        <v>6456</v>
      </c>
      <c r="I206">
        <v>1090</v>
      </c>
      <c r="J206">
        <v>50</v>
      </c>
      <c r="K206">
        <v>163</v>
      </c>
      <c r="L206">
        <v>172</v>
      </c>
      <c r="M206">
        <v>75</v>
      </c>
      <c r="N206">
        <v>28.805140000000002</v>
      </c>
      <c r="O206">
        <v>13.10467</v>
      </c>
      <c r="P206">
        <v>23.347190000000001</v>
      </c>
      <c r="Q206">
        <v>19625</v>
      </c>
    </row>
    <row r="207" spans="1:17" x14ac:dyDescent="0.25">
      <c r="A207" t="s">
        <v>16</v>
      </c>
      <c r="B207">
        <v>11</v>
      </c>
      <c r="C207">
        <v>1.52</v>
      </c>
      <c r="D207">
        <v>2006</v>
      </c>
      <c r="E207" t="s">
        <v>17</v>
      </c>
      <c r="F207">
        <v>2006074</v>
      </c>
      <c r="G207">
        <v>2006147</v>
      </c>
      <c r="H207">
        <v>5114</v>
      </c>
      <c r="I207">
        <v>952</v>
      </c>
      <c r="J207">
        <v>50</v>
      </c>
      <c r="K207">
        <v>131</v>
      </c>
      <c r="L207">
        <v>205</v>
      </c>
      <c r="M207">
        <v>75</v>
      </c>
      <c r="N207">
        <v>28.91075</v>
      </c>
      <c r="O207">
        <v>13.59346</v>
      </c>
      <c r="P207">
        <v>22.645320000000002</v>
      </c>
      <c r="Q207">
        <v>17139</v>
      </c>
    </row>
    <row r="208" spans="1:17" x14ac:dyDescent="0.25">
      <c r="A208" t="s">
        <v>16</v>
      </c>
      <c r="B208">
        <v>11</v>
      </c>
      <c r="C208">
        <v>1.52</v>
      </c>
      <c r="D208">
        <v>2007</v>
      </c>
      <c r="E208" t="s">
        <v>17</v>
      </c>
      <c r="F208">
        <v>2007074</v>
      </c>
      <c r="G208">
        <v>2007155</v>
      </c>
      <c r="H208">
        <v>10717</v>
      </c>
      <c r="I208">
        <v>3290</v>
      </c>
      <c r="J208">
        <v>50</v>
      </c>
      <c r="K208">
        <v>256</v>
      </c>
      <c r="L208">
        <v>364</v>
      </c>
      <c r="M208">
        <v>75</v>
      </c>
      <c r="N208">
        <v>26.823370000000001</v>
      </c>
      <c r="O208">
        <v>12.40047</v>
      </c>
      <c r="P208">
        <v>22.639720000000001</v>
      </c>
      <c r="Q208">
        <v>59212</v>
      </c>
    </row>
    <row r="209" spans="1:17" x14ac:dyDescent="0.25">
      <c r="A209" t="s">
        <v>16</v>
      </c>
      <c r="B209">
        <v>11</v>
      </c>
      <c r="C209">
        <v>1.52</v>
      </c>
      <c r="D209">
        <v>2008</v>
      </c>
      <c r="E209" t="s">
        <v>17</v>
      </c>
      <c r="F209">
        <v>2008074</v>
      </c>
      <c r="G209">
        <v>2008157</v>
      </c>
      <c r="H209">
        <v>9737</v>
      </c>
      <c r="I209">
        <v>2701</v>
      </c>
      <c r="J209">
        <v>50</v>
      </c>
      <c r="K209">
        <v>208</v>
      </c>
      <c r="L209">
        <v>198</v>
      </c>
      <c r="M209">
        <v>75</v>
      </c>
      <c r="N209">
        <v>26.799530000000001</v>
      </c>
      <c r="O209">
        <v>12.018219999999999</v>
      </c>
      <c r="P209">
        <v>22.70093</v>
      </c>
      <c r="Q209">
        <v>48616</v>
      </c>
    </row>
    <row r="210" spans="1:17" x14ac:dyDescent="0.25">
      <c r="A210" t="s">
        <v>16</v>
      </c>
      <c r="B210">
        <v>11</v>
      </c>
      <c r="C210">
        <v>1.52</v>
      </c>
      <c r="D210">
        <v>2009</v>
      </c>
      <c r="E210" t="s">
        <v>17</v>
      </c>
      <c r="F210">
        <v>2009074</v>
      </c>
      <c r="G210">
        <v>2009152</v>
      </c>
      <c r="H210">
        <v>7290</v>
      </c>
      <c r="I210">
        <v>1261</v>
      </c>
      <c r="J210">
        <v>50</v>
      </c>
      <c r="K210">
        <v>141</v>
      </c>
      <c r="L210">
        <v>219</v>
      </c>
      <c r="M210">
        <v>75</v>
      </c>
      <c r="N210">
        <v>28.447659999999999</v>
      </c>
      <c r="O210">
        <v>12.70327</v>
      </c>
      <c r="P210">
        <v>23.0444</v>
      </c>
      <c r="Q210">
        <v>22693</v>
      </c>
    </row>
    <row r="211" spans="1:17" x14ac:dyDescent="0.25">
      <c r="A211" t="s">
        <v>16</v>
      </c>
      <c r="B211">
        <v>11</v>
      </c>
      <c r="C211">
        <v>1.52</v>
      </c>
      <c r="D211">
        <v>2010</v>
      </c>
      <c r="E211" t="s">
        <v>17</v>
      </c>
      <c r="F211">
        <v>2010074</v>
      </c>
      <c r="G211">
        <v>2010152</v>
      </c>
      <c r="H211">
        <v>8318</v>
      </c>
      <c r="I211">
        <v>2543</v>
      </c>
      <c r="J211">
        <v>50</v>
      </c>
      <c r="K211">
        <v>271</v>
      </c>
      <c r="L211">
        <v>467</v>
      </c>
      <c r="M211">
        <v>75</v>
      </c>
      <c r="N211">
        <v>28.176629999999999</v>
      </c>
      <c r="O211">
        <v>13.269629999999999</v>
      </c>
      <c r="P211">
        <v>22.800930000000001</v>
      </c>
      <c r="Q211">
        <v>45773</v>
      </c>
    </row>
    <row r="212" spans="1:17" x14ac:dyDescent="0.25">
      <c r="A212" t="s">
        <v>16</v>
      </c>
      <c r="B212">
        <v>11</v>
      </c>
      <c r="C212">
        <v>1.52</v>
      </c>
      <c r="D212">
        <v>2011</v>
      </c>
      <c r="E212" t="s">
        <v>17</v>
      </c>
      <c r="F212">
        <v>2011074</v>
      </c>
      <c r="G212">
        <v>2011144</v>
      </c>
      <c r="H212">
        <v>10243</v>
      </c>
      <c r="I212">
        <v>3731</v>
      </c>
      <c r="J212">
        <v>50</v>
      </c>
      <c r="K212">
        <v>213</v>
      </c>
      <c r="L212">
        <v>316</v>
      </c>
      <c r="M212">
        <v>75</v>
      </c>
      <c r="N212">
        <v>28.825230000000001</v>
      </c>
      <c r="O212">
        <v>13.140650000000001</v>
      </c>
      <c r="P212">
        <v>23.24953</v>
      </c>
      <c r="Q212">
        <v>67156</v>
      </c>
    </row>
    <row r="213" spans="1:17" x14ac:dyDescent="0.25">
      <c r="A213" t="s">
        <v>16</v>
      </c>
      <c r="B213">
        <v>11</v>
      </c>
      <c r="C213">
        <v>1.52</v>
      </c>
      <c r="D213">
        <v>2012</v>
      </c>
      <c r="E213" t="s">
        <v>18</v>
      </c>
      <c r="F213">
        <v>2012074</v>
      </c>
      <c r="G213">
        <v>2012156</v>
      </c>
      <c r="H213">
        <v>4172</v>
      </c>
      <c r="I213">
        <v>662</v>
      </c>
      <c r="J213">
        <v>50</v>
      </c>
      <c r="K213">
        <v>146</v>
      </c>
      <c r="L213">
        <v>143</v>
      </c>
      <c r="M213">
        <v>75</v>
      </c>
      <c r="N213">
        <v>27.79252</v>
      </c>
      <c r="O213">
        <v>12.34112</v>
      </c>
      <c r="P213">
        <v>22.88551</v>
      </c>
      <c r="Q213">
        <v>11910</v>
      </c>
    </row>
    <row r="214" spans="1:17" x14ac:dyDescent="0.25">
      <c r="A214" t="s">
        <v>16</v>
      </c>
      <c r="B214">
        <v>11</v>
      </c>
      <c r="C214">
        <v>1.52</v>
      </c>
      <c r="D214">
        <v>2013</v>
      </c>
      <c r="E214" t="s">
        <v>18</v>
      </c>
      <c r="F214">
        <v>2013074</v>
      </c>
      <c r="G214">
        <v>2013147</v>
      </c>
      <c r="H214">
        <v>6445</v>
      </c>
      <c r="I214">
        <v>1536</v>
      </c>
      <c r="J214">
        <v>50</v>
      </c>
      <c r="K214">
        <v>316</v>
      </c>
      <c r="L214">
        <v>325</v>
      </c>
      <c r="M214">
        <v>75</v>
      </c>
      <c r="N214">
        <v>28.334099999999999</v>
      </c>
      <c r="O214">
        <v>12.199059999999999</v>
      </c>
      <c r="P214">
        <v>23.418220000000002</v>
      </c>
      <c r="Q214">
        <v>27646</v>
      </c>
    </row>
    <row r="215" spans="1:17" x14ac:dyDescent="0.25">
      <c r="A215" t="s">
        <v>16</v>
      </c>
      <c r="B215">
        <v>11</v>
      </c>
      <c r="C215">
        <v>1.52</v>
      </c>
      <c r="D215">
        <v>2014</v>
      </c>
      <c r="E215" t="s">
        <v>18</v>
      </c>
      <c r="F215">
        <v>2014074</v>
      </c>
      <c r="G215">
        <v>2014141</v>
      </c>
      <c r="H215">
        <v>8341</v>
      </c>
      <c r="I215">
        <v>2721</v>
      </c>
      <c r="J215">
        <v>50</v>
      </c>
      <c r="K215">
        <v>267</v>
      </c>
      <c r="L215">
        <v>346</v>
      </c>
      <c r="M215">
        <v>75</v>
      </c>
      <c r="N215">
        <v>27.617760000000001</v>
      </c>
      <c r="O215">
        <v>12.66916</v>
      </c>
      <c r="P215">
        <v>22.81683</v>
      </c>
      <c r="Q215">
        <v>48971</v>
      </c>
    </row>
    <row r="216" spans="1:17" x14ac:dyDescent="0.25">
      <c r="A216" t="s">
        <v>16</v>
      </c>
      <c r="B216">
        <v>11</v>
      </c>
      <c r="C216">
        <v>1.52</v>
      </c>
      <c r="D216">
        <v>2015</v>
      </c>
      <c r="E216" t="s">
        <v>18</v>
      </c>
      <c r="F216">
        <v>2015074</v>
      </c>
      <c r="G216">
        <v>2015141</v>
      </c>
      <c r="H216">
        <v>6918</v>
      </c>
      <c r="I216">
        <v>2111</v>
      </c>
      <c r="J216">
        <v>50</v>
      </c>
      <c r="K216">
        <v>190</v>
      </c>
      <c r="L216">
        <v>159</v>
      </c>
      <c r="M216">
        <v>75</v>
      </c>
      <c r="N216">
        <v>28.844390000000001</v>
      </c>
      <c r="O216">
        <v>13.119619999999999</v>
      </c>
      <c r="P216">
        <v>23.194859999999998</v>
      </c>
      <c r="Q216">
        <v>38000</v>
      </c>
    </row>
    <row r="217" spans="1:17" x14ac:dyDescent="0.25">
      <c r="A217" t="s">
        <v>16</v>
      </c>
      <c r="B217">
        <v>11</v>
      </c>
      <c r="C217">
        <v>1.52</v>
      </c>
      <c r="D217">
        <v>2016</v>
      </c>
      <c r="E217" t="s">
        <v>18</v>
      </c>
      <c r="F217">
        <v>2016074</v>
      </c>
      <c r="G217">
        <v>2016151</v>
      </c>
      <c r="H217">
        <v>10231</v>
      </c>
      <c r="I217">
        <v>3718</v>
      </c>
      <c r="J217">
        <v>50</v>
      </c>
      <c r="K217">
        <v>275</v>
      </c>
      <c r="L217">
        <v>225</v>
      </c>
      <c r="M217">
        <v>75</v>
      </c>
      <c r="N217">
        <v>28.35981</v>
      </c>
      <c r="O217">
        <v>12.45421</v>
      </c>
      <c r="P217">
        <v>23.214950000000002</v>
      </c>
      <c r="Q217">
        <v>66930</v>
      </c>
    </row>
    <row r="218" spans="1:17" x14ac:dyDescent="0.25">
      <c r="A218" t="s">
        <v>16</v>
      </c>
      <c r="B218">
        <v>11</v>
      </c>
      <c r="C218">
        <v>1.52</v>
      </c>
      <c r="D218">
        <v>2017</v>
      </c>
      <c r="E218" t="s">
        <v>18</v>
      </c>
      <c r="F218">
        <v>2017074</v>
      </c>
      <c r="G218">
        <v>2017142</v>
      </c>
      <c r="H218">
        <v>7833</v>
      </c>
      <c r="I218">
        <v>2069</v>
      </c>
      <c r="J218">
        <v>50</v>
      </c>
      <c r="K218">
        <v>93</v>
      </c>
      <c r="L218">
        <v>254</v>
      </c>
      <c r="M218">
        <v>75</v>
      </c>
      <c r="N218">
        <v>30.696729999999999</v>
      </c>
      <c r="O218">
        <v>12.98738</v>
      </c>
      <c r="P218">
        <v>23.798590000000001</v>
      </c>
      <c r="Q218">
        <v>37246</v>
      </c>
    </row>
    <row r="219" spans="1:17" x14ac:dyDescent="0.25">
      <c r="A219" t="s">
        <v>16</v>
      </c>
      <c r="B219">
        <v>11</v>
      </c>
      <c r="C219">
        <v>1.52</v>
      </c>
      <c r="D219">
        <v>2018</v>
      </c>
      <c r="E219" t="s">
        <v>18</v>
      </c>
      <c r="F219">
        <v>2018074</v>
      </c>
      <c r="G219">
        <v>2018151</v>
      </c>
      <c r="H219">
        <v>8100</v>
      </c>
      <c r="I219">
        <v>2740</v>
      </c>
      <c r="J219">
        <v>50</v>
      </c>
      <c r="K219">
        <v>306</v>
      </c>
      <c r="L219">
        <v>130</v>
      </c>
      <c r="M219">
        <v>75</v>
      </c>
      <c r="N219">
        <v>28.02102</v>
      </c>
      <c r="O219">
        <v>13.03645</v>
      </c>
      <c r="P219">
        <v>22.382709999999999</v>
      </c>
      <c r="Q219">
        <v>49328</v>
      </c>
    </row>
    <row r="220" spans="1:17" x14ac:dyDescent="0.25">
      <c r="A220" t="s">
        <v>16</v>
      </c>
      <c r="B220">
        <v>11</v>
      </c>
      <c r="C220">
        <v>1.52</v>
      </c>
      <c r="D220">
        <v>2019</v>
      </c>
      <c r="E220" t="s">
        <v>18</v>
      </c>
      <c r="F220">
        <v>2019074</v>
      </c>
      <c r="G220">
        <v>2019144</v>
      </c>
      <c r="H220">
        <v>5210</v>
      </c>
      <c r="I220">
        <v>1613</v>
      </c>
      <c r="J220">
        <v>50</v>
      </c>
      <c r="K220">
        <v>102</v>
      </c>
      <c r="L220">
        <v>159</v>
      </c>
      <c r="M220">
        <v>75</v>
      </c>
      <c r="N220">
        <v>29.18411</v>
      </c>
      <c r="O220">
        <v>12.50234</v>
      </c>
      <c r="P220">
        <v>24.013079999999999</v>
      </c>
      <c r="Q220">
        <v>29029</v>
      </c>
    </row>
    <row r="221" spans="1:17" x14ac:dyDescent="0.25">
      <c r="A221" t="s">
        <v>16</v>
      </c>
      <c r="B221">
        <v>11</v>
      </c>
      <c r="C221">
        <v>1.52</v>
      </c>
      <c r="D221">
        <v>2020</v>
      </c>
      <c r="E221" t="s">
        <v>18</v>
      </c>
      <c r="F221">
        <v>2020074</v>
      </c>
      <c r="G221">
        <v>2020147</v>
      </c>
      <c r="H221">
        <v>9664</v>
      </c>
      <c r="I221">
        <v>3163</v>
      </c>
      <c r="J221">
        <v>50</v>
      </c>
      <c r="K221">
        <v>201</v>
      </c>
      <c r="L221">
        <v>202</v>
      </c>
      <c r="M221">
        <v>75</v>
      </c>
      <c r="N221">
        <v>28.948599999999999</v>
      </c>
      <c r="O221">
        <v>13.36215</v>
      </c>
      <c r="P221">
        <v>22.88458</v>
      </c>
      <c r="Q221">
        <v>56935</v>
      </c>
    </row>
    <row r="222" spans="1:17" x14ac:dyDescent="0.25">
      <c r="A222" t="s">
        <v>16</v>
      </c>
      <c r="B222">
        <v>12</v>
      </c>
      <c r="C222">
        <v>1.61</v>
      </c>
      <c r="D222">
        <v>2001</v>
      </c>
      <c r="E222" t="s">
        <v>17</v>
      </c>
      <c r="F222">
        <v>2001091</v>
      </c>
      <c r="G222">
        <v>2001162</v>
      </c>
      <c r="H222">
        <v>9379</v>
      </c>
      <c r="I222">
        <v>2909</v>
      </c>
      <c r="J222">
        <v>100</v>
      </c>
      <c r="K222">
        <v>225</v>
      </c>
      <c r="L222">
        <v>235</v>
      </c>
      <c r="M222">
        <v>75</v>
      </c>
      <c r="N222">
        <v>27.594919999999998</v>
      </c>
      <c r="O222">
        <v>13.4137</v>
      </c>
      <c r="P222">
        <v>23.716750000000001</v>
      </c>
      <c r="Q222">
        <v>55270</v>
      </c>
    </row>
    <row r="223" spans="1:17" x14ac:dyDescent="0.25">
      <c r="A223" t="s">
        <v>16</v>
      </c>
      <c r="B223">
        <v>12</v>
      </c>
      <c r="C223">
        <v>1.61</v>
      </c>
      <c r="D223">
        <v>2002</v>
      </c>
      <c r="E223" t="s">
        <v>17</v>
      </c>
      <c r="F223">
        <v>2002091</v>
      </c>
      <c r="G223">
        <v>2002164</v>
      </c>
      <c r="H223">
        <v>9058</v>
      </c>
      <c r="I223">
        <v>2410</v>
      </c>
      <c r="J223">
        <v>100</v>
      </c>
      <c r="K223">
        <v>182</v>
      </c>
      <c r="L223">
        <v>191</v>
      </c>
      <c r="M223">
        <v>75</v>
      </c>
      <c r="N223">
        <v>27.10305</v>
      </c>
      <c r="O223">
        <v>13.228429999999999</v>
      </c>
      <c r="P223">
        <v>23.25076</v>
      </c>
      <c r="Q223">
        <v>45796</v>
      </c>
    </row>
    <row r="224" spans="1:17" x14ac:dyDescent="0.25">
      <c r="A224" t="s">
        <v>16</v>
      </c>
      <c r="B224">
        <v>12</v>
      </c>
      <c r="C224">
        <v>1.61</v>
      </c>
      <c r="D224">
        <v>2003</v>
      </c>
      <c r="E224" t="s">
        <v>17</v>
      </c>
      <c r="F224">
        <v>2003091</v>
      </c>
      <c r="G224">
        <v>2003159</v>
      </c>
      <c r="H224">
        <v>4794</v>
      </c>
      <c r="I224">
        <v>1613</v>
      </c>
      <c r="J224">
        <v>100</v>
      </c>
      <c r="K224">
        <v>74</v>
      </c>
      <c r="L224">
        <v>90</v>
      </c>
      <c r="M224">
        <v>75</v>
      </c>
      <c r="N224">
        <v>28.552790000000002</v>
      </c>
      <c r="O224">
        <v>13.9665</v>
      </c>
      <c r="P224">
        <v>23.503039999999999</v>
      </c>
      <c r="Q224">
        <v>30643</v>
      </c>
    </row>
    <row r="225" spans="1:17" x14ac:dyDescent="0.25">
      <c r="A225" t="s">
        <v>16</v>
      </c>
      <c r="B225">
        <v>12</v>
      </c>
      <c r="C225">
        <v>1.61</v>
      </c>
      <c r="D225">
        <v>2004</v>
      </c>
      <c r="E225" t="s">
        <v>17</v>
      </c>
      <c r="F225">
        <v>2004091</v>
      </c>
      <c r="G225">
        <v>2004162</v>
      </c>
      <c r="H225">
        <v>9939</v>
      </c>
      <c r="I225">
        <v>3202</v>
      </c>
      <c r="J225">
        <v>100</v>
      </c>
      <c r="K225">
        <v>243</v>
      </c>
      <c r="L225">
        <v>308</v>
      </c>
      <c r="M225">
        <v>75</v>
      </c>
      <c r="N225">
        <v>28.562439999999999</v>
      </c>
      <c r="O225">
        <v>13.373609999999999</v>
      </c>
      <c r="P225">
        <v>23.701519999999999</v>
      </c>
      <c r="Q225">
        <v>60847</v>
      </c>
    </row>
    <row r="226" spans="1:17" x14ac:dyDescent="0.25">
      <c r="A226" t="s">
        <v>16</v>
      </c>
      <c r="B226">
        <v>12</v>
      </c>
      <c r="C226">
        <v>1.61</v>
      </c>
      <c r="D226">
        <v>2005</v>
      </c>
      <c r="E226" t="s">
        <v>17</v>
      </c>
      <c r="F226">
        <v>2005091</v>
      </c>
      <c r="G226">
        <v>2005159</v>
      </c>
      <c r="H226">
        <v>6692</v>
      </c>
      <c r="I226">
        <v>1713</v>
      </c>
      <c r="J226">
        <v>100</v>
      </c>
      <c r="K226">
        <v>163</v>
      </c>
      <c r="L226">
        <v>172</v>
      </c>
      <c r="M226">
        <v>75</v>
      </c>
      <c r="N226">
        <v>29.330459999999999</v>
      </c>
      <c r="O226">
        <v>13.43046</v>
      </c>
      <c r="P226">
        <v>23.958880000000001</v>
      </c>
      <c r="Q226">
        <v>32556</v>
      </c>
    </row>
    <row r="227" spans="1:17" x14ac:dyDescent="0.25">
      <c r="A227" t="s">
        <v>16</v>
      </c>
      <c r="B227">
        <v>12</v>
      </c>
      <c r="C227">
        <v>1.61</v>
      </c>
      <c r="D227">
        <v>2006</v>
      </c>
      <c r="E227" t="s">
        <v>17</v>
      </c>
      <c r="F227">
        <v>2006091</v>
      </c>
      <c r="G227">
        <v>2006156</v>
      </c>
      <c r="H227">
        <v>6171</v>
      </c>
      <c r="I227">
        <v>1746</v>
      </c>
      <c r="J227">
        <v>100</v>
      </c>
      <c r="K227">
        <v>131</v>
      </c>
      <c r="L227">
        <v>205</v>
      </c>
      <c r="M227">
        <v>75</v>
      </c>
      <c r="N227">
        <v>29.784770000000002</v>
      </c>
      <c r="O227">
        <v>14.032999999999999</v>
      </c>
      <c r="P227">
        <v>23.359390000000001</v>
      </c>
      <c r="Q227">
        <v>33181</v>
      </c>
    </row>
    <row r="228" spans="1:17" x14ac:dyDescent="0.25">
      <c r="A228" t="s">
        <v>16</v>
      </c>
      <c r="B228">
        <v>12</v>
      </c>
      <c r="C228">
        <v>1.61</v>
      </c>
      <c r="D228">
        <v>2007</v>
      </c>
      <c r="E228" t="s">
        <v>17</v>
      </c>
      <c r="F228">
        <v>2007091</v>
      </c>
      <c r="G228">
        <v>2007163</v>
      </c>
      <c r="H228">
        <v>11240</v>
      </c>
      <c r="I228">
        <v>3941</v>
      </c>
      <c r="J228">
        <v>100</v>
      </c>
      <c r="K228">
        <v>256</v>
      </c>
      <c r="L228">
        <v>364</v>
      </c>
      <c r="M228">
        <v>75</v>
      </c>
      <c r="N228">
        <v>27.577159999999999</v>
      </c>
      <c r="O228">
        <v>13.11219</v>
      </c>
      <c r="P228">
        <v>22.91574</v>
      </c>
      <c r="Q228">
        <v>74878</v>
      </c>
    </row>
    <row r="229" spans="1:17" x14ac:dyDescent="0.25">
      <c r="A229" t="s">
        <v>16</v>
      </c>
      <c r="B229">
        <v>12</v>
      </c>
      <c r="C229">
        <v>1.61</v>
      </c>
      <c r="D229">
        <v>2008</v>
      </c>
      <c r="E229" t="s">
        <v>17</v>
      </c>
      <c r="F229">
        <v>2008091</v>
      </c>
      <c r="G229">
        <v>2008164</v>
      </c>
      <c r="H229">
        <v>10539</v>
      </c>
      <c r="I229">
        <v>3391</v>
      </c>
      <c r="J229">
        <v>100</v>
      </c>
      <c r="K229">
        <v>208</v>
      </c>
      <c r="L229">
        <v>198</v>
      </c>
      <c r="M229">
        <v>75</v>
      </c>
      <c r="N229">
        <v>27.518260000000001</v>
      </c>
      <c r="O229">
        <v>12.576639999999999</v>
      </c>
      <c r="P229">
        <v>23.153300000000002</v>
      </c>
      <c r="Q229">
        <v>64428</v>
      </c>
    </row>
    <row r="230" spans="1:17" x14ac:dyDescent="0.25">
      <c r="A230" t="s">
        <v>16</v>
      </c>
      <c r="B230">
        <v>12</v>
      </c>
      <c r="C230">
        <v>1.61</v>
      </c>
      <c r="D230">
        <v>2009</v>
      </c>
      <c r="E230" t="s">
        <v>18</v>
      </c>
      <c r="F230">
        <v>2009091</v>
      </c>
      <c r="G230">
        <v>2009157</v>
      </c>
      <c r="H230">
        <v>8055</v>
      </c>
      <c r="I230">
        <v>2540</v>
      </c>
      <c r="J230">
        <v>100</v>
      </c>
      <c r="K230">
        <v>141</v>
      </c>
      <c r="L230">
        <v>219</v>
      </c>
      <c r="M230">
        <v>75</v>
      </c>
      <c r="N230">
        <v>28.913699999999999</v>
      </c>
      <c r="O230">
        <v>13.28477</v>
      </c>
      <c r="P230">
        <v>23.55686</v>
      </c>
      <c r="Q230">
        <v>48266</v>
      </c>
    </row>
    <row r="231" spans="1:17" x14ac:dyDescent="0.25">
      <c r="A231" t="s">
        <v>16</v>
      </c>
      <c r="B231">
        <v>12</v>
      </c>
      <c r="C231">
        <v>1.61</v>
      </c>
      <c r="D231">
        <v>2010</v>
      </c>
      <c r="E231" t="s">
        <v>18</v>
      </c>
      <c r="F231">
        <v>2010091</v>
      </c>
      <c r="G231">
        <v>2010154</v>
      </c>
      <c r="H231">
        <v>8356</v>
      </c>
      <c r="I231">
        <v>3682</v>
      </c>
      <c r="J231">
        <v>100</v>
      </c>
      <c r="K231">
        <v>271</v>
      </c>
      <c r="L231">
        <v>467</v>
      </c>
      <c r="M231">
        <v>75</v>
      </c>
      <c r="N231">
        <v>28.943660000000001</v>
      </c>
      <c r="O231">
        <v>13.73147</v>
      </c>
      <c r="P231">
        <v>23.500509999999998</v>
      </c>
      <c r="Q231">
        <v>69960</v>
      </c>
    </row>
    <row r="232" spans="1:17" x14ac:dyDescent="0.25">
      <c r="A232" t="s">
        <v>16</v>
      </c>
      <c r="B232">
        <v>12</v>
      </c>
      <c r="C232">
        <v>1.61</v>
      </c>
      <c r="D232">
        <v>2011</v>
      </c>
      <c r="E232" t="s">
        <v>18</v>
      </c>
      <c r="F232">
        <v>2011091</v>
      </c>
      <c r="G232">
        <v>2011147</v>
      </c>
      <c r="H232">
        <v>10030</v>
      </c>
      <c r="I232">
        <v>4523</v>
      </c>
      <c r="J232">
        <v>100</v>
      </c>
      <c r="K232">
        <v>213</v>
      </c>
      <c r="L232">
        <v>316</v>
      </c>
      <c r="M232">
        <v>75</v>
      </c>
      <c r="N232">
        <v>29.576139999999999</v>
      </c>
      <c r="O232">
        <v>13.629440000000001</v>
      </c>
      <c r="P232">
        <v>23.699490000000001</v>
      </c>
      <c r="Q232">
        <v>85937</v>
      </c>
    </row>
    <row r="233" spans="1:17" x14ac:dyDescent="0.25">
      <c r="A233" t="s">
        <v>16</v>
      </c>
      <c r="B233">
        <v>12</v>
      </c>
      <c r="C233">
        <v>1.61</v>
      </c>
      <c r="D233">
        <v>2012</v>
      </c>
      <c r="E233" t="s">
        <v>18</v>
      </c>
      <c r="F233">
        <v>2012091</v>
      </c>
      <c r="G233">
        <v>2012157</v>
      </c>
      <c r="H233">
        <v>5464</v>
      </c>
      <c r="I233">
        <v>1617</v>
      </c>
      <c r="J233">
        <v>100</v>
      </c>
      <c r="K233">
        <v>146</v>
      </c>
      <c r="L233">
        <v>143</v>
      </c>
      <c r="M233">
        <v>75</v>
      </c>
      <c r="N233">
        <v>28.360910000000001</v>
      </c>
      <c r="O233">
        <v>12.93909</v>
      </c>
      <c r="P233">
        <v>23.30153</v>
      </c>
      <c r="Q233">
        <v>30725</v>
      </c>
    </row>
    <row r="234" spans="1:17" x14ac:dyDescent="0.25">
      <c r="A234" t="s">
        <v>16</v>
      </c>
      <c r="B234">
        <v>12</v>
      </c>
      <c r="C234">
        <v>1.61</v>
      </c>
      <c r="D234">
        <v>2013</v>
      </c>
      <c r="E234" t="s">
        <v>18</v>
      </c>
      <c r="F234">
        <v>2013091</v>
      </c>
      <c r="G234">
        <v>2013154</v>
      </c>
      <c r="H234">
        <v>8895</v>
      </c>
      <c r="I234">
        <v>3341</v>
      </c>
      <c r="J234">
        <v>100</v>
      </c>
      <c r="K234">
        <v>316</v>
      </c>
      <c r="L234">
        <v>325</v>
      </c>
      <c r="M234">
        <v>75</v>
      </c>
      <c r="N234">
        <v>29.317260000000001</v>
      </c>
      <c r="O234">
        <v>12.59137</v>
      </c>
      <c r="P234">
        <v>24.37208</v>
      </c>
      <c r="Q234">
        <v>63473</v>
      </c>
    </row>
    <row r="235" spans="1:17" x14ac:dyDescent="0.25">
      <c r="A235" t="s">
        <v>16</v>
      </c>
      <c r="B235">
        <v>12</v>
      </c>
      <c r="C235">
        <v>1.61</v>
      </c>
      <c r="D235">
        <v>2014</v>
      </c>
      <c r="E235" t="s">
        <v>18</v>
      </c>
      <c r="F235">
        <v>2014091</v>
      </c>
      <c r="G235">
        <v>2014152</v>
      </c>
      <c r="H235">
        <v>9287</v>
      </c>
      <c r="I235">
        <v>3346</v>
      </c>
      <c r="J235">
        <v>100</v>
      </c>
      <c r="K235">
        <v>267</v>
      </c>
      <c r="L235">
        <v>346</v>
      </c>
      <c r="M235">
        <v>75</v>
      </c>
      <c r="N235">
        <v>28.380700000000001</v>
      </c>
      <c r="O235">
        <v>13.32742</v>
      </c>
      <c r="P235">
        <v>23.334019999999999</v>
      </c>
      <c r="Q235">
        <v>63575</v>
      </c>
    </row>
    <row r="236" spans="1:17" x14ac:dyDescent="0.25">
      <c r="A236" t="s">
        <v>16</v>
      </c>
      <c r="B236">
        <v>12</v>
      </c>
      <c r="C236">
        <v>1.61</v>
      </c>
      <c r="D236">
        <v>2015</v>
      </c>
      <c r="E236" t="s">
        <v>18</v>
      </c>
      <c r="F236">
        <v>2015091</v>
      </c>
      <c r="G236">
        <v>2015150</v>
      </c>
      <c r="H236">
        <v>6907</v>
      </c>
      <c r="I236">
        <v>2128</v>
      </c>
      <c r="J236">
        <v>100</v>
      </c>
      <c r="K236">
        <v>190</v>
      </c>
      <c r="L236">
        <v>159</v>
      </c>
      <c r="M236">
        <v>75</v>
      </c>
      <c r="N236">
        <v>29.6538</v>
      </c>
      <c r="O236">
        <v>13.73452</v>
      </c>
      <c r="P236">
        <v>23.767510000000001</v>
      </c>
      <c r="Q236">
        <v>40431</v>
      </c>
    </row>
    <row r="237" spans="1:17" x14ac:dyDescent="0.25">
      <c r="A237" t="s">
        <v>16</v>
      </c>
      <c r="B237">
        <v>12</v>
      </c>
      <c r="C237">
        <v>1.61</v>
      </c>
      <c r="D237">
        <v>2016</v>
      </c>
      <c r="E237" t="s">
        <v>18</v>
      </c>
      <c r="F237">
        <v>2016091</v>
      </c>
      <c r="G237">
        <v>2016158</v>
      </c>
      <c r="H237">
        <v>10009</v>
      </c>
      <c r="I237">
        <v>3809</v>
      </c>
      <c r="J237">
        <v>100</v>
      </c>
      <c r="K237">
        <v>275</v>
      </c>
      <c r="L237">
        <v>225</v>
      </c>
      <c r="M237">
        <v>75</v>
      </c>
      <c r="N237">
        <v>29.304069999999999</v>
      </c>
      <c r="O237">
        <v>13.03706</v>
      </c>
      <c r="P237">
        <v>23.8599</v>
      </c>
      <c r="Q237">
        <v>72363</v>
      </c>
    </row>
    <row r="238" spans="1:17" x14ac:dyDescent="0.25">
      <c r="A238" t="s">
        <v>16</v>
      </c>
      <c r="B238">
        <v>12</v>
      </c>
      <c r="C238">
        <v>1.61</v>
      </c>
      <c r="D238">
        <v>2017</v>
      </c>
      <c r="E238" t="s">
        <v>18</v>
      </c>
      <c r="F238">
        <v>2017091</v>
      </c>
      <c r="G238">
        <v>2017148</v>
      </c>
      <c r="H238">
        <v>8849</v>
      </c>
      <c r="I238">
        <v>2635</v>
      </c>
      <c r="J238">
        <v>100</v>
      </c>
      <c r="K238">
        <v>93</v>
      </c>
      <c r="L238">
        <v>254</v>
      </c>
      <c r="M238">
        <v>75</v>
      </c>
      <c r="N238">
        <v>31.704070000000002</v>
      </c>
      <c r="O238">
        <v>13.61726</v>
      </c>
      <c r="P238">
        <v>24.412690000000001</v>
      </c>
      <c r="Q238">
        <v>50059</v>
      </c>
    </row>
    <row r="239" spans="1:17" x14ac:dyDescent="0.25">
      <c r="A239" t="s">
        <v>16</v>
      </c>
      <c r="B239">
        <v>12</v>
      </c>
      <c r="C239">
        <v>1.61</v>
      </c>
      <c r="D239">
        <v>2018</v>
      </c>
      <c r="E239" t="s">
        <v>18</v>
      </c>
      <c r="F239">
        <v>2018091</v>
      </c>
      <c r="G239">
        <v>2018157</v>
      </c>
      <c r="H239">
        <v>9067</v>
      </c>
      <c r="I239">
        <v>3548</v>
      </c>
      <c r="J239">
        <v>100</v>
      </c>
      <c r="K239">
        <v>306</v>
      </c>
      <c r="L239">
        <v>130</v>
      </c>
      <c r="M239">
        <v>75</v>
      </c>
      <c r="N239">
        <v>29.07563</v>
      </c>
      <c r="O239">
        <v>13.6934</v>
      </c>
      <c r="P239">
        <v>22.77411</v>
      </c>
      <c r="Q239">
        <v>67418</v>
      </c>
    </row>
    <row r="240" spans="1:17" x14ac:dyDescent="0.25">
      <c r="A240" t="s">
        <v>16</v>
      </c>
      <c r="B240">
        <v>12</v>
      </c>
      <c r="C240">
        <v>1.61</v>
      </c>
      <c r="D240">
        <v>2019</v>
      </c>
      <c r="E240" t="s">
        <v>18</v>
      </c>
      <c r="F240">
        <v>2019091</v>
      </c>
      <c r="G240">
        <v>2019153</v>
      </c>
      <c r="H240">
        <v>4968</v>
      </c>
      <c r="I240">
        <v>1224</v>
      </c>
      <c r="J240">
        <v>100</v>
      </c>
      <c r="K240">
        <v>102</v>
      </c>
      <c r="L240">
        <v>159</v>
      </c>
      <c r="M240">
        <v>75</v>
      </c>
      <c r="N240">
        <v>29.774619999999999</v>
      </c>
      <c r="O240">
        <v>13.24822</v>
      </c>
      <c r="P240">
        <v>24.235530000000001</v>
      </c>
      <c r="Q240">
        <v>23248</v>
      </c>
    </row>
    <row r="241" spans="1:17" x14ac:dyDescent="0.25">
      <c r="A241" t="s">
        <v>16</v>
      </c>
      <c r="B241">
        <v>12</v>
      </c>
      <c r="C241">
        <v>1.61</v>
      </c>
      <c r="D241">
        <v>2020</v>
      </c>
      <c r="E241" t="s">
        <v>18</v>
      </c>
      <c r="F241">
        <v>2020091</v>
      </c>
      <c r="G241">
        <v>2020151</v>
      </c>
      <c r="H241">
        <v>9790</v>
      </c>
      <c r="I241">
        <v>3633</v>
      </c>
      <c r="J241">
        <v>100</v>
      </c>
      <c r="K241">
        <v>201</v>
      </c>
      <c r="L241">
        <v>202</v>
      </c>
      <c r="M241">
        <v>75</v>
      </c>
      <c r="N241">
        <v>29.84975</v>
      </c>
      <c r="O241">
        <v>13.92132</v>
      </c>
      <c r="P241">
        <v>23.44163</v>
      </c>
      <c r="Q241">
        <v>69030</v>
      </c>
    </row>
    <row r="242" spans="1:17" x14ac:dyDescent="0.25">
      <c r="A242" t="s">
        <v>16</v>
      </c>
      <c r="B242">
        <v>13</v>
      </c>
      <c r="C242">
        <v>1.58</v>
      </c>
      <c r="D242">
        <v>2001</v>
      </c>
      <c r="E242" t="s">
        <v>17</v>
      </c>
      <c r="F242">
        <v>2001105</v>
      </c>
      <c r="G242">
        <v>2001177</v>
      </c>
      <c r="H242">
        <v>7718</v>
      </c>
      <c r="I242">
        <v>1587</v>
      </c>
      <c r="J242">
        <v>100</v>
      </c>
      <c r="K242">
        <v>225</v>
      </c>
      <c r="L242">
        <v>235</v>
      </c>
      <c r="M242">
        <v>75</v>
      </c>
      <c r="N242">
        <v>28.044809999999998</v>
      </c>
      <c r="O242">
        <v>13.863390000000001</v>
      </c>
      <c r="P242">
        <v>23.866669999999999</v>
      </c>
      <c r="Q242">
        <v>26984</v>
      </c>
    </row>
    <row r="243" spans="1:17" x14ac:dyDescent="0.25">
      <c r="A243" t="s">
        <v>16</v>
      </c>
      <c r="B243">
        <v>13</v>
      </c>
      <c r="C243">
        <v>1.58</v>
      </c>
      <c r="D243">
        <v>2002</v>
      </c>
      <c r="E243" t="s">
        <v>17</v>
      </c>
      <c r="F243">
        <v>2002105</v>
      </c>
      <c r="G243">
        <v>2002170</v>
      </c>
      <c r="H243">
        <v>8547</v>
      </c>
      <c r="I243">
        <v>1916</v>
      </c>
      <c r="J243">
        <v>100</v>
      </c>
      <c r="K243">
        <v>182</v>
      </c>
      <c r="L243">
        <v>191</v>
      </c>
      <c r="M243">
        <v>75</v>
      </c>
      <c r="N243">
        <v>27.930599999999998</v>
      </c>
      <c r="O243">
        <v>13.66994</v>
      </c>
      <c r="P243">
        <v>23.858470000000001</v>
      </c>
      <c r="Q243">
        <v>32573</v>
      </c>
    </row>
    <row r="244" spans="1:17" x14ac:dyDescent="0.25">
      <c r="A244" t="s">
        <v>16</v>
      </c>
      <c r="B244">
        <v>13</v>
      </c>
      <c r="C244">
        <v>1.58</v>
      </c>
      <c r="D244">
        <v>2003</v>
      </c>
      <c r="E244" t="s">
        <v>17</v>
      </c>
      <c r="F244">
        <v>2003105</v>
      </c>
      <c r="G244">
        <v>2003167</v>
      </c>
      <c r="H244">
        <v>6190</v>
      </c>
      <c r="I244">
        <v>1745</v>
      </c>
      <c r="J244">
        <v>100</v>
      </c>
      <c r="K244">
        <v>74</v>
      </c>
      <c r="L244">
        <v>90</v>
      </c>
      <c r="M244">
        <v>75</v>
      </c>
      <c r="N244">
        <v>29.21367</v>
      </c>
      <c r="O244">
        <v>14.4612</v>
      </c>
      <c r="P244">
        <v>23.838249999999999</v>
      </c>
      <c r="Q244">
        <v>29670</v>
      </c>
    </row>
    <row r="245" spans="1:17" x14ac:dyDescent="0.25">
      <c r="A245" t="s">
        <v>16</v>
      </c>
      <c r="B245">
        <v>13</v>
      </c>
      <c r="C245">
        <v>1.58</v>
      </c>
      <c r="D245">
        <v>2004</v>
      </c>
      <c r="E245" t="s">
        <v>17</v>
      </c>
      <c r="F245">
        <v>2004105</v>
      </c>
      <c r="G245">
        <v>2004170</v>
      </c>
      <c r="H245">
        <v>8367</v>
      </c>
      <c r="I245">
        <v>2141</v>
      </c>
      <c r="J245">
        <v>100</v>
      </c>
      <c r="K245">
        <v>243</v>
      </c>
      <c r="L245">
        <v>308</v>
      </c>
      <c r="M245">
        <v>75</v>
      </c>
      <c r="N245">
        <v>29.298909999999999</v>
      </c>
      <c r="O245">
        <v>13.912570000000001</v>
      </c>
      <c r="P245">
        <v>23.849720000000001</v>
      </c>
      <c r="Q245">
        <v>36405</v>
      </c>
    </row>
    <row r="246" spans="1:17" x14ac:dyDescent="0.25">
      <c r="A246" t="s">
        <v>16</v>
      </c>
      <c r="B246">
        <v>13</v>
      </c>
      <c r="C246">
        <v>1.58</v>
      </c>
      <c r="D246">
        <v>2005</v>
      </c>
      <c r="E246" t="s">
        <v>17</v>
      </c>
      <c r="F246">
        <v>2005105</v>
      </c>
      <c r="G246">
        <v>2005165</v>
      </c>
      <c r="H246">
        <v>7112</v>
      </c>
      <c r="I246">
        <v>1890</v>
      </c>
      <c r="J246">
        <v>100</v>
      </c>
      <c r="K246">
        <v>163</v>
      </c>
      <c r="L246">
        <v>172</v>
      </c>
      <c r="M246">
        <v>75</v>
      </c>
      <c r="N246">
        <v>29.95027</v>
      </c>
      <c r="O246">
        <v>13.78088</v>
      </c>
      <c r="P246">
        <v>24.193439999999999</v>
      </c>
      <c r="Q246">
        <v>32124</v>
      </c>
    </row>
    <row r="247" spans="1:17" x14ac:dyDescent="0.25">
      <c r="A247" t="s">
        <v>16</v>
      </c>
      <c r="B247">
        <v>13</v>
      </c>
      <c r="C247">
        <v>1.58</v>
      </c>
      <c r="D247">
        <v>2006</v>
      </c>
      <c r="E247" t="s">
        <v>17</v>
      </c>
      <c r="F247">
        <v>2006105</v>
      </c>
      <c r="G247">
        <v>2006165</v>
      </c>
      <c r="H247">
        <v>7629</v>
      </c>
      <c r="I247">
        <v>2421</v>
      </c>
      <c r="J247">
        <v>100</v>
      </c>
      <c r="K247">
        <v>131</v>
      </c>
      <c r="L247">
        <v>205</v>
      </c>
      <c r="M247">
        <v>75</v>
      </c>
      <c r="N247">
        <v>30.355740000000001</v>
      </c>
      <c r="O247">
        <v>14.387980000000001</v>
      </c>
      <c r="P247">
        <v>23.725680000000001</v>
      </c>
      <c r="Q247">
        <v>41153</v>
      </c>
    </row>
    <row r="248" spans="1:17" x14ac:dyDescent="0.25">
      <c r="A248" t="s">
        <v>16</v>
      </c>
      <c r="B248">
        <v>13</v>
      </c>
      <c r="C248">
        <v>1.58</v>
      </c>
      <c r="D248">
        <v>2007</v>
      </c>
      <c r="E248" t="s">
        <v>17</v>
      </c>
      <c r="F248">
        <v>2007105</v>
      </c>
      <c r="G248">
        <v>2007169</v>
      </c>
      <c r="H248">
        <v>9929</v>
      </c>
      <c r="I248">
        <v>3307</v>
      </c>
      <c r="J248">
        <v>100</v>
      </c>
      <c r="K248">
        <v>256</v>
      </c>
      <c r="L248">
        <v>364</v>
      </c>
      <c r="M248">
        <v>75</v>
      </c>
      <c r="N248">
        <v>28.353549999999998</v>
      </c>
      <c r="O248">
        <v>13.622960000000001</v>
      </c>
      <c r="P248">
        <v>23.421309999999998</v>
      </c>
      <c r="Q248">
        <v>56213</v>
      </c>
    </row>
    <row r="249" spans="1:17" x14ac:dyDescent="0.25">
      <c r="A249" t="s">
        <v>16</v>
      </c>
      <c r="B249">
        <v>13</v>
      </c>
      <c r="C249">
        <v>1.58</v>
      </c>
      <c r="D249">
        <v>2008</v>
      </c>
      <c r="E249" t="s">
        <v>17</v>
      </c>
      <c r="F249">
        <v>2008105</v>
      </c>
      <c r="G249">
        <v>2008172</v>
      </c>
      <c r="H249">
        <v>8979</v>
      </c>
      <c r="I249">
        <v>2345</v>
      </c>
      <c r="J249">
        <v>100</v>
      </c>
      <c r="K249">
        <v>208</v>
      </c>
      <c r="L249">
        <v>198</v>
      </c>
      <c r="M249">
        <v>75</v>
      </c>
      <c r="N249">
        <v>27.91638</v>
      </c>
      <c r="O249">
        <v>12.96557</v>
      </c>
      <c r="P249">
        <v>23.461200000000002</v>
      </c>
      <c r="Q249">
        <v>39866</v>
      </c>
    </row>
    <row r="250" spans="1:17" x14ac:dyDescent="0.25">
      <c r="A250" t="s">
        <v>16</v>
      </c>
      <c r="B250">
        <v>13</v>
      </c>
      <c r="C250">
        <v>1.58</v>
      </c>
      <c r="D250">
        <v>2009</v>
      </c>
      <c r="E250" t="s">
        <v>17</v>
      </c>
      <c r="F250">
        <v>2009105</v>
      </c>
      <c r="G250">
        <v>2009169</v>
      </c>
      <c r="H250">
        <v>8761</v>
      </c>
      <c r="I250">
        <v>2296</v>
      </c>
      <c r="J250">
        <v>100</v>
      </c>
      <c r="K250">
        <v>141</v>
      </c>
      <c r="L250">
        <v>219</v>
      </c>
      <c r="M250">
        <v>75</v>
      </c>
      <c r="N250">
        <v>29.53661</v>
      </c>
      <c r="O250">
        <v>13.875959999999999</v>
      </c>
      <c r="P250">
        <v>23.79946</v>
      </c>
      <c r="Q250">
        <v>39031</v>
      </c>
    </row>
    <row r="251" spans="1:17" x14ac:dyDescent="0.25">
      <c r="A251" t="s">
        <v>16</v>
      </c>
      <c r="B251">
        <v>13</v>
      </c>
      <c r="C251">
        <v>1.58</v>
      </c>
      <c r="D251">
        <v>2010</v>
      </c>
      <c r="E251" t="s">
        <v>18</v>
      </c>
      <c r="F251">
        <v>2010105</v>
      </c>
      <c r="G251">
        <v>2010160</v>
      </c>
      <c r="H251">
        <v>8379</v>
      </c>
      <c r="I251">
        <v>3526</v>
      </c>
      <c r="J251">
        <v>100</v>
      </c>
      <c r="K251">
        <v>271</v>
      </c>
      <c r="L251">
        <v>467</v>
      </c>
      <c r="M251">
        <v>75</v>
      </c>
      <c r="N251">
        <v>29.60492</v>
      </c>
      <c r="O251">
        <v>14.28088</v>
      </c>
      <c r="P251">
        <v>23.679780000000001</v>
      </c>
      <c r="Q251">
        <v>59942</v>
      </c>
    </row>
    <row r="252" spans="1:17" x14ac:dyDescent="0.25">
      <c r="A252" t="s">
        <v>16</v>
      </c>
      <c r="B252">
        <v>13</v>
      </c>
      <c r="C252">
        <v>1.58</v>
      </c>
      <c r="D252">
        <v>2011</v>
      </c>
      <c r="E252" t="s">
        <v>18</v>
      </c>
      <c r="F252">
        <v>2011105</v>
      </c>
      <c r="G252">
        <v>2011162</v>
      </c>
      <c r="H252">
        <v>9697</v>
      </c>
      <c r="I252">
        <v>3823</v>
      </c>
      <c r="J252">
        <v>100</v>
      </c>
      <c r="K252">
        <v>213</v>
      </c>
      <c r="L252">
        <v>316</v>
      </c>
      <c r="M252">
        <v>75</v>
      </c>
      <c r="N252">
        <v>29.818580000000001</v>
      </c>
      <c r="O252">
        <v>13.919129999999999</v>
      </c>
      <c r="P252">
        <v>23.89235</v>
      </c>
      <c r="Q252">
        <v>64987</v>
      </c>
    </row>
    <row r="253" spans="1:17" x14ac:dyDescent="0.25">
      <c r="A253" t="s">
        <v>16</v>
      </c>
      <c r="B253">
        <v>13</v>
      </c>
      <c r="C253">
        <v>1.58</v>
      </c>
      <c r="D253">
        <v>2012</v>
      </c>
      <c r="E253" t="s">
        <v>18</v>
      </c>
      <c r="F253">
        <v>2012105</v>
      </c>
      <c r="G253">
        <v>2012163</v>
      </c>
      <c r="H253">
        <v>5527</v>
      </c>
      <c r="I253">
        <v>2006</v>
      </c>
      <c r="J253">
        <v>100</v>
      </c>
      <c r="K253">
        <v>146</v>
      </c>
      <c r="L253">
        <v>143</v>
      </c>
      <c r="M253">
        <v>75</v>
      </c>
      <c r="N253">
        <v>29.088509999999999</v>
      </c>
      <c r="O253">
        <v>13.369949999999999</v>
      </c>
      <c r="P253">
        <v>23.842079999999999</v>
      </c>
      <c r="Q253">
        <v>34105</v>
      </c>
    </row>
    <row r="254" spans="1:17" x14ac:dyDescent="0.25">
      <c r="A254" t="s">
        <v>16</v>
      </c>
      <c r="B254">
        <v>13</v>
      </c>
      <c r="C254">
        <v>1.58</v>
      </c>
      <c r="D254">
        <v>2013</v>
      </c>
      <c r="E254" t="s">
        <v>18</v>
      </c>
      <c r="F254">
        <v>2013105</v>
      </c>
      <c r="G254">
        <v>2013167</v>
      </c>
      <c r="H254">
        <v>7941</v>
      </c>
      <c r="I254">
        <v>2902</v>
      </c>
      <c r="J254">
        <v>100</v>
      </c>
      <c r="K254">
        <v>316</v>
      </c>
      <c r="L254">
        <v>325</v>
      </c>
      <c r="M254">
        <v>75</v>
      </c>
      <c r="N254">
        <v>29.677589999999999</v>
      </c>
      <c r="O254">
        <v>12.844810000000001</v>
      </c>
      <c r="P254">
        <v>24.626239999999999</v>
      </c>
      <c r="Q254">
        <v>49326</v>
      </c>
    </row>
    <row r="255" spans="1:17" x14ac:dyDescent="0.25">
      <c r="A255" t="s">
        <v>16</v>
      </c>
      <c r="B255">
        <v>13</v>
      </c>
      <c r="C255">
        <v>1.58</v>
      </c>
      <c r="D255">
        <v>2014</v>
      </c>
      <c r="E255" t="s">
        <v>18</v>
      </c>
      <c r="F255">
        <v>2014105</v>
      </c>
      <c r="G255">
        <v>2014162</v>
      </c>
      <c r="H255">
        <v>9351</v>
      </c>
      <c r="I255">
        <v>3707</v>
      </c>
      <c r="J255">
        <v>100</v>
      </c>
      <c r="K255">
        <v>267</v>
      </c>
      <c r="L255">
        <v>346</v>
      </c>
      <c r="M255">
        <v>75</v>
      </c>
      <c r="N255">
        <v>28.795079999999999</v>
      </c>
      <c r="O255">
        <v>13.556290000000001</v>
      </c>
      <c r="P255">
        <v>23.764489999999999</v>
      </c>
      <c r="Q255">
        <v>63016</v>
      </c>
    </row>
    <row r="256" spans="1:17" x14ac:dyDescent="0.25">
      <c r="A256" t="s">
        <v>16</v>
      </c>
      <c r="B256">
        <v>13</v>
      </c>
      <c r="C256">
        <v>1.58</v>
      </c>
      <c r="D256">
        <v>2015</v>
      </c>
      <c r="E256" t="s">
        <v>18</v>
      </c>
      <c r="F256">
        <v>2015105</v>
      </c>
      <c r="G256">
        <v>2015159</v>
      </c>
      <c r="H256">
        <v>7718</v>
      </c>
      <c r="I256">
        <v>2509</v>
      </c>
      <c r="J256">
        <v>100</v>
      </c>
      <c r="K256">
        <v>190</v>
      </c>
      <c r="L256">
        <v>159</v>
      </c>
      <c r="M256">
        <v>75</v>
      </c>
      <c r="N256">
        <v>30.136060000000001</v>
      </c>
      <c r="O256">
        <v>14.0541</v>
      </c>
      <c r="P256">
        <v>24.18798</v>
      </c>
      <c r="Q256">
        <v>42645</v>
      </c>
    </row>
    <row r="257" spans="1:17" x14ac:dyDescent="0.25">
      <c r="A257" t="s">
        <v>16</v>
      </c>
      <c r="B257">
        <v>13</v>
      </c>
      <c r="C257">
        <v>1.58</v>
      </c>
      <c r="D257">
        <v>2016</v>
      </c>
      <c r="E257" t="s">
        <v>18</v>
      </c>
      <c r="F257">
        <v>2016105</v>
      </c>
      <c r="G257">
        <v>2016165</v>
      </c>
      <c r="H257">
        <v>8750</v>
      </c>
      <c r="I257">
        <v>3109</v>
      </c>
      <c r="J257">
        <v>100</v>
      </c>
      <c r="K257">
        <v>275</v>
      </c>
      <c r="L257">
        <v>225</v>
      </c>
      <c r="M257">
        <v>75</v>
      </c>
      <c r="N257">
        <v>30.153009999999998</v>
      </c>
      <c r="O257">
        <v>13.56831</v>
      </c>
      <c r="P257">
        <v>24.236609999999999</v>
      </c>
      <c r="Q257">
        <v>52854</v>
      </c>
    </row>
    <row r="258" spans="1:17" x14ac:dyDescent="0.25">
      <c r="A258" t="s">
        <v>16</v>
      </c>
      <c r="B258">
        <v>13</v>
      </c>
      <c r="C258">
        <v>1.58</v>
      </c>
      <c r="D258">
        <v>2017</v>
      </c>
      <c r="E258" t="s">
        <v>18</v>
      </c>
      <c r="F258">
        <v>2017105</v>
      </c>
      <c r="G258">
        <v>2017157</v>
      </c>
      <c r="H258">
        <v>8623</v>
      </c>
      <c r="I258">
        <v>2670</v>
      </c>
      <c r="J258">
        <v>100</v>
      </c>
      <c r="K258">
        <v>93</v>
      </c>
      <c r="L258">
        <v>254</v>
      </c>
      <c r="M258">
        <v>75</v>
      </c>
      <c r="N258">
        <v>32.146999999999998</v>
      </c>
      <c r="O258">
        <v>14.1683</v>
      </c>
      <c r="P258">
        <v>24.39453</v>
      </c>
      <c r="Q258">
        <v>45390</v>
      </c>
    </row>
    <row r="259" spans="1:17" x14ac:dyDescent="0.25">
      <c r="A259" t="s">
        <v>16</v>
      </c>
      <c r="B259">
        <v>13</v>
      </c>
      <c r="C259">
        <v>1.58</v>
      </c>
      <c r="D259">
        <v>2018</v>
      </c>
      <c r="E259" t="s">
        <v>18</v>
      </c>
      <c r="F259">
        <v>2018105</v>
      </c>
      <c r="G259">
        <v>2018164</v>
      </c>
      <c r="H259">
        <v>9600</v>
      </c>
      <c r="I259">
        <v>3753</v>
      </c>
      <c r="J259">
        <v>100</v>
      </c>
      <c r="K259">
        <v>306</v>
      </c>
      <c r="L259">
        <v>130</v>
      </c>
      <c r="M259">
        <v>75</v>
      </c>
      <c r="N259">
        <v>29.957370000000001</v>
      </c>
      <c r="O259">
        <v>14.20656</v>
      </c>
      <c r="P259">
        <v>23.21912</v>
      </c>
      <c r="Q259">
        <v>63799</v>
      </c>
    </row>
    <row r="260" spans="1:17" x14ac:dyDescent="0.25">
      <c r="A260" t="s">
        <v>16</v>
      </c>
      <c r="B260">
        <v>13</v>
      </c>
      <c r="C260">
        <v>1.58</v>
      </c>
      <c r="D260">
        <v>2019</v>
      </c>
      <c r="E260" t="s">
        <v>18</v>
      </c>
      <c r="F260">
        <v>2019105</v>
      </c>
      <c r="G260">
        <v>2019160</v>
      </c>
      <c r="H260">
        <v>5784</v>
      </c>
      <c r="I260">
        <v>2313</v>
      </c>
      <c r="J260">
        <v>100</v>
      </c>
      <c r="K260">
        <v>102</v>
      </c>
      <c r="L260">
        <v>159</v>
      </c>
      <c r="M260">
        <v>75</v>
      </c>
      <c r="N260">
        <v>30.601099999999999</v>
      </c>
      <c r="O260">
        <v>13.709289999999999</v>
      </c>
      <c r="P260">
        <v>24.56776</v>
      </c>
      <c r="Q260">
        <v>39319</v>
      </c>
    </row>
    <row r="261" spans="1:17" x14ac:dyDescent="0.25">
      <c r="A261" t="s">
        <v>16</v>
      </c>
      <c r="B261">
        <v>13</v>
      </c>
      <c r="C261">
        <v>1.58</v>
      </c>
      <c r="D261">
        <v>2020</v>
      </c>
      <c r="E261" t="s">
        <v>18</v>
      </c>
      <c r="F261">
        <v>2020105</v>
      </c>
      <c r="G261">
        <v>2020159</v>
      </c>
      <c r="H261">
        <v>9084</v>
      </c>
      <c r="I261">
        <v>3141</v>
      </c>
      <c r="J261">
        <v>100</v>
      </c>
      <c r="K261">
        <v>201</v>
      </c>
      <c r="L261">
        <v>202</v>
      </c>
      <c r="M261">
        <v>75</v>
      </c>
      <c r="N261">
        <v>30.616949999999999</v>
      </c>
      <c r="O261">
        <v>14.26502</v>
      </c>
      <c r="P261">
        <v>24.059570000000001</v>
      </c>
      <c r="Q261">
        <v>53405</v>
      </c>
    </row>
    <row r="262" spans="1:17" x14ac:dyDescent="0.25">
      <c r="A262" t="s">
        <v>16</v>
      </c>
      <c r="B262">
        <v>14</v>
      </c>
      <c r="C262">
        <v>1.45</v>
      </c>
      <c r="D262">
        <v>2001</v>
      </c>
      <c r="E262" t="s">
        <v>17</v>
      </c>
      <c r="F262">
        <v>2001091</v>
      </c>
      <c r="G262">
        <v>2001162</v>
      </c>
      <c r="H262">
        <v>8644</v>
      </c>
      <c r="I262">
        <v>1606</v>
      </c>
      <c r="J262">
        <v>50</v>
      </c>
      <c r="K262">
        <v>225</v>
      </c>
      <c r="L262">
        <v>235</v>
      </c>
      <c r="M262">
        <v>125</v>
      </c>
      <c r="N262">
        <v>27.594919999999998</v>
      </c>
      <c r="O262">
        <v>13.4137</v>
      </c>
      <c r="P262">
        <v>23.716750000000001</v>
      </c>
      <c r="Q262">
        <v>32129</v>
      </c>
    </row>
    <row r="263" spans="1:17" x14ac:dyDescent="0.25">
      <c r="A263" t="s">
        <v>16</v>
      </c>
      <c r="B263">
        <v>14</v>
      </c>
      <c r="C263">
        <v>1.45</v>
      </c>
      <c r="D263">
        <v>2002</v>
      </c>
      <c r="E263" t="s">
        <v>17</v>
      </c>
      <c r="F263">
        <v>2002091</v>
      </c>
      <c r="G263">
        <v>2002164</v>
      </c>
      <c r="H263">
        <v>8372</v>
      </c>
      <c r="I263">
        <v>1202</v>
      </c>
      <c r="J263">
        <v>50</v>
      </c>
      <c r="K263">
        <v>182</v>
      </c>
      <c r="L263">
        <v>191</v>
      </c>
      <c r="M263">
        <v>125</v>
      </c>
      <c r="N263">
        <v>27.10305</v>
      </c>
      <c r="O263">
        <v>13.228429999999999</v>
      </c>
      <c r="P263">
        <v>23.25076</v>
      </c>
      <c r="Q263">
        <v>24038</v>
      </c>
    </row>
    <row r="264" spans="1:17" x14ac:dyDescent="0.25">
      <c r="A264" t="s">
        <v>16</v>
      </c>
      <c r="B264">
        <v>14</v>
      </c>
      <c r="C264">
        <v>1.45</v>
      </c>
      <c r="D264">
        <v>2003</v>
      </c>
      <c r="E264" t="s">
        <v>17</v>
      </c>
      <c r="F264">
        <v>2003091</v>
      </c>
      <c r="G264">
        <v>2003159</v>
      </c>
      <c r="H264">
        <v>3397</v>
      </c>
      <c r="I264">
        <v>302</v>
      </c>
      <c r="J264">
        <v>50</v>
      </c>
      <c r="K264">
        <v>74</v>
      </c>
      <c r="L264">
        <v>90</v>
      </c>
      <c r="M264">
        <v>125</v>
      </c>
      <c r="N264">
        <v>28.552790000000002</v>
      </c>
      <c r="O264">
        <v>13.9665</v>
      </c>
      <c r="P264">
        <v>23.503039999999999</v>
      </c>
      <c r="Q264">
        <v>6042</v>
      </c>
    </row>
    <row r="265" spans="1:17" x14ac:dyDescent="0.25">
      <c r="A265" t="s">
        <v>16</v>
      </c>
      <c r="B265">
        <v>14</v>
      </c>
      <c r="C265">
        <v>1.45</v>
      </c>
      <c r="D265">
        <v>2004</v>
      </c>
      <c r="E265" t="s">
        <v>17</v>
      </c>
      <c r="F265">
        <v>2004091</v>
      </c>
      <c r="G265">
        <v>2004162</v>
      </c>
      <c r="H265">
        <v>9323</v>
      </c>
      <c r="I265">
        <v>2037</v>
      </c>
      <c r="J265">
        <v>50</v>
      </c>
      <c r="K265">
        <v>243</v>
      </c>
      <c r="L265">
        <v>308</v>
      </c>
      <c r="M265">
        <v>125</v>
      </c>
      <c r="N265">
        <v>28.562439999999999</v>
      </c>
      <c r="O265">
        <v>13.373609999999999</v>
      </c>
      <c r="P265">
        <v>23.701519999999999</v>
      </c>
      <c r="Q265">
        <v>40749</v>
      </c>
    </row>
    <row r="266" spans="1:17" x14ac:dyDescent="0.25">
      <c r="A266" t="s">
        <v>16</v>
      </c>
      <c r="B266">
        <v>14</v>
      </c>
      <c r="C266">
        <v>1.45</v>
      </c>
      <c r="D266">
        <v>2005</v>
      </c>
      <c r="E266" t="s">
        <v>17</v>
      </c>
      <c r="F266">
        <v>2005091</v>
      </c>
      <c r="G266">
        <v>2005159</v>
      </c>
      <c r="H266">
        <v>6101</v>
      </c>
      <c r="I266">
        <v>807</v>
      </c>
      <c r="J266">
        <v>50</v>
      </c>
      <c r="K266">
        <v>163</v>
      </c>
      <c r="L266">
        <v>172</v>
      </c>
      <c r="M266">
        <v>125</v>
      </c>
      <c r="N266">
        <v>29.330459999999999</v>
      </c>
      <c r="O266">
        <v>13.43046</v>
      </c>
      <c r="P266">
        <v>23.958880000000001</v>
      </c>
      <c r="Q266">
        <v>16137</v>
      </c>
    </row>
    <row r="267" spans="1:17" x14ac:dyDescent="0.25">
      <c r="A267" t="s">
        <v>16</v>
      </c>
      <c r="B267">
        <v>14</v>
      </c>
      <c r="C267">
        <v>1.45</v>
      </c>
      <c r="D267">
        <v>2006</v>
      </c>
      <c r="E267" t="s">
        <v>17</v>
      </c>
      <c r="F267">
        <v>2006091</v>
      </c>
      <c r="G267">
        <v>2006156</v>
      </c>
      <c r="H267">
        <v>5327</v>
      </c>
      <c r="I267">
        <v>865</v>
      </c>
      <c r="J267">
        <v>50</v>
      </c>
      <c r="K267">
        <v>131</v>
      </c>
      <c r="L267">
        <v>205</v>
      </c>
      <c r="M267">
        <v>125</v>
      </c>
      <c r="N267">
        <v>29.784770000000002</v>
      </c>
      <c r="O267">
        <v>14.032999999999999</v>
      </c>
      <c r="P267">
        <v>23.359390000000001</v>
      </c>
      <c r="Q267">
        <v>17308</v>
      </c>
    </row>
    <row r="268" spans="1:17" x14ac:dyDescent="0.25">
      <c r="A268" t="s">
        <v>16</v>
      </c>
      <c r="B268">
        <v>14</v>
      </c>
      <c r="C268">
        <v>1.45</v>
      </c>
      <c r="D268">
        <v>2007</v>
      </c>
      <c r="E268" t="s">
        <v>17</v>
      </c>
      <c r="F268">
        <v>2007091</v>
      </c>
      <c r="G268">
        <v>2007163</v>
      </c>
      <c r="H268">
        <v>10733</v>
      </c>
      <c r="I268">
        <v>2764</v>
      </c>
      <c r="J268">
        <v>50</v>
      </c>
      <c r="K268">
        <v>256</v>
      </c>
      <c r="L268">
        <v>364</v>
      </c>
      <c r="M268">
        <v>125</v>
      </c>
      <c r="N268">
        <v>27.577159999999999</v>
      </c>
      <c r="O268">
        <v>13.11219</v>
      </c>
      <c r="P268">
        <v>22.91574</v>
      </c>
      <c r="Q268">
        <v>55283</v>
      </c>
    </row>
    <row r="269" spans="1:17" x14ac:dyDescent="0.25">
      <c r="A269" t="s">
        <v>16</v>
      </c>
      <c r="B269">
        <v>14</v>
      </c>
      <c r="C269">
        <v>1.45</v>
      </c>
      <c r="D269">
        <v>2008</v>
      </c>
      <c r="E269" t="s">
        <v>18</v>
      </c>
      <c r="F269">
        <v>2008091</v>
      </c>
      <c r="G269">
        <v>2008157</v>
      </c>
      <c r="H269">
        <v>11594</v>
      </c>
      <c r="I269">
        <v>3932</v>
      </c>
      <c r="J269">
        <v>50</v>
      </c>
      <c r="K269">
        <v>208</v>
      </c>
      <c r="L269">
        <v>198</v>
      </c>
      <c r="M269">
        <v>125</v>
      </c>
      <c r="N269">
        <v>27.518260000000001</v>
      </c>
      <c r="O269">
        <v>12.576639999999999</v>
      </c>
      <c r="P269">
        <v>23.153300000000002</v>
      </c>
      <c r="Q269">
        <v>78634</v>
      </c>
    </row>
    <row r="270" spans="1:17" x14ac:dyDescent="0.25">
      <c r="A270" t="s">
        <v>16</v>
      </c>
      <c r="B270">
        <v>14</v>
      </c>
      <c r="C270">
        <v>1.45</v>
      </c>
      <c r="D270">
        <v>2009</v>
      </c>
      <c r="E270" t="s">
        <v>18</v>
      </c>
      <c r="F270">
        <v>2009091</v>
      </c>
      <c r="G270">
        <v>2009157</v>
      </c>
      <c r="H270">
        <v>8551</v>
      </c>
      <c r="I270">
        <v>1634</v>
      </c>
      <c r="J270">
        <v>50</v>
      </c>
      <c r="K270">
        <v>141</v>
      </c>
      <c r="L270">
        <v>219</v>
      </c>
      <c r="M270">
        <v>125</v>
      </c>
      <c r="N270">
        <v>28.913699999999999</v>
      </c>
      <c r="O270">
        <v>13.28477</v>
      </c>
      <c r="P270">
        <v>23.55686</v>
      </c>
      <c r="Q270">
        <v>32674</v>
      </c>
    </row>
    <row r="271" spans="1:17" x14ac:dyDescent="0.25">
      <c r="A271" t="s">
        <v>16</v>
      </c>
      <c r="B271">
        <v>14</v>
      </c>
      <c r="C271">
        <v>1.45</v>
      </c>
      <c r="D271">
        <v>2010</v>
      </c>
      <c r="E271" t="s">
        <v>18</v>
      </c>
      <c r="F271">
        <v>2010091</v>
      </c>
      <c r="G271">
        <v>2010154</v>
      </c>
      <c r="H271">
        <v>9489</v>
      </c>
      <c r="I271">
        <v>3468</v>
      </c>
      <c r="J271">
        <v>50</v>
      </c>
      <c r="K271">
        <v>271</v>
      </c>
      <c r="L271">
        <v>467</v>
      </c>
      <c r="M271">
        <v>125</v>
      </c>
      <c r="N271">
        <v>28.943660000000001</v>
      </c>
      <c r="O271">
        <v>13.73147</v>
      </c>
      <c r="P271">
        <v>23.500509999999998</v>
      </c>
      <c r="Q271">
        <v>69354</v>
      </c>
    </row>
    <row r="272" spans="1:17" x14ac:dyDescent="0.25">
      <c r="A272" t="s">
        <v>16</v>
      </c>
      <c r="B272">
        <v>14</v>
      </c>
      <c r="C272">
        <v>1.45</v>
      </c>
      <c r="D272">
        <v>2011</v>
      </c>
      <c r="E272" t="s">
        <v>18</v>
      </c>
      <c r="F272">
        <v>2011091</v>
      </c>
      <c r="G272">
        <v>2011147</v>
      </c>
      <c r="H272">
        <v>11531</v>
      </c>
      <c r="I272">
        <v>4493</v>
      </c>
      <c r="J272">
        <v>50</v>
      </c>
      <c r="K272">
        <v>213</v>
      </c>
      <c r="L272">
        <v>316</v>
      </c>
      <c r="M272">
        <v>125</v>
      </c>
      <c r="N272">
        <v>29.576139999999999</v>
      </c>
      <c r="O272">
        <v>13.629440000000001</v>
      </c>
      <c r="P272">
        <v>23.699490000000001</v>
      </c>
      <c r="Q272">
        <v>89852</v>
      </c>
    </row>
    <row r="273" spans="1:17" x14ac:dyDescent="0.25">
      <c r="A273" t="s">
        <v>16</v>
      </c>
      <c r="B273">
        <v>14</v>
      </c>
      <c r="C273">
        <v>1.45</v>
      </c>
      <c r="D273">
        <v>2012</v>
      </c>
      <c r="E273" t="s">
        <v>18</v>
      </c>
      <c r="F273">
        <v>2012091</v>
      </c>
      <c r="G273">
        <v>2012157</v>
      </c>
      <c r="H273">
        <v>4874</v>
      </c>
      <c r="I273">
        <v>892</v>
      </c>
      <c r="J273">
        <v>50</v>
      </c>
      <c r="K273">
        <v>146</v>
      </c>
      <c r="L273">
        <v>143</v>
      </c>
      <c r="M273">
        <v>125</v>
      </c>
      <c r="N273">
        <v>28.360910000000001</v>
      </c>
      <c r="O273">
        <v>12.93909</v>
      </c>
      <c r="P273">
        <v>23.30153</v>
      </c>
      <c r="Q273">
        <v>17850</v>
      </c>
    </row>
    <row r="274" spans="1:17" x14ac:dyDescent="0.25">
      <c r="A274" t="s">
        <v>16</v>
      </c>
      <c r="B274">
        <v>14</v>
      </c>
      <c r="C274">
        <v>1.45</v>
      </c>
      <c r="D274">
        <v>2013</v>
      </c>
      <c r="E274" t="s">
        <v>18</v>
      </c>
      <c r="F274">
        <v>2013091</v>
      </c>
      <c r="G274">
        <v>2013154</v>
      </c>
      <c r="H274">
        <v>9197</v>
      </c>
      <c r="I274">
        <v>2464</v>
      </c>
      <c r="J274">
        <v>50</v>
      </c>
      <c r="K274">
        <v>316</v>
      </c>
      <c r="L274">
        <v>325</v>
      </c>
      <c r="M274">
        <v>125</v>
      </c>
      <c r="N274">
        <v>29.317260000000001</v>
      </c>
      <c r="O274">
        <v>12.59137</v>
      </c>
      <c r="P274">
        <v>24.37208</v>
      </c>
      <c r="Q274">
        <v>49283</v>
      </c>
    </row>
    <row r="275" spans="1:17" x14ac:dyDescent="0.25">
      <c r="A275" t="s">
        <v>16</v>
      </c>
      <c r="B275">
        <v>14</v>
      </c>
      <c r="C275">
        <v>1.45</v>
      </c>
      <c r="D275">
        <v>2014</v>
      </c>
      <c r="E275" t="s">
        <v>18</v>
      </c>
      <c r="F275">
        <v>2014091</v>
      </c>
      <c r="G275">
        <v>2014152</v>
      </c>
      <c r="H275">
        <v>9515</v>
      </c>
      <c r="I275">
        <v>2356</v>
      </c>
      <c r="J275">
        <v>50</v>
      </c>
      <c r="K275">
        <v>267</v>
      </c>
      <c r="L275">
        <v>346</v>
      </c>
      <c r="M275">
        <v>125</v>
      </c>
      <c r="N275">
        <v>28.380700000000001</v>
      </c>
      <c r="O275">
        <v>13.32742</v>
      </c>
      <c r="P275">
        <v>23.334019999999999</v>
      </c>
      <c r="Q275">
        <v>47130</v>
      </c>
    </row>
    <row r="276" spans="1:17" x14ac:dyDescent="0.25">
      <c r="A276" t="s">
        <v>16</v>
      </c>
      <c r="B276">
        <v>14</v>
      </c>
      <c r="C276">
        <v>1.45</v>
      </c>
      <c r="D276">
        <v>2015</v>
      </c>
      <c r="E276" t="s">
        <v>18</v>
      </c>
      <c r="F276">
        <v>2015091</v>
      </c>
      <c r="G276">
        <v>2015150</v>
      </c>
      <c r="H276">
        <v>6761</v>
      </c>
      <c r="I276">
        <v>1402</v>
      </c>
      <c r="J276">
        <v>50</v>
      </c>
      <c r="K276">
        <v>190</v>
      </c>
      <c r="L276">
        <v>159</v>
      </c>
      <c r="M276">
        <v>125</v>
      </c>
      <c r="N276">
        <v>29.6538</v>
      </c>
      <c r="O276">
        <v>13.73452</v>
      </c>
      <c r="P276">
        <v>23.767510000000001</v>
      </c>
      <c r="Q276">
        <v>28030</v>
      </c>
    </row>
    <row r="277" spans="1:17" x14ac:dyDescent="0.25">
      <c r="A277" t="s">
        <v>16</v>
      </c>
      <c r="B277">
        <v>14</v>
      </c>
      <c r="C277">
        <v>1.45</v>
      </c>
      <c r="D277">
        <v>2016</v>
      </c>
      <c r="E277" t="s">
        <v>18</v>
      </c>
      <c r="F277">
        <v>2016091</v>
      </c>
      <c r="G277">
        <v>2016158</v>
      </c>
      <c r="H277">
        <v>10642</v>
      </c>
      <c r="I277">
        <v>2742</v>
      </c>
      <c r="J277">
        <v>50</v>
      </c>
      <c r="K277">
        <v>275</v>
      </c>
      <c r="L277">
        <v>225</v>
      </c>
      <c r="M277">
        <v>125</v>
      </c>
      <c r="N277">
        <v>29.304069999999999</v>
      </c>
      <c r="O277">
        <v>13.03706</v>
      </c>
      <c r="P277">
        <v>23.8599</v>
      </c>
      <c r="Q277">
        <v>54840</v>
      </c>
    </row>
    <row r="278" spans="1:17" x14ac:dyDescent="0.25">
      <c r="A278" t="s">
        <v>16</v>
      </c>
      <c r="B278">
        <v>14</v>
      </c>
      <c r="C278">
        <v>1.45</v>
      </c>
      <c r="D278">
        <v>2017</v>
      </c>
      <c r="E278" t="s">
        <v>18</v>
      </c>
      <c r="F278">
        <v>2017091</v>
      </c>
      <c r="G278">
        <v>2017148</v>
      </c>
      <c r="H278">
        <v>9113</v>
      </c>
      <c r="I278">
        <v>2069</v>
      </c>
      <c r="J278">
        <v>50</v>
      </c>
      <c r="K278">
        <v>93</v>
      </c>
      <c r="L278">
        <v>254</v>
      </c>
      <c r="M278">
        <v>125</v>
      </c>
      <c r="N278">
        <v>31.704070000000002</v>
      </c>
      <c r="O278">
        <v>13.61726</v>
      </c>
      <c r="P278">
        <v>24.412690000000001</v>
      </c>
      <c r="Q278">
        <v>41381</v>
      </c>
    </row>
    <row r="279" spans="1:17" x14ac:dyDescent="0.25">
      <c r="A279" t="s">
        <v>16</v>
      </c>
      <c r="B279">
        <v>14</v>
      </c>
      <c r="C279">
        <v>1.45</v>
      </c>
      <c r="D279">
        <v>2018</v>
      </c>
      <c r="E279" t="s">
        <v>18</v>
      </c>
      <c r="F279">
        <v>2018091</v>
      </c>
      <c r="G279">
        <v>2018157</v>
      </c>
      <c r="H279">
        <v>9892</v>
      </c>
      <c r="I279">
        <v>2830</v>
      </c>
      <c r="J279">
        <v>50</v>
      </c>
      <c r="K279">
        <v>306</v>
      </c>
      <c r="L279">
        <v>130</v>
      </c>
      <c r="M279">
        <v>125</v>
      </c>
      <c r="N279">
        <v>29.07563</v>
      </c>
      <c r="O279">
        <v>13.6934</v>
      </c>
      <c r="P279">
        <v>22.77411</v>
      </c>
      <c r="Q279">
        <v>56600</v>
      </c>
    </row>
    <row r="280" spans="1:17" x14ac:dyDescent="0.25">
      <c r="A280" t="s">
        <v>16</v>
      </c>
      <c r="B280">
        <v>14</v>
      </c>
      <c r="C280">
        <v>1.45</v>
      </c>
      <c r="D280">
        <v>2019</v>
      </c>
      <c r="E280" t="s">
        <v>18</v>
      </c>
      <c r="F280">
        <v>2019091</v>
      </c>
      <c r="G280">
        <v>2019153</v>
      </c>
      <c r="H280">
        <v>4251</v>
      </c>
      <c r="I280">
        <v>707</v>
      </c>
      <c r="J280">
        <v>50</v>
      </c>
      <c r="K280">
        <v>102</v>
      </c>
      <c r="L280">
        <v>159</v>
      </c>
      <c r="M280">
        <v>125</v>
      </c>
      <c r="N280">
        <v>29.774619999999999</v>
      </c>
      <c r="O280">
        <v>13.24822</v>
      </c>
      <c r="P280">
        <v>24.235530000000001</v>
      </c>
      <c r="Q280">
        <v>14141</v>
      </c>
    </row>
    <row r="281" spans="1:17" x14ac:dyDescent="0.25">
      <c r="A281" t="s">
        <v>16</v>
      </c>
      <c r="B281">
        <v>14</v>
      </c>
      <c r="C281">
        <v>1.45</v>
      </c>
      <c r="D281">
        <v>2020</v>
      </c>
      <c r="E281" t="s">
        <v>18</v>
      </c>
      <c r="F281">
        <v>2020091</v>
      </c>
      <c r="G281">
        <v>2020151</v>
      </c>
      <c r="H281">
        <v>10299</v>
      </c>
      <c r="I281">
        <v>2884</v>
      </c>
      <c r="J281">
        <v>50</v>
      </c>
      <c r="K281">
        <v>201</v>
      </c>
      <c r="L281">
        <v>202</v>
      </c>
      <c r="M281">
        <v>125</v>
      </c>
      <c r="N281">
        <v>29.84975</v>
      </c>
      <c r="O281">
        <v>13.92132</v>
      </c>
      <c r="P281">
        <v>23.44163</v>
      </c>
      <c r="Q281">
        <v>57675</v>
      </c>
    </row>
    <row r="282" spans="1:17" x14ac:dyDescent="0.25">
      <c r="A282" t="s">
        <v>16</v>
      </c>
      <c r="B282">
        <v>15</v>
      </c>
      <c r="C282">
        <v>1.52</v>
      </c>
      <c r="D282">
        <v>2001</v>
      </c>
      <c r="E282" t="s">
        <v>17</v>
      </c>
      <c r="F282">
        <v>2001074</v>
      </c>
      <c r="G282">
        <v>2001153</v>
      </c>
      <c r="H282">
        <v>10227</v>
      </c>
      <c r="I282">
        <v>2494</v>
      </c>
      <c r="J282">
        <v>50</v>
      </c>
      <c r="K282">
        <v>225</v>
      </c>
      <c r="L282">
        <v>235</v>
      </c>
      <c r="M282">
        <v>125</v>
      </c>
      <c r="N282">
        <v>26.95234</v>
      </c>
      <c r="O282">
        <v>13.024760000000001</v>
      </c>
      <c r="P282">
        <v>23.194870000000002</v>
      </c>
      <c r="Q282">
        <v>44893</v>
      </c>
    </row>
    <row r="283" spans="1:17" x14ac:dyDescent="0.25">
      <c r="A283" t="s">
        <v>16</v>
      </c>
      <c r="B283">
        <v>15</v>
      </c>
      <c r="C283">
        <v>1.52</v>
      </c>
      <c r="D283">
        <v>2002</v>
      </c>
      <c r="E283" t="s">
        <v>17</v>
      </c>
      <c r="F283">
        <v>2002074</v>
      </c>
      <c r="G283">
        <v>2002154</v>
      </c>
      <c r="H283">
        <v>8421</v>
      </c>
      <c r="I283">
        <v>1138</v>
      </c>
      <c r="J283">
        <v>50</v>
      </c>
      <c r="K283">
        <v>182</v>
      </c>
      <c r="L283">
        <v>191</v>
      </c>
      <c r="M283">
        <v>125</v>
      </c>
      <c r="N283">
        <v>26.644860000000001</v>
      </c>
      <c r="O283">
        <v>12.84393</v>
      </c>
      <c r="P283">
        <v>22.83785</v>
      </c>
      <c r="Q283">
        <v>20485</v>
      </c>
    </row>
    <row r="284" spans="1:17" x14ac:dyDescent="0.25">
      <c r="A284" t="s">
        <v>16</v>
      </c>
      <c r="B284">
        <v>15</v>
      </c>
      <c r="C284">
        <v>1.52</v>
      </c>
      <c r="D284">
        <v>2003</v>
      </c>
      <c r="E284" t="s">
        <v>17</v>
      </c>
      <c r="F284">
        <v>2003074</v>
      </c>
      <c r="G284">
        <v>2003152</v>
      </c>
      <c r="H284">
        <v>4230</v>
      </c>
      <c r="I284">
        <v>433</v>
      </c>
      <c r="J284">
        <v>50</v>
      </c>
      <c r="K284">
        <v>74</v>
      </c>
      <c r="L284">
        <v>90</v>
      </c>
      <c r="M284">
        <v>125</v>
      </c>
      <c r="N284">
        <v>27.743929999999999</v>
      </c>
      <c r="O284">
        <v>13.48598</v>
      </c>
      <c r="P284">
        <v>22.79158</v>
      </c>
      <c r="Q284">
        <v>7800</v>
      </c>
    </row>
    <row r="285" spans="1:17" x14ac:dyDescent="0.25">
      <c r="A285" t="s">
        <v>16</v>
      </c>
      <c r="B285">
        <v>15</v>
      </c>
      <c r="C285">
        <v>1.52</v>
      </c>
      <c r="D285">
        <v>2004</v>
      </c>
      <c r="E285" t="s">
        <v>17</v>
      </c>
      <c r="F285">
        <v>2004074</v>
      </c>
      <c r="G285">
        <v>2004157</v>
      </c>
      <c r="H285">
        <v>12021</v>
      </c>
      <c r="I285">
        <v>3335</v>
      </c>
      <c r="J285">
        <v>50</v>
      </c>
      <c r="K285">
        <v>243</v>
      </c>
      <c r="L285">
        <v>308</v>
      </c>
      <c r="M285">
        <v>125</v>
      </c>
      <c r="N285">
        <v>27.68084</v>
      </c>
      <c r="O285">
        <v>12.85047</v>
      </c>
      <c r="P285">
        <v>23.241579999999999</v>
      </c>
      <c r="Q285">
        <v>60033</v>
      </c>
    </row>
    <row r="286" spans="1:17" x14ac:dyDescent="0.25">
      <c r="A286" t="s">
        <v>16</v>
      </c>
      <c r="B286">
        <v>15</v>
      </c>
      <c r="C286">
        <v>1.52</v>
      </c>
      <c r="D286">
        <v>2005</v>
      </c>
      <c r="E286" t="s">
        <v>17</v>
      </c>
      <c r="F286">
        <v>2005074</v>
      </c>
      <c r="G286">
        <v>2005151</v>
      </c>
      <c r="H286">
        <v>7063</v>
      </c>
      <c r="I286">
        <v>1076</v>
      </c>
      <c r="J286">
        <v>50</v>
      </c>
      <c r="K286">
        <v>163</v>
      </c>
      <c r="L286">
        <v>172</v>
      </c>
      <c r="M286">
        <v>125</v>
      </c>
      <c r="N286">
        <v>28.805140000000002</v>
      </c>
      <c r="O286">
        <v>13.10467</v>
      </c>
      <c r="P286">
        <v>23.347190000000001</v>
      </c>
      <c r="Q286">
        <v>19372</v>
      </c>
    </row>
    <row r="287" spans="1:17" x14ac:dyDescent="0.25">
      <c r="A287" t="s">
        <v>16</v>
      </c>
      <c r="B287">
        <v>15</v>
      </c>
      <c r="C287">
        <v>1.52</v>
      </c>
      <c r="D287">
        <v>2006</v>
      </c>
      <c r="E287" t="s">
        <v>17</v>
      </c>
      <c r="F287">
        <v>2006074</v>
      </c>
      <c r="G287">
        <v>2006147</v>
      </c>
      <c r="H287">
        <v>5502</v>
      </c>
      <c r="I287">
        <v>1084</v>
      </c>
      <c r="J287">
        <v>50</v>
      </c>
      <c r="K287">
        <v>131</v>
      </c>
      <c r="L287">
        <v>205</v>
      </c>
      <c r="M287">
        <v>125</v>
      </c>
      <c r="N287">
        <v>28.91075</v>
      </c>
      <c r="O287">
        <v>13.59346</v>
      </c>
      <c r="P287">
        <v>22.645320000000002</v>
      </c>
      <c r="Q287">
        <v>19518</v>
      </c>
    </row>
    <row r="288" spans="1:17" x14ac:dyDescent="0.25">
      <c r="A288" t="s">
        <v>16</v>
      </c>
      <c r="B288">
        <v>15</v>
      </c>
      <c r="C288">
        <v>1.52</v>
      </c>
      <c r="D288">
        <v>2007</v>
      </c>
      <c r="E288" t="s">
        <v>17</v>
      </c>
      <c r="F288">
        <v>2007074</v>
      </c>
      <c r="G288">
        <v>2007155</v>
      </c>
      <c r="H288">
        <v>11794</v>
      </c>
      <c r="I288">
        <v>3391</v>
      </c>
      <c r="J288">
        <v>50</v>
      </c>
      <c r="K288">
        <v>256</v>
      </c>
      <c r="L288">
        <v>364</v>
      </c>
      <c r="M288">
        <v>125</v>
      </c>
      <c r="N288">
        <v>26.823370000000001</v>
      </c>
      <c r="O288">
        <v>12.40047</v>
      </c>
      <c r="P288">
        <v>22.639720000000001</v>
      </c>
      <c r="Q288">
        <v>61047</v>
      </c>
    </row>
    <row r="289" spans="1:17" x14ac:dyDescent="0.25">
      <c r="A289" t="s">
        <v>16</v>
      </c>
      <c r="B289">
        <v>15</v>
      </c>
      <c r="C289">
        <v>1.52</v>
      </c>
      <c r="D289">
        <v>2008</v>
      </c>
      <c r="E289" t="s">
        <v>17</v>
      </c>
      <c r="F289">
        <v>2008074</v>
      </c>
      <c r="G289">
        <v>2008157</v>
      </c>
      <c r="H289">
        <v>11254</v>
      </c>
      <c r="I289">
        <v>2951</v>
      </c>
      <c r="J289">
        <v>50</v>
      </c>
      <c r="K289">
        <v>208</v>
      </c>
      <c r="L289">
        <v>198</v>
      </c>
      <c r="M289">
        <v>125</v>
      </c>
      <c r="N289">
        <v>26.799530000000001</v>
      </c>
      <c r="O289">
        <v>12.018219999999999</v>
      </c>
      <c r="P289">
        <v>22.70093</v>
      </c>
      <c r="Q289">
        <v>53109</v>
      </c>
    </row>
    <row r="290" spans="1:17" x14ac:dyDescent="0.25">
      <c r="A290" t="s">
        <v>16</v>
      </c>
      <c r="B290">
        <v>15</v>
      </c>
      <c r="C290">
        <v>1.52</v>
      </c>
      <c r="D290">
        <v>2009</v>
      </c>
      <c r="E290" t="s">
        <v>17</v>
      </c>
      <c r="F290">
        <v>2009074</v>
      </c>
      <c r="G290">
        <v>2009152</v>
      </c>
      <c r="H290">
        <v>8209</v>
      </c>
      <c r="I290">
        <v>1382</v>
      </c>
      <c r="J290">
        <v>50</v>
      </c>
      <c r="K290">
        <v>141</v>
      </c>
      <c r="L290">
        <v>219</v>
      </c>
      <c r="M290">
        <v>125</v>
      </c>
      <c r="N290">
        <v>28.447659999999999</v>
      </c>
      <c r="O290">
        <v>12.70327</v>
      </c>
      <c r="P290">
        <v>23.0444</v>
      </c>
      <c r="Q290">
        <v>24868</v>
      </c>
    </row>
    <row r="291" spans="1:17" x14ac:dyDescent="0.25">
      <c r="A291" t="s">
        <v>16</v>
      </c>
      <c r="B291">
        <v>15</v>
      </c>
      <c r="C291">
        <v>1.52</v>
      </c>
      <c r="D291">
        <v>2010</v>
      </c>
      <c r="E291" t="s">
        <v>18</v>
      </c>
      <c r="F291">
        <v>2010074</v>
      </c>
      <c r="G291">
        <v>2010145</v>
      </c>
      <c r="H291">
        <v>10257</v>
      </c>
      <c r="I291">
        <v>3443</v>
      </c>
      <c r="J291">
        <v>50</v>
      </c>
      <c r="K291">
        <v>271</v>
      </c>
      <c r="L291">
        <v>467</v>
      </c>
      <c r="M291">
        <v>125</v>
      </c>
      <c r="N291">
        <v>28.176629999999999</v>
      </c>
      <c r="O291">
        <v>13.269629999999999</v>
      </c>
      <c r="P291">
        <v>22.800930000000001</v>
      </c>
      <c r="Q291">
        <v>61972</v>
      </c>
    </row>
    <row r="292" spans="1:17" x14ac:dyDescent="0.25">
      <c r="A292" t="s">
        <v>16</v>
      </c>
      <c r="B292">
        <v>15</v>
      </c>
      <c r="C292">
        <v>1.52</v>
      </c>
      <c r="D292">
        <v>2011</v>
      </c>
      <c r="E292" t="s">
        <v>18</v>
      </c>
      <c r="F292">
        <v>2011074</v>
      </c>
      <c r="G292">
        <v>2011139</v>
      </c>
      <c r="H292">
        <v>12170</v>
      </c>
      <c r="I292">
        <v>5095</v>
      </c>
      <c r="J292">
        <v>50</v>
      </c>
      <c r="K292">
        <v>213</v>
      </c>
      <c r="L292">
        <v>316</v>
      </c>
      <c r="M292">
        <v>125</v>
      </c>
      <c r="N292">
        <v>28.825230000000001</v>
      </c>
      <c r="O292">
        <v>13.140650000000001</v>
      </c>
      <c r="P292">
        <v>23.24953</v>
      </c>
      <c r="Q292">
        <v>91716</v>
      </c>
    </row>
    <row r="293" spans="1:17" x14ac:dyDescent="0.25">
      <c r="A293" t="s">
        <v>16</v>
      </c>
      <c r="B293">
        <v>15</v>
      </c>
      <c r="C293">
        <v>1.52</v>
      </c>
      <c r="D293">
        <v>2012</v>
      </c>
      <c r="E293" t="s">
        <v>18</v>
      </c>
      <c r="F293">
        <v>2012074</v>
      </c>
      <c r="G293">
        <v>2012156</v>
      </c>
      <c r="H293">
        <v>5039</v>
      </c>
      <c r="I293">
        <v>852</v>
      </c>
      <c r="J293">
        <v>50</v>
      </c>
      <c r="K293">
        <v>146</v>
      </c>
      <c r="L293">
        <v>143</v>
      </c>
      <c r="M293">
        <v>125</v>
      </c>
      <c r="N293">
        <v>27.79252</v>
      </c>
      <c r="O293">
        <v>12.34112</v>
      </c>
      <c r="P293">
        <v>22.88551</v>
      </c>
      <c r="Q293">
        <v>15328</v>
      </c>
    </row>
    <row r="294" spans="1:17" x14ac:dyDescent="0.25">
      <c r="A294" t="s">
        <v>16</v>
      </c>
      <c r="B294">
        <v>15</v>
      </c>
      <c r="C294">
        <v>1.52</v>
      </c>
      <c r="D294">
        <v>2013</v>
      </c>
      <c r="E294" t="s">
        <v>18</v>
      </c>
      <c r="F294">
        <v>2013074</v>
      </c>
      <c r="G294">
        <v>2013147</v>
      </c>
      <c r="H294">
        <v>7822</v>
      </c>
      <c r="I294">
        <v>1541</v>
      </c>
      <c r="J294">
        <v>50</v>
      </c>
      <c r="K294">
        <v>316</v>
      </c>
      <c r="L294">
        <v>325</v>
      </c>
      <c r="M294">
        <v>125</v>
      </c>
      <c r="N294">
        <v>28.334099999999999</v>
      </c>
      <c r="O294">
        <v>12.199059999999999</v>
      </c>
      <c r="P294">
        <v>23.418220000000002</v>
      </c>
      <c r="Q294">
        <v>27733</v>
      </c>
    </row>
    <row r="295" spans="1:17" x14ac:dyDescent="0.25">
      <c r="A295" t="s">
        <v>16</v>
      </c>
      <c r="B295">
        <v>15</v>
      </c>
      <c r="C295">
        <v>1.52</v>
      </c>
      <c r="D295">
        <v>2014</v>
      </c>
      <c r="E295" t="s">
        <v>18</v>
      </c>
      <c r="F295">
        <v>2014074</v>
      </c>
      <c r="G295">
        <v>2014141</v>
      </c>
      <c r="H295">
        <v>10255</v>
      </c>
      <c r="I295">
        <v>3034</v>
      </c>
      <c r="J295">
        <v>50</v>
      </c>
      <c r="K295">
        <v>267</v>
      </c>
      <c r="L295">
        <v>346</v>
      </c>
      <c r="M295">
        <v>125</v>
      </c>
      <c r="N295">
        <v>27.617760000000001</v>
      </c>
      <c r="O295">
        <v>12.66916</v>
      </c>
      <c r="P295">
        <v>22.81683</v>
      </c>
      <c r="Q295">
        <v>54619</v>
      </c>
    </row>
    <row r="296" spans="1:17" x14ac:dyDescent="0.25">
      <c r="A296" t="s">
        <v>16</v>
      </c>
      <c r="B296">
        <v>15</v>
      </c>
      <c r="C296">
        <v>1.52</v>
      </c>
      <c r="D296">
        <v>2015</v>
      </c>
      <c r="E296" t="s">
        <v>18</v>
      </c>
      <c r="F296">
        <v>2015074</v>
      </c>
      <c r="G296">
        <v>2015141</v>
      </c>
      <c r="H296">
        <v>7678</v>
      </c>
      <c r="I296">
        <v>2360</v>
      </c>
      <c r="J296">
        <v>50</v>
      </c>
      <c r="K296">
        <v>190</v>
      </c>
      <c r="L296">
        <v>159</v>
      </c>
      <c r="M296">
        <v>125</v>
      </c>
      <c r="N296">
        <v>28.844390000000001</v>
      </c>
      <c r="O296">
        <v>13.119619999999999</v>
      </c>
      <c r="P296">
        <v>23.194859999999998</v>
      </c>
      <c r="Q296">
        <v>42479</v>
      </c>
    </row>
    <row r="297" spans="1:17" x14ac:dyDescent="0.25">
      <c r="A297" t="s">
        <v>16</v>
      </c>
      <c r="B297">
        <v>15</v>
      </c>
      <c r="C297">
        <v>1.52</v>
      </c>
      <c r="D297">
        <v>2016</v>
      </c>
      <c r="E297" t="s">
        <v>18</v>
      </c>
      <c r="F297">
        <v>2016074</v>
      </c>
      <c r="G297">
        <v>2016151</v>
      </c>
      <c r="H297">
        <v>12137</v>
      </c>
      <c r="I297">
        <v>3950</v>
      </c>
      <c r="J297">
        <v>50</v>
      </c>
      <c r="K297">
        <v>275</v>
      </c>
      <c r="L297">
        <v>225</v>
      </c>
      <c r="M297">
        <v>125</v>
      </c>
      <c r="N297">
        <v>28.35981</v>
      </c>
      <c r="O297">
        <v>12.45421</v>
      </c>
      <c r="P297">
        <v>23.214950000000002</v>
      </c>
      <c r="Q297">
        <v>71109</v>
      </c>
    </row>
    <row r="298" spans="1:17" x14ac:dyDescent="0.25">
      <c r="A298" t="s">
        <v>16</v>
      </c>
      <c r="B298">
        <v>15</v>
      </c>
      <c r="C298">
        <v>1.52</v>
      </c>
      <c r="D298">
        <v>2017</v>
      </c>
      <c r="E298" t="s">
        <v>18</v>
      </c>
      <c r="F298">
        <v>2017074</v>
      </c>
      <c r="G298">
        <v>2017142</v>
      </c>
      <c r="H298">
        <v>9284</v>
      </c>
      <c r="I298">
        <v>2378</v>
      </c>
      <c r="J298">
        <v>50</v>
      </c>
      <c r="K298">
        <v>93</v>
      </c>
      <c r="L298">
        <v>254</v>
      </c>
      <c r="M298">
        <v>125</v>
      </c>
      <c r="N298">
        <v>30.696729999999999</v>
      </c>
      <c r="O298">
        <v>12.98738</v>
      </c>
      <c r="P298">
        <v>23.798590000000001</v>
      </c>
      <c r="Q298">
        <v>42799</v>
      </c>
    </row>
    <row r="299" spans="1:17" x14ac:dyDescent="0.25">
      <c r="A299" t="s">
        <v>16</v>
      </c>
      <c r="B299">
        <v>15</v>
      </c>
      <c r="C299">
        <v>1.52</v>
      </c>
      <c r="D299">
        <v>2018</v>
      </c>
      <c r="E299" t="s">
        <v>18</v>
      </c>
      <c r="F299">
        <v>2018074</v>
      </c>
      <c r="G299">
        <v>2018151</v>
      </c>
      <c r="H299">
        <v>9488</v>
      </c>
      <c r="I299">
        <v>2913</v>
      </c>
      <c r="J299">
        <v>50</v>
      </c>
      <c r="K299">
        <v>306</v>
      </c>
      <c r="L299">
        <v>130</v>
      </c>
      <c r="M299">
        <v>125</v>
      </c>
      <c r="N299">
        <v>28.02102</v>
      </c>
      <c r="O299">
        <v>13.03645</v>
      </c>
      <c r="P299">
        <v>22.382709999999999</v>
      </c>
      <c r="Q299">
        <v>52426</v>
      </c>
    </row>
    <row r="300" spans="1:17" x14ac:dyDescent="0.25">
      <c r="A300" t="s">
        <v>16</v>
      </c>
      <c r="B300">
        <v>15</v>
      </c>
      <c r="C300">
        <v>1.52</v>
      </c>
      <c r="D300">
        <v>2019</v>
      </c>
      <c r="E300" t="s">
        <v>18</v>
      </c>
      <c r="F300">
        <v>2019074</v>
      </c>
      <c r="G300">
        <v>2019144</v>
      </c>
      <c r="H300">
        <v>5115</v>
      </c>
      <c r="I300">
        <v>1540</v>
      </c>
      <c r="J300">
        <v>50</v>
      </c>
      <c r="K300">
        <v>102</v>
      </c>
      <c r="L300">
        <v>159</v>
      </c>
      <c r="M300">
        <v>125</v>
      </c>
      <c r="N300">
        <v>29.18411</v>
      </c>
      <c r="O300">
        <v>12.50234</v>
      </c>
      <c r="P300">
        <v>24.013079999999999</v>
      </c>
      <c r="Q300">
        <v>27724</v>
      </c>
    </row>
    <row r="301" spans="1:17" x14ac:dyDescent="0.25">
      <c r="A301" t="s">
        <v>16</v>
      </c>
      <c r="B301">
        <v>15</v>
      </c>
      <c r="C301">
        <v>1.52</v>
      </c>
      <c r="D301">
        <v>2020</v>
      </c>
      <c r="E301" t="s">
        <v>18</v>
      </c>
      <c r="F301">
        <v>2020074</v>
      </c>
      <c r="G301">
        <v>2020147</v>
      </c>
      <c r="H301">
        <v>10650</v>
      </c>
      <c r="I301">
        <v>3134</v>
      </c>
      <c r="J301">
        <v>50</v>
      </c>
      <c r="K301">
        <v>201</v>
      </c>
      <c r="L301">
        <v>202</v>
      </c>
      <c r="M301">
        <v>125</v>
      </c>
      <c r="N301">
        <v>28.948599999999999</v>
      </c>
      <c r="O301">
        <v>13.36215</v>
      </c>
      <c r="P301">
        <v>22.88458</v>
      </c>
      <c r="Q301">
        <v>56412</v>
      </c>
    </row>
    <row r="302" spans="1:17" x14ac:dyDescent="0.25">
      <c r="A302" t="s">
        <v>19</v>
      </c>
      <c r="B302">
        <v>16</v>
      </c>
      <c r="C302">
        <v>0.98</v>
      </c>
      <c r="D302">
        <v>2001</v>
      </c>
      <c r="E302" t="s">
        <v>17</v>
      </c>
      <c r="F302">
        <v>2001105</v>
      </c>
      <c r="G302">
        <v>2001173</v>
      </c>
      <c r="H302">
        <v>6003</v>
      </c>
      <c r="I302">
        <v>305</v>
      </c>
      <c r="J302">
        <v>50</v>
      </c>
      <c r="K302">
        <v>367</v>
      </c>
      <c r="L302">
        <v>235</v>
      </c>
      <c r="M302">
        <v>100</v>
      </c>
      <c r="N302">
        <v>28.827860000000001</v>
      </c>
      <c r="O302">
        <v>13.722950000000001</v>
      </c>
      <c r="P302">
        <v>25.243169999999999</v>
      </c>
      <c r="Q302">
        <v>10662</v>
      </c>
    </row>
    <row r="303" spans="1:17" x14ac:dyDescent="0.25">
      <c r="A303" t="s">
        <v>19</v>
      </c>
      <c r="B303">
        <v>16</v>
      </c>
      <c r="C303">
        <v>0.98</v>
      </c>
      <c r="D303">
        <v>2002</v>
      </c>
      <c r="E303" t="s">
        <v>17</v>
      </c>
      <c r="F303">
        <v>2002105</v>
      </c>
      <c r="G303">
        <v>2002173</v>
      </c>
      <c r="H303">
        <v>6202</v>
      </c>
      <c r="I303">
        <v>261</v>
      </c>
      <c r="J303">
        <v>50</v>
      </c>
      <c r="K303">
        <v>253</v>
      </c>
      <c r="L303">
        <v>192</v>
      </c>
      <c r="M303">
        <v>100</v>
      </c>
      <c r="N303">
        <v>28.205449999999999</v>
      </c>
      <c r="O303">
        <v>12.78524</v>
      </c>
      <c r="P303">
        <v>25.66011</v>
      </c>
      <c r="Q303">
        <v>9142</v>
      </c>
    </row>
    <row r="304" spans="1:17" x14ac:dyDescent="0.25">
      <c r="A304" t="s">
        <v>19</v>
      </c>
      <c r="B304">
        <v>16</v>
      </c>
      <c r="C304">
        <v>0.98</v>
      </c>
      <c r="D304">
        <v>2003</v>
      </c>
      <c r="E304" t="s">
        <v>17</v>
      </c>
      <c r="F304">
        <v>2003105</v>
      </c>
      <c r="G304">
        <v>2003169</v>
      </c>
      <c r="H304">
        <v>5717</v>
      </c>
      <c r="I304">
        <v>228</v>
      </c>
      <c r="J304">
        <v>50</v>
      </c>
      <c r="K304">
        <v>233</v>
      </c>
      <c r="L304">
        <v>246</v>
      </c>
      <c r="M304">
        <v>100</v>
      </c>
      <c r="N304">
        <v>29.84863</v>
      </c>
      <c r="O304">
        <v>14.468310000000001</v>
      </c>
      <c r="P304">
        <v>26.245360000000002</v>
      </c>
      <c r="Q304">
        <v>7966</v>
      </c>
    </row>
    <row r="305" spans="1:17" x14ac:dyDescent="0.25">
      <c r="A305" t="s">
        <v>19</v>
      </c>
      <c r="B305">
        <v>16</v>
      </c>
      <c r="C305">
        <v>0.98</v>
      </c>
      <c r="D305">
        <v>2004</v>
      </c>
      <c r="E305" t="s">
        <v>17</v>
      </c>
      <c r="F305">
        <v>2004105</v>
      </c>
      <c r="G305">
        <v>2004176</v>
      </c>
      <c r="H305">
        <v>5849</v>
      </c>
      <c r="I305">
        <v>539</v>
      </c>
      <c r="J305">
        <v>50</v>
      </c>
      <c r="K305">
        <v>294</v>
      </c>
      <c r="L305">
        <v>417</v>
      </c>
      <c r="M305">
        <v>100</v>
      </c>
      <c r="N305">
        <v>29.186889999999998</v>
      </c>
      <c r="O305">
        <v>13.10219</v>
      </c>
      <c r="P305">
        <v>25.556830000000001</v>
      </c>
      <c r="Q305">
        <v>18863</v>
      </c>
    </row>
    <row r="306" spans="1:17" x14ac:dyDescent="0.25">
      <c r="A306" t="s">
        <v>19</v>
      </c>
      <c r="B306">
        <v>16</v>
      </c>
      <c r="C306">
        <v>0.98</v>
      </c>
      <c r="D306">
        <v>2005</v>
      </c>
      <c r="E306" t="s">
        <v>17</v>
      </c>
      <c r="F306">
        <v>2005105</v>
      </c>
      <c r="G306">
        <v>2005166</v>
      </c>
      <c r="H306">
        <v>3791</v>
      </c>
      <c r="I306">
        <v>374</v>
      </c>
      <c r="J306">
        <v>50</v>
      </c>
      <c r="K306">
        <v>127</v>
      </c>
      <c r="L306">
        <v>180</v>
      </c>
      <c r="M306">
        <v>100</v>
      </c>
      <c r="N306">
        <v>30.51858</v>
      </c>
      <c r="O306">
        <v>13.84972</v>
      </c>
      <c r="P306">
        <v>26.609300000000001</v>
      </c>
      <c r="Q306">
        <v>13100</v>
      </c>
    </row>
    <row r="307" spans="1:17" x14ac:dyDescent="0.25">
      <c r="A307" t="s">
        <v>19</v>
      </c>
      <c r="B307">
        <v>16</v>
      </c>
      <c r="C307">
        <v>0.98</v>
      </c>
      <c r="D307">
        <v>2006</v>
      </c>
      <c r="E307" t="s">
        <v>17</v>
      </c>
      <c r="F307">
        <v>2006105</v>
      </c>
      <c r="G307">
        <v>2006168</v>
      </c>
      <c r="H307">
        <v>4576</v>
      </c>
      <c r="I307">
        <v>752</v>
      </c>
      <c r="J307">
        <v>50</v>
      </c>
      <c r="K307">
        <v>235</v>
      </c>
      <c r="L307">
        <v>129</v>
      </c>
      <c r="M307">
        <v>100</v>
      </c>
      <c r="N307">
        <v>30.556280000000001</v>
      </c>
      <c r="O307">
        <v>14.12459</v>
      </c>
      <c r="P307">
        <v>24.474319999999999</v>
      </c>
      <c r="Q307">
        <v>26316</v>
      </c>
    </row>
    <row r="308" spans="1:17" x14ac:dyDescent="0.25">
      <c r="A308" t="s">
        <v>19</v>
      </c>
      <c r="B308">
        <v>16</v>
      </c>
      <c r="C308">
        <v>0.98</v>
      </c>
      <c r="D308">
        <v>2007</v>
      </c>
      <c r="E308" t="s">
        <v>17</v>
      </c>
      <c r="F308">
        <v>2007105</v>
      </c>
      <c r="G308">
        <v>2007175</v>
      </c>
      <c r="H308">
        <v>6883</v>
      </c>
      <c r="I308">
        <v>864</v>
      </c>
      <c r="J308">
        <v>50</v>
      </c>
      <c r="K308">
        <v>258</v>
      </c>
      <c r="L308">
        <v>349</v>
      </c>
      <c r="M308">
        <v>100</v>
      </c>
      <c r="N308">
        <v>28.787990000000001</v>
      </c>
      <c r="O308">
        <v>13.060650000000001</v>
      </c>
      <c r="P308">
        <v>23.89781</v>
      </c>
      <c r="Q308">
        <v>30229</v>
      </c>
    </row>
    <row r="309" spans="1:17" x14ac:dyDescent="0.25">
      <c r="A309" t="s">
        <v>19</v>
      </c>
      <c r="B309">
        <v>16</v>
      </c>
      <c r="C309">
        <v>0.98</v>
      </c>
      <c r="D309">
        <v>2008</v>
      </c>
      <c r="E309" t="s">
        <v>18</v>
      </c>
      <c r="F309">
        <v>2008105</v>
      </c>
      <c r="G309">
        <v>2008171</v>
      </c>
      <c r="H309">
        <v>7181</v>
      </c>
      <c r="I309">
        <v>1070</v>
      </c>
      <c r="J309">
        <v>50</v>
      </c>
      <c r="K309">
        <v>331</v>
      </c>
      <c r="L309">
        <v>176</v>
      </c>
      <c r="M309">
        <v>100</v>
      </c>
      <c r="N309">
        <v>27.680319999999998</v>
      </c>
      <c r="O309">
        <v>12.710380000000001</v>
      </c>
      <c r="P309">
        <v>23.45082</v>
      </c>
      <c r="Q309">
        <v>37455</v>
      </c>
    </row>
    <row r="310" spans="1:17" x14ac:dyDescent="0.25">
      <c r="A310" t="s">
        <v>19</v>
      </c>
      <c r="B310">
        <v>16</v>
      </c>
      <c r="C310">
        <v>0.98</v>
      </c>
      <c r="D310">
        <v>2009</v>
      </c>
      <c r="E310" t="s">
        <v>18</v>
      </c>
      <c r="F310">
        <v>2009105</v>
      </c>
      <c r="G310">
        <v>2009167</v>
      </c>
      <c r="H310">
        <v>6020</v>
      </c>
      <c r="I310">
        <v>736</v>
      </c>
      <c r="J310">
        <v>50</v>
      </c>
      <c r="K310">
        <v>106</v>
      </c>
      <c r="L310">
        <v>231</v>
      </c>
      <c r="M310">
        <v>100</v>
      </c>
      <c r="N310">
        <v>30.207630000000002</v>
      </c>
      <c r="O310">
        <v>13.39672</v>
      </c>
      <c r="P310">
        <v>24.414200000000001</v>
      </c>
      <c r="Q310">
        <v>25766</v>
      </c>
    </row>
    <row r="311" spans="1:17" x14ac:dyDescent="0.25">
      <c r="A311" t="s">
        <v>19</v>
      </c>
      <c r="B311">
        <v>16</v>
      </c>
      <c r="C311">
        <v>0.98</v>
      </c>
      <c r="D311">
        <v>2010</v>
      </c>
      <c r="E311" t="s">
        <v>18</v>
      </c>
      <c r="F311">
        <v>2010105</v>
      </c>
      <c r="G311">
        <v>2010166</v>
      </c>
      <c r="H311">
        <v>7674</v>
      </c>
      <c r="I311">
        <v>2133</v>
      </c>
      <c r="J311">
        <v>50</v>
      </c>
      <c r="K311">
        <v>357</v>
      </c>
      <c r="L311">
        <v>548</v>
      </c>
      <c r="M311">
        <v>100</v>
      </c>
      <c r="N311">
        <v>29.127870000000001</v>
      </c>
      <c r="O311">
        <v>14.28908</v>
      </c>
      <c r="P311">
        <v>24.13334</v>
      </c>
      <c r="Q311">
        <v>74653</v>
      </c>
    </row>
    <row r="312" spans="1:17" x14ac:dyDescent="0.25">
      <c r="A312" t="s">
        <v>19</v>
      </c>
      <c r="B312">
        <v>16</v>
      </c>
      <c r="C312">
        <v>0.98</v>
      </c>
      <c r="D312">
        <v>2011</v>
      </c>
      <c r="E312" t="s">
        <v>18</v>
      </c>
      <c r="F312">
        <v>2011105</v>
      </c>
      <c r="G312">
        <v>2011164</v>
      </c>
      <c r="H312">
        <v>7652</v>
      </c>
      <c r="I312">
        <v>1718</v>
      </c>
      <c r="J312">
        <v>50</v>
      </c>
      <c r="K312">
        <v>224</v>
      </c>
      <c r="L312">
        <v>482</v>
      </c>
      <c r="M312">
        <v>100</v>
      </c>
      <c r="N312">
        <v>30.398910000000001</v>
      </c>
      <c r="O312">
        <v>13.246449999999999</v>
      </c>
      <c r="P312">
        <v>23.627320000000001</v>
      </c>
      <c r="Q312">
        <v>60125</v>
      </c>
    </row>
    <row r="313" spans="1:17" x14ac:dyDescent="0.25">
      <c r="A313" t="s">
        <v>19</v>
      </c>
      <c r="B313">
        <v>16</v>
      </c>
      <c r="C313">
        <v>0.98</v>
      </c>
      <c r="D313">
        <v>2012</v>
      </c>
      <c r="E313" t="s">
        <v>18</v>
      </c>
      <c r="F313">
        <v>2012105</v>
      </c>
      <c r="G313">
        <v>2012166</v>
      </c>
      <c r="H313">
        <v>3662</v>
      </c>
      <c r="I313">
        <v>656</v>
      </c>
      <c r="J313">
        <v>50</v>
      </c>
      <c r="K313">
        <v>213</v>
      </c>
      <c r="L313">
        <v>159</v>
      </c>
      <c r="M313">
        <v>100</v>
      </c>
      <c r="N313">
        <v>29.80602</v>
      </c>
      <c r="O313">
        <v>13.278689999999999</v>
      </c>
      <c r="P313">
        <v>24.363389999999999</v>
      </c>
      <c r="Q313">
        <v>22959</v>
      </c>
    </row>
    <row r="314" spans="1:17" x14ac:dyDescent="0.25">
      <c r="A314" t="s">
        <v>19</v>
      </c>
      <c r="B314">
        <v>16</v>
      </c>
      <c r="C314">
        <v>0.98</v>
      </c>
      <c r="D314">
        <v>2013</v>
      </c>
      <c r="E314" t="s">
        <v>18</v>
      </c>
      <c r="F314">
        <v>2013105</v>
      </c>
      <c r="G314">
        <v>2013171</v>
      </c>
      <c r="H314">
        <v>6198</v>
      </c>
      <c r="I314">
        <v>1076</v>
      </c>
      <c r="J314">
        <v>50</v>
      </c>
      <c r="K314">
        <v>289</v>
      </c>
      <c r="L314">
        <v>316</v>
      </c>
      <c r="M314">
        <v>100</v>
      </c>
      <c r="N314">
        <v>29.261759999999999</v>
      </c>
      <c r="O314">
        <v>12.67267</v>
      </c>
      <c r="P314">
        <v>24.389620000000001</v>
      </c>
      <c r="Q314">
        <v>37663</v>
      </c>
    </row>
    <row r="315" spans="1:17" x14ac:dyDescent="0.25">
      <c r="A315" t="s">
        <v>19</v>
      </c>
      <c r="B315">
        <v>16</v>
      </c>
      <c r="C315">
        <v>0.98</v>
      </c>
      <c r="D315">
        <v>2014</v>
      </c>
      <c r="E315" t="s">
        <v>18</v>
      </c>
      <c r="F315">
        <v>2014105</v>
      </c>
      <c r="G315">
        <v>2014165</v>
      </c>
      <c r="H315">
        <v>7145</v>
      </c>
      <c r="I315">
        <v>1232</v>
      </c>
      <c r="J315">
        <v>50</v>
      </c>
      <c r="K315">
        <v>298</v>
      </c>
      <c r="L315">
        <v>266</v>
      </c>
      <c r="M315">
        <v>100</v>
      </c>
      <c r="N315">
        <v>28.684699999999999</v>
      </c>
      <c r="O315">
        <v>12.87923</v>
      </c>
      <c r="P315">
        <v>24.371030000000001</v>
      </c>
      <c r="Q315">
        <v>43123</v>
      </c>
    </row>
    <row r="316" spans="1:17" x14ac:dyDescent="0.25">
      <c r="A316" t="s">
        <v>19</v>
      </c>
      <c r="B316">
        <v>16</v>
      </c>
      <c r="C316">
        <v>0.98</v>
      </c>
      <c r="D316">
        <v>2015</v>
      </c>
      <c r="E316" t="s">
        <v>18</v>
      </c>
      <c r="F316">
        <v>2015105</v>
      </c>
      <c r="G316">
        <v>2015162</v>
      </c>
      <c r="H316">
        <v>6432</v>
      </c>
      <c r="I316">
        <v>839</v>
      </c>
      <c r="J316">
        <v>50</v>
      </c>
      <c r="K316">
        <v>97</v>
      </c>
      <c r="L316">
        <v>206</v>
      </c>
      <c r="M316">
        <v>100</v>
      </c>
      <c r="N316">
        <v>30.239899999999999</v>
      </c>
      <c r="O316">
        <v>13.583600000000001</v>
      </c>
      <c r="P316">
        <v>24.082519999999999</v>
      </c>
      <c r="Q316">
        <v>29363</v>
      </c>
    </row>
    <row r="317" spans="1:17" x14ac:dyDescent="0.25">
      <c r="A317" t="s">
        <v>19</v>
      </c>
      <c r="B317">
        <v>16</v>
      </c>
      <c r="C317">
        <v>0.98</v>
      </c>
      <c r="D317">
        <v>2016</v>
      </c>
      <c r="E317" t="s">
        <v>18</v>
      </c>
      <c r="F317">
        <v>2016105</v>
      </c>
      <c r="G317">
        <v>2016170</v>
      </c>
      <c r="H317">
        <v>5162</v>
      </c>
      <c r="I317">
        <v>571</v>
      </c>
      <c r="J317">
        <v>50</v>
      </c>
      <c r="K317">
        <v>201</v>
      </c>
      <c r="L317">
        <v>156</v>
      </c>
      <c r="M317">
        <v>100</v>
      </c>
      <c r="N317">
        <v>30.256830000000001</v>
      </c>
      <c r="O317">
        <v>13.46612</v>
      </c>
      <c r="P317">
        <v>23.66065</v>
      </c>
      <c r="Q317">
        <v>19987</v>
      </c>
    </row>
    <row r="318" spans="1:17" x14ac:dyDescent="0.25">
      <c r="A318" t="s">
        <v>19</v>
      </c>
      <c r="B318">
        <v>16</v>
      </c>
      <c r="C318">
        <v>0.98</v>
      </c>
      <c r="D318">
        <v>2017</v>
      </c>
      <c r="E318" t="s">
        <v>18</v>
      </c>
      <c r="F318">
        <v>2017105</v>
      </c>
      <c r="G318">
        <v>2017162</v>
      </c>
      <c r="H318">
        <v>6264</v>
      </c>
      <c r="I318">
        <v>751</v>
      </c>
      <c r="J318">
        <v>50</v>
      </c>
      <c r="K318">
        <v>157</v>
      </c>
      <c r="L318">
        <v>219</v>
      </c>
      <c r="M318">
        <v>100</v>
      </c>
      <c r="N318">
        <v>31.501639999999998</v>
      </c>
      <c r="O318">
        <v>13.56339</v>
      </c>
      <c r="P318">
        <v>24.263940000000002</v>
      </c>
      <c r="Q318">
        <v>26283</v>
      </c>
    </row>
    <row r="319" spans="1:17" x14ac:dyDescent="0.25">
      <c r="A319" t="s">
        <v>19</v>
      </c>
      <c r="B319">
        <v>16</v>
      </c>
      <c r="C319">
        <v>0.98</v>
      </c>
      <c r="D319">
        <v>2018</v>
      </c>
      <c r="E319" t="s">
        <v>18</v>
      </c>
      <c r="F319">
        <v>2018105</v>
      </c>
      <c r="G319">
        <v>2018170</v>
      </c>
      <c r="H319">
        <v>6766</v>
      </c>
      <c r="I319">
        <v>1305</v>
      </c>
      <c r="J319">
        <v>50</v>
      </c>
      <c r="K319">
        <v>414</v>
      </c>
      <c r="L319">
        <v>108</v>
      </c>
      <c r="M319">
        <v>100</v>
      </c>
      <c r="N319">
        <v>29.559560000000001</v>
      </c>
      <c r="O319">
        <v>12.98142</v>
      </c>
      <c r="P319">
        <v>23.54645</v>
      </c>
      <c r="Q319">
        <v>45660</v>
      </c>
    </row>
    <row r="320" spans="1:17" x14ac:dyDescent="0.25">
      <c r="A320" t="s">
        <v>19</v>
      </c>
      <c r="B320">
        <v>16</v>
      </c>
      <c r="C320">
        <v>0.98</v>
      </c>
      <c r="D320">
        <v>2019</v>
      </c>
      <c r="E320" t="s">
        <v>18</v>
      </c>
      <c r="F320">
        <v>2019105</v>
      </c>
      <c r="G320">
        <v>2019166</v>
      </c>
      <c r="H320">
        <v>3474</v>
      </c>
      <c r="I320">
        <v>486</v>
      </c>
      <c r="J320">
        <v>50</v>
      </c>
      <c r="K320">
        <v>107</v>
      </c>
      <c r="L320">
        <v>171</v>
      </c>
      <c r="M320">
        <v>100</v>
      </c>
      <c r="N320">
        <v>30.30546</v>
      </c>
      <c r="O320">
        <v>13.096170000000001</v>
      </c>
      <c r="P320">
        <v>24.749179999999999</v>
      </c>
      <c r="Q320">
        <v>17018</v>
      </c>
    </row>
    <row r="321" spans="1:17" x14ac:dyDescent="0.25">
      <c r="A321" t="s">
        <v>19</v>
      </c>
      <c r="B321">
        <v>16</v>
      </c>
      <c r="C321">
        <v>0.98</v>
      </c>
      <c r="D321">
        <v>2020</v>
      </c>
      <c r="E321" t="s">
        <v>18</v>
      </c>
      <c r="F321">
        <v>2020105</v>
      </c>
      <c r="G321">
        <v>2020164</v>
      </c>
      <c r="H321">
        <v>4941</v>
      </c>
      <c r="I321">
        <v>632</v>
      </c>
      <c r="J321">
        <v>50</v>
      </c>
      <c r="K321">
        <v>162</v>
      </c>
      <c r="L321">
        <v>200</v>
      </c>
      <c r="M321">
        <v>100</v>
      </c>
      <c r="N321">
        <v>30.44699</v>
      </c>
      <c r="O321">
        <v>13.341530000000001</v>
      </c>
      <c r="P321">
        <v>24.09835</v>
      </c>
      <c r="Q321">
        <v>22118</v>
      </c>
    </row>
    <row r="322" spans="1:17" x14ac:dyDescent="0.25">
      <c r="A322" t="s">
        <v>19</v>
      </c>
      <c r="B322">
        <v>17</v>
      </c>
      <c r="C322">
        <v>1.05</v>
      </c>
      <c r="D322">
        <v>2001</v>
      </c>
      <c r="E322" t="s">
        <v>17</v>
      </c>
      <c r="F322">
        <v>2001074</v>
      </c>
      <c r="G322">
        <v>2001157</v>
      </c>
      <c r="H322">
        <v>8174</v>
      </c>
      <c r="I322">
        <v>1709</v>
      </c>
      <c r="J322">
        <v>50</v>
      </c>
      <c r="K322">
        <v>367</v>
      </c>
      <c r="L322">
        <v>235</v>
      </c>
      <c r="M322">
        <v>75</v>
      </c>
      <c r="N322">
        <v>27.47803</v>
      </c>
      <c r="O322">
        <v>12.74766</v>
      </c>
      <c r="P322">
        <v>24.693919999999999</v>
      </c>
      <c r="Q322">
        <v>47839</v>
      </c>
    </row>
    <row r="323" spans="1:17" x14ac:dyDescent="0.25">
      <c r="A323" t="s">
        <v>19</v>
      </c>
      <c r="B323">
        <v>17</v>
      </c>
      <c r="C323">
        <v>1.05</v>
      </c>
      <c r="D323">
        <v>2002</v>
      </c>
      <c r="E323" t="s">
        <v>17</v>
      </c>
      <c r="F323">
        <v>2002074</v>
      </c>
      <c r="G323">
        <v>2002161</v>
      </c>
      <c r="H323">
        <v>6263</v>
      </c>
      <c r="I323">
        <v>290</v>
      </c>
      <c r="J323">
        <v>50</v>
      </c>
      <c r="K323">
        <v>253</v>
      </c>
      <c r="L323">
        <v>192</v>
      </c>
      <c r="M323">
        <v>75</v>
      </c>
      <c r="N323">
        <v>26.627559999999999</v>
      </c>
      <c r="O323">
        <v>11.78458</v>
      </c>
      <c r="P323">
        <v>24.263559999999998</v>
      </c>
      <c r="Q323">
        <v>8116</v>
      </c>
    </row>
    <row r="324" spans="1:17" x14ac:dyDescent="0.25">
      <c r="A324" t="s">
        <v>19</v>
      </c>
      <c r="B324">
        <v>17</v>
      </c>
      <c r="C324">
        <v>1.05</v>
      </c>
      <c r="D324">
        <v>2003</v>
      </c>
      <c r="E324" t="s">
        <v>17</v>
      </c>
      <c r="F324">
        <v>2003074</v>
      </c>
      <c r="G324">
        <v>2003157</v>
      </c>
      <c r="H324">
        <v>5784</v>
      </c>
      <c r="I324">
        <v>286</v>
      </c>
      <c r="J324">
        <v>50</v>
      </c>
      <c r="K324">
        <v>233</v>
      </c>
      <c r="L324">
        <v>246</v>
      </c>
      <c r="M324">
        <v>75</v>
      </c>
      <c r="N324">
        <v>28.088789999999999</v>
      </c>
      <c r="O324">
        <v>13.22991</v>
      </c>
      <c r="P324">
        <v>25.032710000000002</v>
      </c>
      <c r="Q324">
        <v>8009</v>
      </c>
    </row>
    <row r="325" spans="1:17" x14ac:dyDescent="0.25">
      <c r="A325" t="s">
        <v>19</v>
      </c>
      <c r="B325">
        <v>17</v>
      </c>
      <c r="C325">
        <v>1.05</v>
      </c>
      <c r="D325">
        <v>2004</v>
      </c>
      <c r="E325" t="s">
        <v>17</v>
      </c>
      <c r="F325">
        <v>2004074</v>
      </c>
      <c r="G325">
        <v>2004162</v>
      </c>
      <c r="H325">
        <v>8159</v>
      </c>
      <c r="I325">
        <v>1857</v>
      </c>
      <c r="J325">
        <v>50</v>
      </c>
      <c r="K325">
        <v>294</v>
      </c>
      <c r="L325">
        <v>417</v>
      </c>
      <c r="M325">
        <v>75</v>
      </c>
      <c r="N325">
        <v>27.39066</v>
      </c>
      <c r="O325">
        <v>11.92197</v>
      </c>
      <c r="P325">
        <v>24.641590000000001</v>
      </c>
      <c r="Q325">
        <v>52002</v>
      </c>
    </row>
    <row r="326" spans="1:17" x14ac:dyDescent="0.25">
      <c r="A326" t="s">
        <v>19</v>
      </c>
      <c r="B326">
        <v>17</v>
      </c>
      <c r="C326">
        <v>1.05</v>
      </c>
      <c r="D326">
        <v>2005</v>
      </c>
      <c r="E326" t="s">
        <v>17</v>
      </c>
      <c r="F326">
        <v>2005074</v>
      </c>
      <c r="G326">
        <v>2005157</v>
      </c>
      <c r="H326">
        <v>4234</v>
      </c>
      <c r="I326">
        <v>254</v>
      </c>
      <c r="J326">
        <v>50</v>
      </c>
      <c r="K326">
        <v>127</v>
      </c>
      <c r="L326">
        <v>180</v>
      </c>
      <c r="M326">
        <v>75</v>
      </c>
      <c r="N326">
        <v>28.969159999999999</v>
      </c>
      <c r="O326">
        <v>12.90047</v>
      </c>
      <c r="P326">
        <v>25.560749999999999</v>
      </c>
      <c r="Q326">
        <v>7111</v>
      </c>
    </row>
    <row r="327" spans="1:17" x14ac:dyDescent="0.25">
      <c r="A327" t="s">
        <v>19</v>
      </c>
      <c r="B327">
        <v>17</v>
      </c>
      <c r="C327">
        <v>1.05</v>
      </c>
      <c r="D327">
        <v>2006</v>
      </c>
      <c r="E327" t="s">
        <v>17</v>
      </c>
      <c r="F327">
        <v>2006074</v>
      </c>
      <c r="G327">
        <v>2006153</v>
      </c>
      <c r="H327">
        <v>4776</v>
      </c>
      <c r="I327">
        <v>704</v>
      </c>
      <c r="J327">
        <v>50</v>
      </c>
      <c r="K327">
        <v>235</v>
      </c>
      <c r="L327">
        <v>129</v>
      </c>
      <c r="M327">
        <v>75</v>
      </c>
      <c r="N327">
        <v>28.924769999999999</v>
      </c>
      <c r="O327">
        <v>13.15888</v>
      </c>
      <c r="P327">
        <v>23.561219999999999</v>
      </c>
      <c r="Q327">
        <v>19703</v>
      </c>
    </row>
    <row r="328" spans="1:17" x14ac:dyDescent="0.25">
      <c r="A328" t="s">
        <v>19</v>
      </c>
      <c r="B328">
        <v>17</v>
      </c>
      <c r="C328">
        <v>1.05</v>
      </c>
      <c r="D328">
        <v>2007</v>
      </c>
      <c r="E328" t="s">
        <v>17</v>
      </c>
      <c r="F328">
        <v>2007074</v>
      </c>
      <c r="G328">
        <v>2007162</v>
      </c>
      <c r="H328">
        <v>9506</v>
      </c>
      <c r="I328">
        <v>2205</v>
      </c>
      <c r="J328">
        <v>50</v>
      </c>
      <c r="K328">
        <v>258</v>
      </c>
      <c r="L328">
        <v>349</v>
      </c>
      <c r="M328">
        <v>75</v>
      </c>
      <c r="N328">
        <v>26.7729</v>
      </c>
      <c r="O328">
        <v>11.720560000000001</v>
      </c>
      <c r="P328">
        <v>22.669149999999998</v>
      </c>
      <c r="Q328">
        <v>61751</v>
      </c>
    </row>
    <row r="329" spans="1:17" x14ac:dyDescent="0.25">
      <c r="A329" t="s">
        <v>19</v>
      </c>
      <c r="B329">
        <v>17</v>
      </c>
      <c r="C329">
        <v>1.05</v>
      </c>
      <c r="D329">
        <v>2008</v>
      </c>
      <c r="E329" t="s">
        <v>17</v>
      </c>
      <c r="F329">
        <v>2008074</v>
      </c>
      <c r="G329">
        <v>2008166</v>
      </c>
      <c r="H329">
        <v>8063</v>
      </c>
      <c r="I329">
        <v>891</v>
      </c>
      <c r="J329">
        <v>50</v>
      </c>
      <c r="K329">
        <v>331</v>
      </c>
      <c r="L329">
        <v>176</v>
      </c>
      <c r="M329">
        <v>75</v>
      </c>
      <c r="N329">
        <v>26.31728</v>
      </c>
      <c r="O329">
        <v>11.50234</v>
      </c>
      <c r="P329">
        <v>22.72289</v>
      </c>
      <c r="Q329">
        <v>24938</v>
      </c>
    </row>
    <row r="330" spans="1:17" x14ac:dyDescent="0.25">
      <c r="A330" t="s">
        <v>19</v>
      </c>
      <c r="B330">
        <v>17</v>
      </c>
      <c r="C330">
        <v>1.05</v>
      </c>
      <c r="D330">
        <v>2009</v>
      </c>
      <c r="E330" t="s">
        <v>17</v>
      </c>
      <c r="F330">
        <v>2009074</v>
      </c>
      <c r="G330">
        <v>2009160</v>
      </c>
      <c r="H330">
        <v>6022</v>
      </c>
      <c r="I330">
        <v>311</v>
      </c>
      <c r="J330">
        <v>50</v>
      </c>
      <c r="K330">
        <v>106</v>
      </c>
      <c r="L330">
        <v>231</v>
      </c>
      <c r="M330">
        <v>75</v>
      </c>
      <c r="N330">
        <v>28.63223</v>
      </c>
      <c r="O330">
        <v>11.94299</v>
      </c>
      <c r="P330">
        <v>23.63738</v>
      </c>
      <c r="Q330">
        <v>8709</v>
      </c>
    </row>
    <row r="331" spans="1:17" x14ac:dyDescent="0.25">
      <c r="A331" t="s">
        <v>19</v>
      </c>
      <c r="B331">
        <v>17</v>
      </c>
      <c r="C331">
        <v>1.05</v>
      </c>
      <c r="D331">
        <v>2010</v>
      </c>
      <c r="E331" t="s">
        <v>17</v>
      </c>
      <c r="F331">
        <v>2010074</v>
      </c>
      <c r="G331">
        <v>2010157</v>
      </c>
      <c r="H331">
        <v>7525</v>
      </c>
      <c r="I331">
        <v>1726</v>
      </c>
      <c r="J331">
        <v>50</v>
      </c>
      <c r="K331">
        <v>357</v>
      </c>
      <c r="L331">
        <v>548</v>
      </c>
      <c r="M331">
        <v>75</v>
      </c>
      <c r="N331">
        <v>27.57056</v>
      </c>
      <c r="O331">
        <v>13.07944</v>
      </c>
      <c r="P331">
        <v>23.422429999999999</v>
      </c>
      <c r="Q331">
        <v>48337</v>
      </c>
    </row>
    <row r="332" spans="1:17" x14ac:dyDescent="0.25">
      <c r="A332" t="s">
        <v>19</v>
      </c>
      <c r="B332">
        <v>17</v>
      </c>
      <c r="C332">
        <v>1.05</v>
      </c>
      <c r="D332">
        <v>2011</v>
      </c>
      <c r="E332" t="s">
        <v>18</v>
      </c>
      <c r="F332">
        <v>2011074</v>
      </c>
      <c r="G332">
        <v>2011144</v>
      </c>
      <c r="H332">
        <v>9387</v>
      </c>
      <c r="I332">
        <v>3956</v>
      </c>
      <c r="J332">
        <v>50</v>
      </c>
      <c r="K332">
        <v>224</v>
      </c>
      <c r="L332">
        <v>482</v>
      </c>
      <c r="M332">
        <v>75</v>
      </c>
      <c r="N332">
        <v>29.035969999999999</v>
      </c>
      <c r="O332">
        <v>12.2958</v>
      </c>
      <c r="P332">
        <v>22.945319999999999</v>
      </c>
      <c r="Q332">
        <v>110769</v>
      </c>
    </row>
    <row r="333" spans="1:17" x14ac:dyDescent="0.25">
      <c r="A333" t="s">
        <v>19</v>
      </c>
      <c r="B333">
        <v>17</v>
      </c>
      <c r="C333">
        <v>1.05</v>
      </c>
      <c r="D333">
        <v>2012</v>
      </c>
      <c r="E333" t="s">
        <v>18</v>
      </c>
      <c r="F333">
        <v>2012074</v>
      </c>
      <c r="G333">
        <v>2012153</v>
      </c>
      <c r="H333">
        <v>4757</v>
      </c>
      <c r="I333">
        <v>624</v>
      </c>
      <c r="J333">
        <v>50</v>
      </c>
      <c r="K333">
        <v>213</v>
      </c>
      <c r="L333">
        <v>159</v>
      </c>
      <c r="M333">
        <v>75</v>
      </c>
      <c r="N333">
        <v>28.146740000000001</v>
      </c>
      <c r="O333">
        <v>11.94486</v>
      </c>
      <c r="P333">
        <v>23.392980000000001</v>
      </c>
      <c r="Q333">
        <v>17466</v>
      </c>
    </row>
    <row r="334" spans="1:17" x14ac:dyDescent="0.25">
      <c r="A334" t="s">
        <v>19</v>
      </c>
      <c r="B334">
        <v>17</v>
      </c>
      <c r="C334">
        <v>1.05</v>
      </c>
      <c r="D334">
        <v>2013</v>
      </c>
      <c r="E334" t="s">
        <v>18</v>
      </c>
      <c r="F334">
        <v>2013074</v>
      </c>
      <c r="G334">
        <v>2013156</v>
      </c>
      <c r="H334">
        <v>7338</v>
      </c>
      <c r="I334">
        <v>1853</v>
      </c>
      <c r="J334">
        <v>50</v>
      </c>
      <c r="K334">
        <v>289</v>
      </c>
      <c r="L334">
        <v>316</v>
      </c>
      <c r="M334">
        <v>75</v>
      </c>
      <c r="N334">
        <v>27.332719999999998</v>
      </c>
      <c r="O334">
        <v>11.70187</v>
      </c>
      <c r="P334">
        <v>23.13692</v>
      </c>
      <c r="Q334">
        <v>51876</v>
      </c>
    </row>
    <row r="335" spans="1:17" x14ac:dyDescent="0.25">
      <c r="A335" t="s">
        <v>19</v>
      </c>
      <c r="B335">
        <v>17</v>
      </c>
      <c r="C335">
        <v>1.05</v>
      </c>
      <c r="D335">
        <v>2014</v>
      </c>
      <c r="E335" t="s">
        <v>18</v>
      </c>
      <c r="F335">
        <v>2014074</v>
      </c>
      <c r="G335">
        <v>2014147</v>
      </c>
      <c r="H335">
        <v>7384</v>
      </c>
      <c r="I335">
        <v>1683</v>
      </c>
      <c r="J335">
        <v>50</v>
      </c>
      <c r="K335">
        <v>298</v>
      </c>
      <c r="L335">
        <v>266</v>
      </c>
      <c r="M335">
        <v>75</v>
      </c>
      <c r="N335">
        <v>27.302340000000001</v>
      </c>
      <c r="O335">
        <v>11.79486</v>
      </c>
      <c r="P335">
        <v>23.40981</v>
      </c>
      <c r="Q335">
        <v>47131</v>
      </c>
    </row>
    <row r="336" spans="1:17" x14ac:dyDescent="0.25">
      <c r="A336" t="s">
        <v>19</v>
      </c>
      <c r="B336">
        <v>17</v>
      </c>
      <c r="C336">
        <v>1.05</v>
      </c>
      <c r="D336">
        <v>2015</v>
      </c>
      <c r="E336" t="s">
        <v>18</v>
      </c>
      <c r="F336">
        <v>2015074</v>
      </c>
      <c r="G336">
        <v>2015147</v>
      </c>
      <c r="H336">
        <v>6643</v>
      </c>
      <c r="I336">
        <v>1034</v>
      </c>
      <c r="J336">
        <v>50</v>
      </c>
      <c r="K336">
        <v>97</v>
      </c>
      <c r="L336">
        <v>206</v>
      </c>
      <c r="M336">
        <v>75</v>
      </c>
      <c r="N336">
        <v>28.63646</v>
      </c>
      <c r="O336">
        <v>12.36636</v>
      </c>
      <c r="P336">
        <v>23.111219999999999</v>
      </c>
      <c r="Q336">
        <v>28949</v>
      </c>
    </row>
    <row r="337" spans="1:17" x14ac:dyDescent="0.25">
      <c r="A337" t="s">
        <v>19</v>
      </c>
      <c r="B337">
        <v>17</v>
      </c>
      <c r="C337">
        <v>1.05</v>
      </c>
      <c r="D337">
        <v>2016</v>
      </c>
      <c r="E337" t="s">
        <v>18</v>
      </c>
      <c r="F337">
        <v>2016074</v>
      </c>
      <c r="G337">
        <v>2016159</v>
      </c>
      <c r="H337">
        <v>5935</v>
      </c>
      <c r="I337">
        <v>645</v>
      </c>
      <c r="J337">
        <v>50</v>
      </c>
      <c r="K337">
        <v>201</v>
      </c>
      <c r="L337">
        <v>156</v>
      </c>
      <c r="M337">
        <v>75</v>
      </c>
      <c r="N337">
        <v>28.261220000000002</v>
      </c>
      <c r="O337">
        <v>12.00934</v>
      </c>
      <c r="P337">
        <v>22.697659999999999</v>
      </c>
      <c r="Q337">
        <v>18059</v>
      </c>
    </row>
    <row r="338" spans="1:17" x14ac:dyDescent="0.25">
      <c r="A338" t="s">
        <v>19</v>
      </c>
      <c r="B338">
        <v>17</v>
      </c>
      <c r="C338">
        <v>1.05</v>
      </c>
      <c r="D338">
        <v>2017</v>
      </c>
      <c r="E338" t="s">
        <v>18</v>
      </c>
      <c r="F338">
        <v>2017074</v>
      </c>
      <c r="G338">
        <v>2017148</v>
      </c>
      <c r="H338">
        <v>6919</v>
      </c>
      <c r="I338">
        <v>1137</v>
      </c>
      <c r="J338">
        <v>50</v>
      </c>
      <c r="K338">
        <v>157</v>
      </c>
      <c r="L338">
        <v>219</v>
      </c>
      <c r="M338">
        <v>75</v>
      </c>
      <c r="N338">
        <v>29.883179999999999</v>
      </c>
      <c r="O338">
        <v>12.11215</v>
      </c>
      <c r="P338">
        <v>23.693460000000002</v>
      </c>
      <c r="Q338">
        <v>31847</v>
      </c>
    </row>
    <row r="339" spans="1:17" x14ac:dyDescent="0.25">
      <c r="A339" t="s">
        <v>19</v>
      </c>
      <c r="B339">
        <v>17</v>
      </c>
      <c r="C339">
        <v>1.05</v>
      </c>
      <c r="D339">
        <v>2018</v>
      </c>
      <c r="E339" t="s">
        <v>18</v>
      </c>
      <c r="F339">
        <v>2018074</v>
      </c>
      <c r="G339">
        <v>2018158</v>
      </c>
      <c r="H339">
        <v>8816</v>
      </c>
      <c r="I339">
        <v>2954</v>
      </c>
      <c r="J339">
        <v>50</v>
      </c>
      <c r="K339">
        <v>414</v>
      </c>
      <c r="L339">
        <v>108</v>
      </c>
      <c r="M339">
        <v>75</v>
      </c>
      <c r="N339">
        <v>27.416360000000001</v>
      </c>
      <c r="O339">
        <v>11.70327</v>
      </c>
      <c r="P339">
        <v>22.619160000000001</v>
      </c>
      <c r="Q339">
        <v>82711</v>
      </c>
    </row>
    <row r="340" spans="1:17" x14ac:dyDescent="0.25">
      <c r="A340" t="s">
        <v>19</v>
      </c>
      <c r="B340">
        <v>17</v>
      </c>
      <c r="C340">
        <v>1.05</v>
      </c>
      <c r="D340">
        <v>2019</v>
      </c>
      <c r="E340" t="s">
        <v>18</v>
      </c>
      <c r="F340">
        <v>2019074</v>
      </c>
      <c r="G340">
        <v>2019157</v>
      </c>
      <c r="H340">
        <v>4088</v>
      </c>
      <c r="I340">
        <v>519</v>
      </c>
      <c r="J340">
        <v>50</v>
      </c>
      <c r="K340">
        <v>107</v>
      </c>
      <c r="L340">
        <v>171</v>
      </c>
      <c r="M340">
        <v>75</v>
      </c>
      <c r="N340">
        <v>28.68411</v>
      </c>
      <c r="O340">
        <v>11.65981</v>
      </c>
      <c r="P340">
        <v>24.096730000000001</v>
      </c>
      <c r="Q340">
        <v>14536</v>
      </c>
    </row>
    <row r="341" spans="1:17" x14ac:dyDescent="0.25">
      <c r="A341" t="s">
        <v>19</v>
      </c>
      <c r="B341">
        <v>17</v>
      </c>
      <c r="C341">
        <v>1.05</v>
      </c>
      <c r="D341">
        <v>2020</v>
      </c>
      <c r="E341" t="s">
        <v>18</v>
      </c>
      <c r="F341">
        <v>2020074</v>
      </c>
      <c r="G341">
        <v>2020150</v>
      </c>
      <c r="H341">
        <v>5806</v>
      </c>
      <c r="I341">
        <v>745</v>
      </c>
      <c r="J341">
        <v>50</v>
      </c>
      <c r="K341">
        <v>162</v>
      </c>
      <c r="L341">
        <v>200</v>
      </c>
      <c r="M341">
        <v>75</v>
      </c>
      <c r="N341">
        <v>28.59346</v>
      </c>
      <c r="O341">
        <v>12.278969999999999</v>
      </c>
      <c r="P341">
        <v>22.90466</v>
      </c>
      <c r="Q341">
        <v>20860</v>
      </c>
    </row>
    <row r="342" spans="1:17" x14ac:dyDescent="0.25">
      <c r="A342" t="s">
        <v>19</v>
      </c>
      <c r="B342">
        <v>18</v>
      </c>
      <c r="C342">
        <v>0.95</v>
      </c>
      <c r="D342">
        <v>2001</v>
      </c>
      <c r="E342" t="s">
        <v>17</v>
      </c>
      <c r="F342">
        <v>2001105</v>
      </c>
      <c r="G342">
        <v>2001173</v>
      </c>
      <c r="H342">
        <v>5477</v>
      </c>
      <c r="I342">
        <v>333</v>
      </c>
      <c r="J342">
        <v>0</v>
      </c>
      <c r="K342">
        <v>367</v>
      </c>
      <c r="L342">
        <v>235</v>
      </c>
      <c r="M342">
        <v>75</v>
      </c>
      <c r="N342">
        <v>28.827860000000001</v>
      </c>
      <c r="O342">
        <v>13.722950000000001</v>
      </c>
      <c r="P342">
        <v>25.243169999999999</v>
      </c>
      <c r="Q342">
        <v>10669</v>
      </c>
    </row>
    <row r="343" spans="1:17" x14ac:dyDescent="0.25">
      <c r="A343" t="s">
        <v>19</v>
      </c>
      <c r="B343">
        <v>18</v>
      </c>
      <c r="C343">
        <v>0.95</v>
      </c>
      <c r="D343">
        <v>2002</v>
      </c>
      <c r="E343" t="s">
        <v>17</v>
      </c>
      <c r="F343">
        <v>2002105</v>
      </c>
      <c r="G343">
        <v>2002173</v>
      </c>
      <c r="H343">
        <v>4728</v>
      </c>
      <c r="I343">
        <v>106</v>
      </c>
      <c r="J343">
        <v>0</v>
      </c>
      <c r="K343">
        <v>253</v>
      </c>
      <c r="L343">
        <v>192</v>
      </c>
      <c r="M343">
        <v>75</v>
      </c>
      <c r="N343">
        <v>28.205449999999999</v>
      </c>
      <c r="O343">
        <v>12.78524</v>
      </c>
      <c r="P343">
        <v>25.66011</v>
      </c>
      <c r="Q343">
        <v>3392</v>
      </c>
    </row>
    <row r="344" spans="1:17" x14ac:dyDescent="0.25">
      <c r="A344" t="s">
        <v>19</v>
      </c>
      <c r="B344">
        <v>18</v>
      </c>
      <c r="C344">
        <v>0.95</v>
      </c>
      <c r="D344">
        <v>2003</v>
      </c>
      <c r="E344" t="s">
        <v>17</v>
      </c>
      <c r="F344">
        <v>2003105</v>
      </c>
      <c r="G344">
        <v>2003169</v>
      </c>
      <c r="H344">
        <v>4032</v>
      </c>
      <c r="I344">
        <v>105</v>
      </c>
      <c r="J344">
        <v>0</v>
      </c>
      <c r="K344">
        <v>233</v>
      </c>
      <c r="L344">
        <v>246</v>
      </c>
      <c r="M344">
        <v>75</v>
      </c>
      <c r="N344">
        <v>29.84863</v>
      </c>
      <c r="O344">
        <v>14.468310000000001</v>
      </c>
      <c r="P344">
        <v>26.245360000000002</v>
      </c>
      <c r="Q344">
        <v>3346</v>
      </c>
    </row>
    <row r="345" spans="1:17" x14ac:dyDescent="0.25">
      <c r="A345" t="s">
        <v>19</v>
      </c>
      <c r="B345">
        <v>18</v>
      </c>
      <c r="C345">
        <v>0.95</v>
      </c>
      <c r="D345">
        <v>2004</v>
      </c>
      <c r="E345" t="s">
        <v>17</v>
      </c>
      <c r="F345">
        <v>2004105</v>
      </c>
      <c r="G345">
        <v>2004176</v>
      </c>
      <c r="H345">
        <v>5776</v>
      </c>
      <c r="I345">
        <v>555</v>
      </c>
      <c r="J345">
        <v>0</v>
      </c>
      <c r="K345">
        <v>294</v>
      </c>
      <c r="L345">
        <v>417</v>
      </c>
      <c r="M345">
        <v>75</v>
      </c>
      <c r="N345">
        <v>29.186889999999998</v>
      </c>
      <c r="O345">
        <v>13.10219</v>
      </c>
      <c r="P345">
        <v>25.556830000000001</v>
      </c>
      <c r="Q345">
        <v>17763</v>
      </c>
    </row>
    <row r="346" spans="1:17" x14ac:dyDescent="0.25">
      <c r="A346" t="s">
        <v>19</v>
      </c>
      <c r="B346">
        <v>18</v>
      </c>
      <c r="C346">
        <v>0.95</v>
      </c>
      <c r="D346">
        <v>2005</v>
      </c>
      <c r="E346" t="s">
        <v>17</v>
      </c>
      <c r="F346">
        <v>2005105</v>
      </c>
      <c r="G346">
        <v>2005166</v>
      </c>
      <c r="H346">
        <v>2177</v>
      </c>
      <c r="I346">
        <v>186</v>
      </c>
      <c r="J346">
        <v>0</v>
      </c>
      <c r="K346">
        <v>127</v>
      </c>
      <c r="L346">
        <v>180</v>
      </c>
      <c r="M346">
        <v>75</v>
      </c>
      <c r="N346">
        <v>30.51858</v>
      </c>
      <c r="O346">
        <v>13.84972</v>
      </c>
      <c r="P346">
        <v>26.609300000000001</v>
      </c>
      <c r="Q346">
        <v>5955</v>
      </c>
    </row>
    <row r="347" spans="1:17" x14ac:dyDescent="0.25">
      <c r="A347" t="s">
        <v>19</v>
      </c>
      <c r="B347">
        <v>18</v>
      </c>
      <c r="C347">
        <v>0.95</v>
      </c>
      <c r="D347">
        <v>2006</v>
      </c>
      <c r="E347" t="s">
        <v>17</v>
      </c>
      <c r="F347">
        <v>2006105</v>
      </c>
      <c r="G347">
        <v>2006168</v>
      </c>
      <c r="H347">
        <v>3128</v>
      </c>
      <c r="I347">
        <v>544</v>
      </c>
      <c r="J347">
        <v>0</v>
      </c>
      <c r="K347">
        <v>235</v>
      </c>
      <c r="L347">
        <v>129</v>
      </c>
      <c r="M347">
        <v>75</v>
      </c>
      <c r="N347">
        <v>30.556280000000001</v>
      </c>
      <c r="O347">
        <v>14.12459</v>
      </c>
      <c r="P347">
        <v>24.474319999999999</v>
      </c>
      <c r="Q347">
        <v>17398</v>
      </c>
    </row>
    <row r="348" spans="1:17" x14ac:dyDescent="0.25">
      <c r="A348" t="s">
        <v>19</v>
      </c>
      <c r="B348">
        <v>18</v>
      </c>
      <c r="C348">
        <v>0.95</v>
      </c>
      <c r="D348">
        <v>2007</v>
      </c>
      <c r="E348" t="s">
        <v>17</v>
      </c>
      <c r="F348">
        <v>2007105</v>
      </c>
      <c r="G348">
        <v>2007175</v>
      </c>
      <c r="H348">
        <v>5881</v>
      </c>
      <c r="I348">
        <v>526</v>
      </c>
      <c r="J348">
        <v>0</v>
      </c>
      <c r="K348">
        <v>258</v>
      </c>
      <c r="L348">
        <v>349</v>
      </c>
      <c r="M348">
        <v>75</v>
      </c>
      <c r="N348">
        <v>28.787990000000001</v>
      </c>
      <c r="O348">
        <v>13.060650000000001</v>
      </c>
      <c r="P348">
        <v>23.89781</v>
      </c>
      <c r="Q348">
        <v>16828</v>
      </c>
    </row>
    <row r="349" spans="1:17" x14ac:dyDescent="0.25">
      <c r="A349" t="s">
        <v>19</v>
      </c>
      <c r="B349">
        <v>18</v>
      </c>
      <c r="C349">
        <v>0.95</v>
      </c>
      <c r="D349">
        <v>2008</v>
      </c>
      <c r="E349" t="s">
        <v>17</v>
      </c>
      <c r="F349">
        <v>2008105</v>
      </c>
      <c r="G349">
        <v>2008176</v>
      </c>
      <c r="H349">
        <v>4944</v>
      </c>
      <c r="I349">
        <v>337</v>
      </c>
      <c r="J349">
        <v>0</v>
      </c>
      <c r="K349">
        <v>331</v>
      </c>
      <c r="L349">
        <v>176</v>
      </c>
      <c r="M349">
        <v>75</v>
      </c>
      <c r="N349">
        <v>27.680319999999998</v>
      </c>
      <c r="O349">
        <v>12.710380000000001</v>
      </c>
      <c r="P349">
        <v>23.45082</v>
      </c>
      <c r="Q349">
        <v>10782</v>
      </c>
    </row>
    <row r="350" spans="1:17" x14ac:dyDescent="0.25">
      <c r="A350" t="s">
        <v>19</v>
      </c>
      <c r="B350">
        <v>18</v>
      </c>
      <c r="C350">
        <v>0.95</v>
      </c>
      <c r="D350">
        <v>2009</v>
      </c>
      <c r="E350" t="s">
        <v>17</v>
      </c>
      <c r="F350">
        <v>2009105</v>
      </c>
      <c r="G350">
        <v>2009173</v>
      </c>
      <c r="H350">
        <v>3252</v>
      </c>
      <c r="I350">
        <v>101</v>
      </c>
      <c r="J350">
        <v>0</v>
      </c>
      <c r="K350">
        <v>106</v>
      </c>
      <c r="L350">
        <v>231</v>
      </c>
      <c r="M350">
        <v>75</v>
      </c>
      <c r="N350">
        <v>30.207630000000002</v>
      </c>
      <c r="O350">
        <v>13.39672</v>
      </c>
      <c r="P350">
        <v>24.414200000000001</v>
      </c>
      <c r="Q350">
        <v>3244</v>
      </c>
    </row>
    <row r="351" spans="1:17" x14ac:dyDescent="0.25">
      <c r="A351" t="s">
        <v>19</v>
      </c>
      <c r="B351">
        <v>18</v>
      </c>
      <c r="C351">
        <v>0.95</v>
      </c>
      <c r="D351">
        <v>2010</v>
      </c>
      <c r="E351" t="s">
        <v>18</v>
      </c>
      <c r="F351">
        <v>2010105</v>
      </c>
      <c r="G351">
        <v>2010166</v>
      </c>
      <c r="H351">
        <v>5446</v>
      </c>
      <c r="I351">
        <v>1282</v>
      </c>
      <c r="J351">
        <v>0</v>
      </c>
      <c r="K351">
        <v>357</v>
      </c>
      <c r="L351">
        <v>548</v>
      </c>
      <c r="M351">
        <v>75</v>
      </c>
      <c r="N351">
        <v>29.127870000000001</v>
      </c>
      <c r="O351">
        <v>14.28908</v>
      </c>
      <c r="P351">
        <v>24.13334</v>
      </c>
      <c r="Q351">
        <v>41017</v>
      </c>
    </row>
    <row r="352" spans="1:17" x14ac:dyDescent="0.25">
      <c r="A352" t="s">
        <v>19</v>
      </c>
      <c r="B352">
        <v>18</v>
      </c>
      <c r="C352">
        <v>0.95</v>
      </c>
      <c r="D352">
        <v>2011</v>
      </c>
      <c r="E352" t="s">
        <v>18</v>
      </c>
      <c r="F352">
        <v>2011105</v>
      </c>
      <c r="G352">
        <v>2011164</v>
      </c>
      <c r="H352">
        <v>6082</v>
      </c>
      <c r="I352">
        <v>1061</v>
      </c>
      <c r="J352">
        <v>0</v>
      </c>
      <c r="K352">
        <v>224</v>
      </c>
      <c r="L352">
        <v>482</v>
      </c>
      <c r="M352">
        <v>75</v>
      </c>
      <c r="N352">
        <v>30.398910000000001</v>
      </c>
      <c r="O352">
        <v>13.246449999999999</v>
      </c>
      <c r="P352">
        <v>23.627320000000001</v>
      </c>
      <c r="Q352">
        <v>33947</v>
      </c>
    </row>
    <row r="353" spans="1:17" x14ac:dyDescent="0.25">
      <c r="A353" t="s">
        <v>19</v>
      </c>
      <c r="B353">
        <v>18</v>
      </c>
      <c r="C353">
        <v>0.95</v>
      </c>
      <c r="D353">
        <v>2012</v>
      </c>
      <c r="E353" t="s">
        <v>18</v>
      </c>
      <c r="F353">
        <v>2012105</v>
      </c>
      <c r="G353">
        <v>2012166</v>
      </c>
      <c r="H353">
        <v>1912</v>
      </c>
      <c r="I353">
        <v>396</v>
      </c>
      <c r="J353">
        <v>0</v>
      </c>
      <c r="K353">
        <v>213</v>
      </c>
      <c r="L353">
        <v>159</v>
      </c>
      <c r="M353">
        <v>75</v>
      </c>
      <c r="N353">
        <v>29.80602</v>
      </c>
      <c r="O353">
        <v>13.278689999999999</v>
      </c>
      <c r="P353">
        <v>24.363389999999999</v>
      </c>
      <c r="Q353">
        <v>12667</v>
      </c>
    </row>
    <row r="354" spans="1:17" x14ac:dyDescent="0.25">
      <c r="A354" t="s">
        <v>19</v>
      </c>
      <c r="B354">
        <v>18</v>
      </c>
      <c r="C354">
        <v>0.95</v>
      </c>
      <c r="D354">
        <v>2013</v>
      </c>
      <c r="E354" t="s">
        <v>18</v>
      </c>
      <c r="F354">
        <v>2013105</v>
      </c>
      <c r="G354">
        <v>2013171</v>
      </c>
      <c r="H354">
        <v>4851</v>
      </c>
      <c r="I354">
        <v>709</v>
      </c>
      <c r="J354">
        <v>0</v>
      </c>
      <c r="K354">
        <v>289</v>
      </c>
      <c r="L354">
        <v>316</v>
      </c>
      <c r="M354">
        <v>75</v>
      </c>
      <c r="N354">
        <v>29.261759999999999</v>
      </c>
      <c r="O354">
        <v>12.67267</v>
      </c>
      <c r="P354">
        <v>24.389620000000001</v>
      </c>
      <c r="Q354">
        <v>22683</v>
      </c>
    </row>
    <row r="355" spans="1:17" x14ac:dyDescent="0.25">
      <c r="A355" t="s">
        <v>19</v>
      </c>
      <c r="B355">
        <v>18</v>
      </c>
      <c r="C355">
        <v>0.95</v>
      </c>
      <c r="D355">
        <v>2014</v>
      </c>
      <c r="E355" t="s">
        <v>18</v>
      </c>
      <c r="F355">
        <v>2014105</v>
      </c>
      <c r="G355">
        <v>2014165</v>
      </c>
      <c r="H355">
        <v>4884</v>
      </c>
      <c r="I355">
        <v>638</v>
      </c>
      <c r="J355">
        <v>0</v>
      </c>
      <c r="K355">
        <v>298</v>
      </c>
      <c r="L355">
        <v>266</v>
      </c>
      <c r="M355">
        <v>75</v>
      </c>
      <c r="N355">
        <v>28.684699999999999</v>
      </c>
      <c r="O355">
        <v>12.87923</v>
      </c>
      <c r="P355">
        <v>24.371030000000001</v>
      </c>
      <c r="Q355">
        <v>20417</v>
      </c>
    </row>
    <row r="356" spans="1:17" x14ac:dyDescent="0.25">
      <c r="A356" t="s">
        <v>19</v>
      </c>
      <c r="B356">
        <v>18</v>
      </c>
      <c r="C356">
        <v>0.95</v>
      </c>
      <c r="D356">
        <v>2015</v>
      </c>
      <c r="E356" t="s">
        <v>18</v>
      </c>
      <c r="F356">
        <v>2015105</v>
      </c>
      <c r="G356">
        <v>2015162</v>
      </c>
      <c r="H356">
        <v>3496</v>
      </c>
      <c r="I356">
        <v>230</v>
      </c>
      <c r="J356">
        <v>0</v>
      </c>
      <c r="K356">
        <v>97</v>
      </c>
      <c r="L356">
        <v>206</v>
      </c>
      <c r="M356">
        <v>75</v>
      </c>
      <c r="N356">
        <v>30.239899999999999</v>
      </c>
      <c r="O356">
        <v>13.583600000000001</v>
      </c>
      <c r="P356">
        <v>24.082519999999999</v>
      </c>
      <c r="Q356">
        <v>7362</v>
      </c>
    </row>
    <row r="357" spans="1:17" x14ac:dyDescent="0.25">
      <c r="A357" t="s">
        <v>19</v>
      </c>
      <c r="B357">
        <v>18</v>
      </c>
      <c r="C357">
        <v>0.95</v>
      </c>
      <c r="D357">
        <v>2016</v>
      </c>
      <c r="E357" t="s">
        <v>18</v>
      </c>
      <c r="F357">
        <v>2016105</v>
      </c>
      <c r="G357">
        <v>2016170</v>
      </c>
      <c r="H357">
        <v>3393</v>
      </c>
      <c r="I357">
        <v>571</v>
      </c>
      <c r="J357">
        <v>0</v>
      </c>
      <c r="K357">
        <v>201</v>
      </c>
      <c r="L357">
        <v>156</v>
      </c>
      <c r="M357">
        <v>75</v>
      </c>
      <c r="N357">
        <v>30.256830000000001</v>
      </c>
      <c r="O357">
        <v>13.46612</v>
      </c>
      <c r="P357">
        <v>23.66065</v>
      </c>
      <c r="Q357">
        <v>18284</v>
      </c>
    </row>
    <row r="358" spans="1:17" x14ac:dyDescent="0.25">
      <c r="A358" t="s">
        <v>19</v>
      </c>
      <c r="B358">
        <v>18</v>
      </c>
      <c r="C358">
        <v>0.95</v>
      </c>
      <c r="D358">
        <v>2017</v>
      </c>
      <c r="E358" t="s">
        <v>18</v>
      </c>
      <c r="F358">
        <v>2017105</v>
      </c>
      <c r="G358">
        <v>2017162</v>
      </c>
      <c r="H358">
        <v>4409</v>
      </c>
      <c r="I358">
        <v>609</v>
      </c>
      <c r="J358">
        <v>0</v>
      </c>
      <c r="K358">
        <v>157</v>
      </c>
      <c r="L358">
        <v>219</v>
      </c>
      <c r="M358">
        <v>75</v>
      </c>
      <c r="N358">
        <v>31.501639999999998</v>
      </c>
      <c r="O358">
        <v>13.56339</v>
      </c>
      <c r="P358">
        <v>24.263940000000002</v>
      </c>
      <c r="Q358">
        <v>19475</v>
      </c>
    </row>
    <row r="359" spans="1:17" x14ac:dyDescent="0.25">
      <c r="A359" t="s">
        <v>19</v>
      </c>
      <c r="B359">
        <v>18</v>
      </c>
      <c r="C359">
        <v>0.95</v>
      </c>
      <c r="D359">
        <v>2018</v>
      </c>
      <c r="E359" t="s">
        <v>18</v>
      </c>
      <c r="F359">
        <v>2018105</v>
      </c>
      <c r="G359">
        <v>2018170</v>
      </c>
      <c r="H359">
        <v>5808</v>
      </c>
      <c r="I359">
        <v>875</v>
      </c>
      <c r="J359">
        <v>0</v>
      </c>
      <c r="K359">
        <v>414</v>
      </c>
      <c r="L359">
        <v>108</v>
      </c>
      <c r="M359">
        <v>75</v>
      </c>
      <c r="N359">
        <v>29.559560000000001</v>
      </c>
      <c r="O359">
        <v>12.98142</v>
      </c>
      <c r="P359">
        <v>23.54645</v>
      </c>
      <c r="Q359">
        <v>28004</v>
      </c>
    </row>
    <row r="360" spans="1:17" x14ac:dyDescent="0.25">
      <c r="A360" t="s">
        <v>19</v>
      </c>
      <c r="B360">
        <v>18</v>
      </c>
      <c r="C360">
        <v>0.95</v>
      </c>
      <c r="D360">
        <v>2019</v>
      </c>
      <c r="E360" t="s">
        <v>18</v>
      </c>
      <c r="F360">
        <v>2019105</v>
      </c>
      <c r="G360">
        <v>2019166</v>
      </c>
      <c r="H360">
        <v>1861</v>
      </c>
      <c r="I360">
        <v>288</v>
      </c>
      <c r="J360">
        <v>0</v>
      </c>
      <c r="K360">
        <v>107</v>
      </c>
      <c r="L360">
        <v>171</v>
      </c>
      <c r="M360">
        <v>75</v>
      </c>
      <c r="N360">
        <v>30.30546</v>
      </c>
      <c r="O360">
        <v>13.096170000000001</v>
      </c>
      <c r="P360">
        <v>24.749179999999999</v>
      </c>
      <c r="Q360">
        <v>9203</v>
      </c>
    </row>
    <row r="361" spans="1:17" x14ac:dyDescent="0.25">
      <c r="A361" t="s">
        <v>19</v>
      </c>
      <c r="B361">
        <v>18</v>
      </c>
      <c r="C361">
        <v>0.95</v>
      </c>
      <c r="D361">
        <v>2020</v>
      </c>
      <c r="E361" t="s">
        <v>18</v>
      </c>
      <c r="F361">
        <v>2020105</v>
      </c>
      <c r="G361">
        <v>2020164</v>
      </c>
      <c r="H361">
        <v>2663</v>
      </c>
      <c r="I361">
        <v>426</v>
      </c>
      <c r="J361">
        <v>0</v>
      </c>
      <c r="K361">
        <v>162</v>
      </c>
      <c r="L361">
        <v>200</v>
      </c>
      <c r="M361">
        <v>75</v>
      </c>
      <c r="N361">
        <v>30.44699</v>
      </c>
      <c r="O361">
        <v>13.341530000000001</v>
      </c>
      <c r="P361">
        <v>24.09835</v>
      </c>
      <c r="Q361">
        <v>13633</v>
      </c>
    </row>
    <row r="362" spans="1:17" x14ac:dyDescent="0.25">
      <c r="A362" t="s">
        <v>19</v>
      </c>
      <c r="B362">
        <v>19</v>
      </c>
      <c r="C362">
        <v>0.94</v>
      </c>
      <c r="D362">
        <v>2001</v>
      </c>
      <c r="E362" t="s">
        <v>17</v>
      </c>
      <c r="F362">
        <v>2001105</v>
      </c>
      <c r="G362">
        <v>2001173</v>
      </c>
      <c r="H362">
        <v>5308</v>
      </c>
      <c r="I362">
        <v>336</v>
      </c>
      <c r="J362">
        <v>0</v>
      </c>
      <c r="K362">
        <v>367</v>
      </c>
      <c r="L362">
        <v>235</v>
      </c>
      <c r="M362">
        <v>100</v>
      </c>
      <c r="N362">
        <v>28.827860000000001</v>
      </c>
      <c r="O362">
        <v>13.722950000000001</v>
      </c>
      <c r="P362">
        <v>25.243169999999999</v>
      </c>
      <c r="Q362">
        <v>9073</v>
      </c>
    </row>
    <row r="363" spans="1:17" x14ac:dyDescent="0.25">
      <c r="A363" t="s">
        <v>19</v>
      </c>
      <c r="B363">
        <v>19</v>
      </c>
      <c r="C363">
        <v>0.94</v>
      </c>
      <c r="D363">
        <v>2002</v>
      </c>
      <c r="E363" t="s">
        <v>17</v>
      </c>
      <c r="F363">
        <v>2002105</v>
      </c>
      <c r="G363">
        <v>2002173</v>
      </c>
      <c r="H363">
        <v>4576</v>
      </c>
      <c r="I363">
        <v>109</v>
      </c>
      <c r="J363">
        <v>0</v>
      </c>
      <c r="K363">
        <v>253</v>
      </c>
      <c r="L363">
        <v>192</v>
      </c>
      <c r="M363">
        <v>100</v>
      </c>
      <c r="N363">
        <v>28.205449999999999</v>
      </c>
      <c r="O363">
        <v>12.78524</v>
      </c>
      <c r="P363">
        <v>25.66011</v>
      </c>
      <c r="Q363">
        <v>2939</v>
      </c>
    </row>
    <row r="364" spans="1:17" x14ac:dyDescent="0.25">
      <c r="A364" t="s">
        <v>19</v>
      </c>
      <c r="B364">
        <v>19</v>
      </c>
      <c r="C364">
        <v>0.94</v>
      </c>
      <c r="D364">
        <v>2003</v>
      </c>
      <c r="E364" t="s">
        <v>17</v>
      </c>
      <c r="F364">
        <v>2003105</v>
      </c>
      <c r="G364">
        <v>2003169</v>
      </c>
      <c r="H364">
        <v>3992</v>
      </c>
      <c r="I364">
        <v>117</v>
      </c>
      <c r="J364">
        <v>0</v>
      </c>
      <c r="K364">
        <v>233</v>
      </c>
      <c r="L364">
        <v>246</v>
      </c>
      <c r="M364">
        <v>100</v>
      </c>
      <c r="N364">
        <v>29.84863</v>
      </c>
      <c r="O364">
        <v>14.468310000000001</v>
      </c>
      <c r="P364">
        <v>26.245360000000002</v>
      </c>
      <c r="Q364">
        <v>3167</v>
      </c>
    </row>
    <row r="365" spans="1:17" x14ac:dyDescent="0.25">
      <c r="A365" t="s">
        <v>19</v>
      </c>
      <c r="B365">
        <v>19</v>
      </c>
      <c r="C365">
        <v>0.94</v>
      </c>
      <c r="D365">
        <v>2004</v>
      </c>
      <c r="E365" t="s">
        <v>17</v>
      </c>
      <c r="F365">
        <v>2004105</v>
      </c>
      <c r="G365">
        <v>2004176</v>
      </c>
      <c r="H365">
        <v>6070</v>
      </c>
      <c r="I365">
        <v>503</v>
      </c>
      <c r="J365">
        <v>0</v>
      </c>
      <c r="K365">
        <v>294</v>
      </c>
      <c r="L365">
        <v>417</v>
      </c>
      <c r="M365">
        <v>100</v>
      </c>
      <c r="N365">
        <v>29.186889999999998</v>
      </c>
      <c r="O365">
        <v>13.10219</v>
      </c>
      <c r="P365">
        <v>25.556830000000001</v>
      </c>
      <c r="Q365">
        <v>13588</v>
      </c>
    </row>
    <row r="366" spans="1:17" x14ac:dyDescent="0.25">
      <c r="A366" t="s">
        <v>19</v>
      </c>
      <c r="B366">
        <v>19</v>
      </c>
      <c r="C366">
        <v>0.94</v>
      </c>
      <c r="D366">
        <v>2005</v>
      </c>
      <c r="E366" t="s">
        <v>17</v>
      </c>
      <c r="F366">
        <v>2005105</v>
      </c>
      <c r="G366">
        <v>2005166</v>
      </c>
      <c r="H366">
        <v>2168</v>
      </c>
      <c r="I366">
        <v>174</v>
      </c>
      <c r="J366">
        <v>0</v>
      </c>
      <c r="K366">
        <v>127</v>
      </c>
      <c r="L366">
        <v>180</v>
      </c>
      <c r="M366">
        <v>100</v>
      </c>
      <c r="N366">
        <v>30.51858</v>
      </c>
      <c r="O366">
        <v>13.84972</v>
      </c>
      <c r="P366">
        <v>26.609300000000001</v>
      </c>
      <c r="Q366">
        <v>4701</v>
      </c>
    </row>
    <row r="367" spans="1:17" x14ac:dyDescent="0.25">
      <c r="A367" t="s">
        <v>19</v>
      </c>
      <c r="B367">
        <v>19</v>
      </c>
      <c r="C367">
        <v>0.94</v>
      </c>
      <c r="D367">
        <v>2006</v>
      </c>
      <c r="E367" t="s">
        <v>17</v>
      </c>
      <c r="F367">
        <v>2006105</v>
      </c>
      <c r="G367">
        <v>2006168</v>
      </c>
      <c r="H367">
        <v>3185</v>
      </c>
      <c r="I367">
        <v>590</v>
      </c>
      <c r="J367">
        <v>0</v>
      </c>
      <c r="K367">
        <v>235</v>
      </c>
      <c r="L367">
        <v>129</v>
      </c>
      <c r="M367">
        <v>100</v>
      </c>
      <c r="N367">
        <v>30.556280000000001</v>
      </c>
      <c r="O367">
        <v>14.12459</v>
      </c>
      <c r="P367">
        <v>24.474319999999999</v>
      </c>
      <c r="Q367">
        <v>15943</v>
      </c>
    </row>
    <row r="368" spans="1:17" x14ac:dyDescent="0.25">
      <c r="A368" t="s">
        <v>19</v>
      </c>
      <c r="B368">
        <v>19</v>
      </c>
      <c r="C368">
        <v>0.94</v>
      </c>
      <c r="D368">
        <v>2007</v>
      </c>
      <c r="E368" t="s">
        <v>17</v>
      </c>
      <c r="F368">
        <v>2007105</v>
      </c>
      <c r="G368">
        <v>2007175</v>
      </c>
      <c r="H368">
        <v>5747</v>
      </c>
      <c r="I368">
        <v>360</v>
      </c>
      <c r="J368">
        <v>0</v>
      </c>
      <c r="K368">
        <v>258</v>
      </c>
      <c r="L368">
        <v>349</v>
      </c>
      <c r="M368">
        <v>100</v>
      </c>
      <c r="N368">
        <v>28.787990000000001</v>
      </c>
      <c r="O368">
        <v>13.060650000000001</v>
      </c>
      <c r="P368">
        <v>23.89781</v>
      </c>
      <c r="Q368">
        <v>9715</v>
      </c>
    </row>
    <row r="369" spans="1:17" x14ac:dyDescent="0.25">
      <c r="A369" t="s">
        <v>19</v>
      </c>
      <c r="B369">
        <v>19</v>
      </c>
      <c r="C369">
        <v>0.94</v>
      </c>
      <c r="D369">
        <v>2008</v>
      </c>
      <c r="E369" t="s">
        <v>17</v>
      </c>
      <c r="F369">
        <v>2008105</v>
      </c>
      <c r="G369">
        <v>2008176</v>
      </c>
      <c r="H369">
        <v>5344</v>
      </c>
      <c r="I369">
        <v>344</v>
      </c>
      <c r="J369">
        <v>0</v>
      </c>
      <c r="K369">
        <v>331</v>
      </c>
      <c r="L369">
        <v>176</v>
      </c>
      <c r="M369">
        <v>100</v>
      </c>
      <c r="N369">
        <v>27.680319999999998</v>
      </c>
      <c r="O369">
        <v>12.710380000000001</v>
      </c>
      <c r="P369">
        <v>23.45082</v>
      </c>
      <c r="Q369">
        <v>9280</v>
      </c>
    </row>
    <row r="370" spans="1:17" x14ac:dyDescent="0.25">
      <c r="A370" t="s">
        <v>19</v>
      </c>
      <c r="B370">
        <v>19</v>
      </c>
      <c r="C370">
        <v>0.94</v>
      </c>
      <c r="D370">
        <v>2009</v>
      </c>
      <c r="E370" t="s">
        <v>17</v>
      </c>
      <c r="F370">
        <v>2009105</v>
      </c>
      <c r="G370">
        <v>2009173</v>
      </c>
      <c r="H370">
        <v>3420</v>
      </c>
      <c r="I370">
        <v>121</v>
      </c>
      <c r="J370">
        <v>0</v>
      </c>
      <c r="K370">
        <v>106</v>
      </c>
      <c r="L370">
        <v>231</v>
      </c>
      <c r="M370">
        <v>100</v>
      </c>
      <c r="N370">
        <v>30.207630000000002</v>
      </c>
      <c r="O370">
        <v>13.39672</v>
      </c>
      <c r="P370">
        <v>24.414200000000001</v>
      </c>
      <c r="Q370">
        <v>3260</v>
      </c>
    </row>
    <row r="371" spans="1:17" x14ac:dyDescent="0.25">
      <c r="A371" t="s">
        <v>19</v>
      </c>
      <c r="B371">
        <v>19</v>
      </c>
      <c r="C371">
        <v>0.94</v>
      </c>
      <c r="D371">
        <v>2010</v>
      </c>
      <c r="E371" t="s">
        <v>18</v>
      </c>
      <c r="F371">
        <v>2010105</v>
      </c>
      <c r="G371">
        <v>2010166</v>
      </c>
      <c r="H371">
        <v>6269</v>
      </c>
      <c r="I371">
        <v>1376</v>
      </c>
      <c r="J371">
        <v>0</v>
      </c>
      <c r="K371">
        <v>357</v>
      </c>
      <c r="L371">
        <v>548</v>
      </c>
      <c r="M371">
        <v>100</v>
      </c>
      <c r="N371">
        <v>29.127870000000001</v>
      </c>
      <c r="O371">
        <v>14.28908</v>
      </c>
      <c r="P371">
        <v>24.13334</v>
      </c>
      <c r="Q371">
        <v>37153</v>
      </c>
    </row>
    <row r="372" spans="1:17" x14ac:dyDescent="0.25">
      <c r="A372" t="s">
        <v>19</v>
      </c>
      <c r="B372">
        <v>19</v>
      </c>
      <c r="C372">
        <v>0.94</v>
      </c>
      <c r="D372">
        <v>2011</v>
      </c>
      <c r="E372" t="s">
        <v>18</v>
      </c>
      <c r="F372">
        <v>2011105</v>
      </c>
      <c r="G372">
        <v>2011164</v>
      </c>
      <c r="H372">
        <v>6885</v>
      </c>
      <c r="I372">
        <v>1129</v>
      </c>
      <c r="J372">
        <v>0</v>
      </c>
      <c r="K372">
        <v>224</v>
      </c>
      <c r="L372">
        <v>482</v>
      </c>
      <c r="M372">
        <v>100</v>
      </c>
      <c r="N372">
        <v>30.398910000000001</v>
      </c>
      <c r="O372">
        <v>13.246449999999999</v>
      </c>
      <c r="P372">
        <v>23.627320000000001</v>
      </c>
      <c r="Q372">
        <v>30482</v>
      </c>
    </row>
    <row r="373" spans="1:17" x14ac:dyDescent="0.25">
      <c r="A373" t="s">
        <v>19</v>
      </c>
      <c r="B373">
        <v>19</v>
      </c>
      <c r="C373">
        <v>0.94</v>
      </c>
      <c r="D373">
        <v>2012</v>
      </c>
      <c r="E373" t="s">
        <v>18</v>
      </c>
      <c r="F373">
        <v>2012105</v>
      </c>
      <c r="G373">
        <v>2012166</v>
      </c>
      <c r="H373">
        <v>1893</v>
      </c>
      <c r="I373">
        <v>377</v>
      </c>
      <c r="J373">
        <v>0</v>
      </c>
      <c r="K373">
        <v>213</v>
      </c>
      <c r="L373">
        <v>159</v>
      </c>
      <c r="M373">
        <v>100</v>
      </c>
      <c r="N373">
        <v>29.80602</v>
      </c>
      <c r="O373">
        <v>13.278689999999999</v>
      </c>
      <c r="P373">
        <v>24.363389999999999</v>
      </c>
      <c r="Q373">
        <v>10183</v>
      </c>
    </row>
    <row r="374" spans="1:17" x14ac:dyDescent="0.25">
      <c r="A374" t="s">
        <v>19</v>
      </c>
      <c r="B374">
        <v>19</v>
      </c>
      <c r="C374">
        <v>0.94</v>
      </c>
      <c r="D374">
        <v>2013</v>
      </c>
      <c r="E374" t="s">
        <v>18</v>
      </c>
      <c r="F374">
        <v>2013105</v>
      </c>
      <c r="G374">
        <v>2013171</v>
      </c>
      <c r="H374">
        <v>5308</v>
      </c>
      <c r="I374">
        <v>677</v>
      </c>
      <c r="J374">
        <v>0</v>
      </c>
      <c r="K374">
        <v>289</v>
      </c>
      <c r="L374">
        <v>316</v>
      </c>
      <c r="M374">
        <v>100</v>
      </c>
      <c r="N374">
        <v>29.261759999999999</v>
      </c>
      <c r="O374">
        <v>12.67267</v>
      </c>
      <c r="P374">
        <v>24.389620000000001</v>
      </c>
      <c r="Q374">
        <v>18280</v>
      </c>
    </row>
    <row r="375" spans="1:17" x14ac:dyDescent="0.25">
      <c r="A375" t="s">
        <v>19</v>
      </c>
      <c r="B375">
        <v>19</v>
      </c>
      <c r="C375">
        <v>0.94</v>
      </c>
      <c r="D375">
        <v>2014</v>
      </c>
      <c r="E375" t="s">
        <v>18</v>
      </c>
      <c r="F375">
        <v>2014105</v>
      </c>
      <c r="G375">
        <v>2014165</v>
      </c>
      <c r="H375">
        <v>5395</v>
      </c>
      <c r="I375">
        <v>667</v>
      </c>
      <c r="J375">
        <v>0</v>
      </c>
      <c r="K375">
        <v>298</v>
      </c>
      <c r="L375">
        <v>266</v>
      </c>
      <c r="M375">
        <v>100</v>
      </c>
      <c r="N375">
        <v>28.684699999999999</v>
      </c>
      <c r="O375">
        <v>12.87923</v>
      </c>
      <c r="P375">
        <v>24.371030000000001</v>
      </c>
      <c r="Q375">
        <v>18006</v>
      </c>
    </row>
    <row r="376" spans="1:17" x14ac:dyDescent="0.25">
      <c r="A376" t="s">
        <v>19</v>
      </c>
      <c r="B376">
        <v>19</v>
      </c>
      <c r="C376">
        <v>0.94</v>
      </c>
      <c r="D376">
        <v>2015</v>
      </c>
      <c r="E376" t="s">
        <v>18</v>
      </c>
      <c r="F376">
        <v>2015105</v>
      </c>
      <c r="G376">
        <v>2015162</v>
      </c>
      <c r="H376">
        <v>3780</v>
      </c>
      <c r="I376">
        <v>245</v>
      </c>
      <c r="J376">
        <v>0</v>
      </c>
      <c r="K376">
        <v>97</v>
      </c>
      <c r="L376">
        <v>206</v>
      </c>
      <c r="M376">
        <v>100</v>
      </c>
      <c r="N376">
        <v>30.239899999999999</v>
      </c>
      <c r="O376">
        <v>13.583600000000001</v>
      </c>
      <c r="P376">
        <v>24.082519999999999</v>
      </c>
      <c r="Q376">
        <v>6610</v>
      </c>
    </row>
    <row r="377" spans="1:17" x14ac:dyDescent="0.25">
      <c r="A377" t="s">
        <v>19</v>
      </c>
      <c r="B377">
        <v>19</v>
      </c>
      <c r="C377">
        <v>0.94</v>
      </c>
      <c r="D377">
        <v>2016</v>
      </c>
      <c r="E377" t="s">
        <v>18</v>
      </c>
      <c r="F377">
        <v>2016105</v>
      </c>
      <c r="G377">
        <v>2016170</v>
      </c>
      <c r="H377">
        <v>3496</v>
      </c>
      <c r="I377">
        <v>678</v>
      </c>
      <c r="J377">
        <v>0</v>
      </c>
      <c r="K377">
        <v>201</v>
      </c>
      <c r="L377">
        <v>156</v>
      </c>
      <c r="M377">
        <v>100</v>
      </c>
      <c r="N377">
        <v>30.256830000000001</v>
      </c>
      <c r="O377">
        <v>13.46612</v>
      </c>
      <c r="P377">
        <v>23.66065</v>
      </c>
      <c r="Q377">
        <v>18313</v>
      </c>
    </row>
    <row r="378" spans="1:17" x14ac:dyDescent="0.25">
      <c r="A378" t="s">
        <v>19</v>
      </c>
      <c r="B378">
        <v>19</v>
      </c>
      <c r="C378">
        <v>0.94</v>
      </c>
      <c r="D378">
        <v>2017</v>
      </c>
      <c r="E378" t="s">
        <v>18</v>
      </c>
      <c r="F378">
        <v>2017105</v>
      </c>
      <c r="G378">
        <v>2017162</v>
      </c>
      <c r="H378">
        <v>4416</v>
      </c>
      <c r="I378">
        <v>654</v>
      </c>
      <c r="J378">
        <v>0</v>
      </c>
      <c r="K378">
        <v>157</v>
      </c>
      <c r="L378">
        <v>219</v>
      </c>
      <c r="M378">
        <v>100</v>
      </c>
      <c r="N378">
        <v>31.501639999999998</v>
      </c>
      <c r="O378">
        <v>13.56339</v>
      </c>
      <c r="P378">
        <v>24.263940000000002</v>
      </c>
      <c r="Q378">
        <v>17661</v>
      </c>
    </row>
    <row r="379" spans="1:17" x14ac:dyDescent="0.25">
      <c r="A379" t="s">
        <v>19</v>
      </c>
      <c r="B379">
        <v>19</v>
      </c>
      <c r="C379">
        <v>0.94</v>
      </c>
      <c r="D379">
        <v>2018</v>
      </c>
      <c r="E379" t="s">
        <v>18</v>
      </c>
      <c r="F379">
        <v>2018105</v>
      </c>
      <c r="G379">
        <v>2018170</v>
      </c>
      <c r="H379">
        <v>6430</v>
      </c>
      <c r="I379">
        <v>853</v>
      </c>
      <c r="J379">
        <v>0</v>
      </c>
      <c r="K379">
        <v>414</v>
      </c>
      <c r="L379">
        <v>108</v>
      </c>
      <c r="M379">
        <v>100</v>
      </c>
      <c r="N379">
        <v>29.559560000000001</v>
      </c>
      <c r="O379">
        <v>12.98142</v>
      </c>
      <c r="P379">
        <v>23.54645</v>
      </c>
      <c r="Q379">
        <v>23039</v>
      </c>
    </row>
    <row r="380" spans="1:17" x14ac:dyDescent="0.25">
      <c r="A380" t="s">
        <v>19</v>
      </c>
      <c r="B380">
        <v>19</v>
      </c>
      <c r="C380">
        <v>0.94</v>
      </c>
      <c r="D380">
        <v>2019</v>
      </c>
      <c r="E380" t="s">
        <v>18</v>
      </c>
      <c r="F380">
        <v>2019105</v>
      </c>
      <c r="G380">
        <v>2019166</v>
      </c>
      <c r="H380">
        <v>1851</v>
      </c>
      <c r="I380">
        <v>305</v>
      </c>
      <c r="J380">
        <v>0</v>
      </c>
      <c r="K380">
        <v>107</v>
      </c>
      <c r="L380">
        <v>171</v>
      </c>
      <c r="M380">
        <v>100</v>
      </c>
      <c r="N380">
        <v>30.30546</v>
      </c>
      <c r="O380">
        <v>13.096170000000001</v>
      </c>
      <c r="P380">
        <v>24.749179999999999</v>
      </c>
      <c r="Q380">
        <v>8233</v>
      </c>
    </row>
    <row r="381" spans="1:17" x14ac:dyDescent="0.25">
      <c r="A381" t="s">
        <v>19</v>
      </c>
      <c r="B381">
        <v>19</v>
      </c>
      <c r="C381">
        <v>0.94</v>
      </c>
      <c r="D381">
        <v>2020</v>
      </c>
      <c r="E381" t="s">
        <v>18</v>
      </c>
      <c r="F381">
        <v>2020105</v>
      </c>
      <c r="G381">
        <v>2020164</v>
      </c>
      <c r="H381">
        <v>2600</v>
      </c>
      <c r="I381">
        <v>406</v>
      </c>
      <c r="J381">
        <v>0</v>
      </c>
      <c r="K381">
        <v>162</v>
      </c>
      <c r="L381">
        <v>200</v>
      </c>
      <c r="M381">
        <v>100</v>
      </c>
      <c r="N381">
        <v>30.44699</v>
      </c>
      <c r="O381">
        <v>13.341530000000001</v>
      </c>
      <c r="P381">
        <v>24.09835</v>
      </c>
      <c r="Q381">
        <v>10964</v>
      </c>
    </row>
    <row r="382" spans="1:17" x14ac:dyDescent="0.25">
      <c r="A382" t="s">
        <v>19</v>
      </c>
      <c r="B382">
        <v>20</v>
      </c>
      <c r="C382">
        <v>1.08</v>
      </c>
      <c r="D382">
        <v>2001</v>
      </c>
      <c r="E382" t="s">
        <v>17</v>
      </c>
      <c r="F382">
        <v>2001105</v>
      </c>
      <c r="G382">
        <v>2001173</v>
      </c>
      <c r="H382">
        <v>6438</v>
      </c>
      <c r="I382">
        <v>657</v>
      </c>
      <c r="J382">
        <v>0</v>
      </c>
      <c r="K382">
        <v>367</v>
      </c>
      <c r="L382">
        <v>235</v>
      </c>
      <c r="M382">
        <v>125</v>
      </c>
      <c r="N382">
        <v>28.827860000000001</v>
      </c>
      <c r="O382">
        <v>13.722950000000001</v>
      </c>
      <c r="P382">
        <v>25.243169999999999</v>
      </c>
      <c r="Q382">
        <v>17737</v>
      </c>
    </row>
    <row r="383" spans="1:17" x14ac:dyDescent="0.25">
      <c r="A383" t="s">
        <v>19</v>
      </c>
      <c r="B383">
        <v>20</v>
      </c>
      <c r="C383">
        <v>1.08</v>
      </c>
      <c r="D383">
        <v>2002</v>
      </c>
      <c r="E383" t="s">
        <v>17</v>
      </c>
      <c r="F383">
        <v>2002105</v>
      </c>
      <c r="G383">
        <v>2002173</v>
      </c>
      <c r="H383">
        <v>4864</v>
      </c>
      <c r="I383">
        <v>138</v>
      </c>
      <c r="J383">
        <v>0</v>
      </c>
      <c r="K383">
        <v>253</v>
      </c>
      <c r="L383">
        <v>192</v>
      </c>
      <c r="M383">
        <v>125</v>
      </c>
      <c r="N383">
        <v>28.205449999999999</v>
      </c>
      <c r="O383">
        <v>12.78524</v>
      </c>
      <c r="P383">
        <v>25.66011</v>
      </c>
      <c r="Q383">
        <v>3720</v>
      </c>
    </row>
    <row r="384" spans="1:17" x14ac:dyDescent="0.25">
      <c r="A384" t="s">
        <v>19</v>
      </c>
      <c r="B384">
        <v>20</v>
      </c>
      <c r="C384">
        <v>1.08</v>
      </c>
      <c r="D384">
        <v>2003</v>
      </c>
      <c r="E384" t="s">
        <v>17</v>
      </c>
      <c r="F384">
        <v>2003105</v>
      </c>
      <c r="G384">
        <v>2003169</v>
      </c>
      <c r="H384">
        <v>3889</v>
      </c>
      <c r="I384">
        <v>242</v>
      </c>
      <c r="J384">
        <v>0</v>
      </c>
      <c r="K384">
        <v>233</v>
      </c>
      <c r="L384">
        <v>246</v>
      </c>
      <c r="M384">
        <v>125</v>
      </c>
      <c r="N384">
        <v>29.84863</v>
      </c>
      <c r="O384">
        <v>14.468310000000001</v>
      </c>
      <c r="P384">
        <v>26.245360000000002</v>
      </c>
      <c r="Q384">
        <v>6531</v>
      </c>
    </row>
    <row r="385" spans="1:17" x14ac:dyDescent="0.25">
      <c r="A385" t="s">
        <v>19</v>
      </c>
      <c r="B385">
        <v>20</v>
      </c>
      <c r="C385">
        <v>1.08</v>
      </c>
      <c r="D385">
        <v>2004</v>
      </c>
      <c r="E385" t="s">
        <v>17</v>
      </c>
      <c r="F385">
        <v>2004105</v>
      </c>
      <c r="G385">
        <v>2004176</v>
      </c>
      <c r="H385">
        <v>7426</v>
      </c>
      <c r="I385">
        <v>907</v>
      </c>
      <c r="J385">
        <v>0</v>
      </c>
      <c r="K385">
        <v>294</v>
      </c>
      <c r="L385">
        <v>417</v>
      </c>
      <c r="M385">
        <v>125</v>
      </c>
      <c r="N385">
        <v>29.186889999999998</v>
      </c>
      <c r="O385">
        <v>13.10219</v>
      </c>
      <c r="P385">
        <v>25.556830000000001</v>
      </c>
      <c r="Q385">
        <v>24494</v>
      </c>
    </row>
    <row r="386" spans="1:17" x14ac:dyDescent="0.25">
      <c r="A386" t="s">
        <v>19</v>
      </c>
      <c r="B386">
        <v>20</v>
      </c>
      <c r="C386">
        <v>1.08</v>
      </c>
      <c r="D386">
        <v>2005</v>
      </c>
      <c r="E386" t="s">
        <v>17</v>
      </c>
      <c r="F386">
        <v>2005105</v>
      </c>
      <c r="G386">
        <v>2005166</v>
      </c>
      <c r="H386">
        <v>2216</v>
      </c>
      <c r="I386">
        <v>243</v>
      </c>
      <c r="J386">
        <v>0</v>
      </c>
      <c r="K386">
        <v>127</v>
      </c>
      <c r="L386">
        <v>180</v>
      </c>
      <c r="M386">
        <v>125</v>
      </c>
      <c r="N386">
        <v>30.51858</v>
      </c>
      <c r="O386">
        <v>13.84972</v>
      </c>
      <c r="P386">
        <v>26.609300000000001</v>
      </c>
      <c r="Q386">
        <v>6555</v>
      </c>
    </row>
    <row r="387" spans="1:17" x14ac:dyDescent="0.25">
      <c r="A387" t="s">
        <v>19</v>
      </c>
      <c r="B387">
        <v>20</v>
      </c>
      <c r="C387">
        <v>1.08</v>
      </c>
      <c r="D387">
        <v>2006</v>
      </c>
      <c r="E387" t="s">
        <v>17</v>
      </c>
      <c r="F387">
        <v>2006105</v>
      </c>
      <c r="G387">
        <v>2006168</v>
      </c>
      <c r="H387">
        <v>3306</v>
      </c>
      <c r="I387">
        <v>688</v>
      </c>
      <c r="J387">
        <v>0</v>
      </c>
      <c r="K387">
        <v>235</v>
      </c>
      <c r="L387">
        <v>129</v>
      </c>
      <c r="M387">
        <v>125</v>
      </c>
      <c r="N387">
        <v>30.556280000000001</v>
      </c>
      <c r="O387">
        <v>14.12459</v>
      </c>
      <c r="P387">
        <v>24.474319999999999</v>
      </c>
      <c r="Q387">
        <v>18577</v>
      </c>
    </row>
    <row r="388" spans="1:17" x14ac:dyDescent="0.25">
      <c r="A388" t="s">
        <v>19</v>
      </c>
      <c r="B388">
        <v>20</v>
      </c>
      <c r="C388">
        <v>1.08</v>
      </c>
      <c r="D388">
        <v>2007</v>
      </c>
      <c r="E388" t="s">
        <v>17</v>
      </c>
      <c r="F388">
        <v>2007105</v>
      </c>
      <c r="G388">
        <v>2007175</v>
      </c>
      <c r="H388">
        <v>7031</v>
      </c>
      <c r="I388">
        <v>841</v>
      </c>
      <c r="J388">
        <v>0</v>
      </c>
      <c r="K388">
        <v>258</v>
      </c>
      <c r="L388">
        <v>349</v>
      </c>
      <c r="M388">
        <v>125</v>
      </c>
      <c r="N388">
        <v>28.787990000000001</v>
      </c>
      <c r="O388">
        <v>13.060650000000001</v>
      </c>
      <c r="P388">
        <v>23.89781</v>
      </c>
      <c r="Q388">
        <v>22712</v>
      </c>
    </row>
    <row r="389" spans="1:17" x14ac:dyDescent="0.25">
      <c r="A389" t="s">
        <v>19</v>
      </c>
      <c r="B389">
        <v>20</v>
      </c>
      <c r="C389">
        <v>1.08</v>
      </c>
      <c r="D389">
        <v>2008</v>
      </c>
      <c r="E389" t="s">
        <v>18</v>
      </c>
      <c r="F389">
        <v>2008105</v>
      </c>
      <c r="G389">
        <v>2008171</v>
      </c>
      <c r="H389">
        <v>6907</v>
      </c>
      <c r="I389">
        <v>908</v>
      </c>
      <c r="J389">
        <v>0</v>
      </c>
      <c r="K389">
        <v>331</v>
      </c>
      <c r="L389">
        <v>176</v>
      </c>
      <c r="M389">
        <v>125</v>
      </c>
      <c r="N389">
        <v>27.680319999999998</v>
      </c>
      <c r="O389">
        <v>12.710380000000001</v>
      </c>
      <c r="P389">
        <v>23.45082</v>
      </c>
      <c r="Q389">
        <v>24529</v>
      </c>
    </row>
    <row r="390" spans="1:17" x14ac:dyDescent="0.25">
      <c r="A390" t="s">
        <v>19</v>
      </c>
      <c r="B390">
        <v>20</v>
      </c>
      <c r="C390">
        <v>1.08</v>
      </c>
      <c r="D390">
        <v>2009</v>
      </c>
      <c r="E390" t="s">
        <v>18</v>
      </c>
      <c r="F390">
        <v>2009105</v>
      </c>
      <c r="G390">
        <v>2009167</v>
      </c>
      <c r="H390">
        <v>4505</v>
      </c>
      <c r="I390">
        <v>573</v>
      </c>
      <c r="J390">
        <v>0</v>
      </c>
      <c r="K390">
        <v>106</v>
      </c>
      <c r="L390">
        <v>231</v>
      </c>
      <c r="M390">
        <v>125</v>
      </c>
      <c r="N390">
        <v>30.207630000000002</v>
      </c>
      <c r="O390">
        <v>13.39672</v>
      </c>
      <c r="P390">
        <v>24.414200000000001</v>
      </c>
      <c r="Q390">
        <v>15481</v>
      </c>
    </row>
    <row r="391" spans="1:17" x14ac:dyDescent="0.25">
      <c r="A391" t="s">
        <v>19</v>
      </c>
      <c r="B391">
        <v>20</v>
      </c>
      <c r="C391">
        <v>1.08</v>
      </c>
      <c r="D391">
        <v>2010</v>
      </c>
      <c r="E391" t="s">
        <v>18</v>
      </c>
      <c r="F391">
        <v>2010105</v>
      </c>
      <c r="G391">
        <v>2010166</v>
      </c>
      <c r="H391">
        <v>8020</v>
      </c>
      <c r="I391">
        <v>2060</v>
      </c>
      <c r="J391">
        <v>0</v>
      </c>
      <c r="K391">
        <v>357</v>
      </c>
      <c r="L391">
        <v>548</v>
      </c>
      <c r="M391">
        <v>125</v>
      </c>
      <c r="N391">
        <v>29.127870000000001</v>
      </c>
      <c r="O391">
        <v>14.28908</v>
      </c>
      <c r="P391">
        <v>24.13334</v>
      </c>
      <c r="Q391">
        <v>55625</v>
      </c>
    </row>
    <row r="392" spans="1:17" x14ac:dyDescent="0.25">
      <c r="A392" t="s">
        <v>19</v>
      </c>
      <c r="B392">
        <v>20</v>
      </c>
      <c r="C392">
        <v>1.08</v>
      </c>
      <c r="D392">
        <v>2011</v>
      </c>
      <c r="E392" t="s">
        <v>18</v>
      </c>
      <c r="F392">
        <v>2011105</v>
      </c>
      <c r="G392">
        <v>2011164</v>
      </c>
      <c r="H392">
        <v>8486</v>
      </c>
      <c r="I392">
        <v>1704</v>
      </c>
      <c r="J392">
        <v>0</v>
      </c>
      <c r="K392">
        <v>224</v>
      </c>
      <c r="L392">
        <v>482</v>
      </c>
      <c r="M392">
        <v>125</v>
      </c>
      <c r="N392">
        <v>30.398910000000001</v>
      </c>
      <c r="O392">
        <v>13.246449999999999</v>
      </c>
      <c r="P392">
        <v>23.627320000000001</v>
      </c>
      <c r="Q392">
        <v>46018</v>
      </c>
    </row>
    <row r="393" spans="1:17" x14ac:dyDescent="0.25">
      <c r="A393" t="s">
        <v>19</v>
      </c>
      <c r="B393">
        <v>20</v>
      </c>
      <c r="C393">
        <v>1.08</v>
      </c>
      <c r="D393">
        <v>2012</v>
      </c>
      <c r="E393" t="s">
        <v>18</v>
      </c>
      <c r="F393">
        <v>2012105</v>
      </c>
      <c r="G393">
        <v>2012166</v>
      </c>
      <c r="H393">
        <v>2003</v>
      </c>
      <c r="I393">
        <v>491</v>
      </c>
      <c r="J393">
        <v>0</v>
      </c>
      <c r="K393">
        <v>213</v>
      </c>
      <c r="L393">
        <v>159</v>
      </c>
      <c r="M393">
        <v>125</v>
      </c>
      <c r="N393">
        <v>29.80602</v>
      </c>
      <c r="O393">
        <v>13.278689999999999</v>
      </c>
      <c r="P393">
        <v>24.363389999999999</v>
      </c>
      <c r="Q393">
        <v>13257</v>
      </c>
    </row>
    <row r="394" spans="1:17" x14ac:dyDescent="0.25">
      <c r="A394" t="s">
        <v>19</v>
      </c>
      <c r="B394">
        <v>20</v>
      </c>
      <c r="C394">
        <v>1.08</v>
      </c>
      <c r="D394">
        <v>2013</v>
      </c>
      <c r="E394" t="s">
        <v>18</v>
      </c>
      <c r="F394">
        <v>2013105</v>
      </c>
      <c r="G394">
        <v>2013171</v>
      </c>
      <c r="H394">
        <v>7099</v>
      </c>
      <c r="I394">
        <v>1126</v>
      </c>
      <c r="J394">
        <v>0</v>
      </c>
      <c r="K394">
        <v>289</v>
      </c>
      <c r="L394">
        <v>316</v>
      </c>
      <c r="M394">
        <v>125</v>
      </c>
      <c r="N394">
        <v>29.261759999999999</v>
      </c>
      <c r="O394">
        <v>12.67267</v>
      </c>
      <c r="P394">
        <v>24.389620000000001</v>
      </c>
      <c r="Q394">
        <v>30414</v>
      </c>
    </row>
    <row r="395" spans="1:17" x14ac:dyDescent="0.25">
      <c r="A395" t="s">
        <v>19</v>
      </c>
      <c r="B395">
        <v>20</v>
      </c>
      <c r="C395">
        <v>1.08</v>
      </c>
      <c r="D395">
        <v>2014</v>
      </c>
      <c r="E395" t="s">
        <v>18</v>
      </c>
      <c r="F395">
        <v>2014105</v>
      </c>
      <c r="G395">
        <v>2014165</v>
      </c>
      <c r="H395">
        <v>6335</v>
      </c>
      <c r="I395">
        <v>822</v>
      </c>
      <c r="J395">
        <v>0</v>
      </c>
      <c r="K395">
        <v>298</v>
      </c>
      <c r="L395">
        <v>266</v>
      </c>
      <c r="M395">
        <v>125</v>
      </c>
      <c r="N395">
        <v>28.684699999999999</v>
      </c>
      <c r="O395">
        <v>12.87923</v>
      </c>
      <c r="P395">
        <v>24.371030000000001</v>
      </c>
      <c r="Q395">
        <v>22184</v>
      </c>
    </row>
    <row r="396" spans="1:17" x14ac:dyDescent="0.25">
      <c r="A396" t="s">
        <v>19</v>
      </c>
      <c r="B396">
        <v>20</v>
      </c>
      <c r="C396">
        <v>1.08</v>
      </c>
      <c r="D396">
        <v>2015</v>
      </c>
      <c r="E396" t="s">
        <v>18</v>
      </c>
      <c r="F396">
        <v>2015105</v>
      </c>
      <c r="G396">
        <v>2015162</v>
      </c>
      <c r="H396">
        <v>4130</v>
      </c>
      <c r="I396">
        <v>277</v>
      </c>
      <c r="J396">
        <v>0</v>
      </c>
      <c r="K396">
        <v>97</v>
      </c>
      <c r="L396">
        <v>206</v>
      </c>
      <c r="M396">
        <v>125</v>
      </c>
      <c r="N396">
        <v>30.239899999999999</v>
      </c>
      <c r="O396">
        <v>13.583600000000001</v>
      </c>
      <c r="P396">
        <v>24.082519999999999</v>
      </c>
      <c r="Q396">
        <v>7486</v>
      </c>
    </row>
    <row r="397" spans="1:17" x14ac:dyDescent="0.25">
      <c r="A397" t="s">
        <v>19</v>
      </c>
      <c r="B397">
        <v>20</v>
      </c>
      <c r="C397">
        <v>1.08</v>
      </c>
      <c r="D397">
        <v>2016</v>
      </c>
      <c r="E397" t="s">
        <v>18</v>
      </c>
      <c r="F397">
        <v>2016105</v>
      </c>
      <c r="G397">
        <v>2016170</v>
      </c>
      <c r="H397">
        <v>3648</v>
      </c>
      <c r="I397">
        <v>823</v>
      </c>
      <c r="J397">
        <v>0</v>
      </c>
      <c r="K397">
        <v>201</v>
      </c>
      <c r="L397">
        <v>156</v>
      </c>
      <c r="M397">
        <v>125</v>
      </c>
      <c r="N397">
        <v>30.256830000000001</v>
      </c>
      <c r="O397">
        <v>13.46612</v>
      </c>
      <c r="P397">
        <v>23.66065</v>
      </c>
      <c r="Q397">
        <v>22220</v>
      </c>
    </row>
    <row r="398" spans="1:17" x14ac:dyDescent="0.25">
      <c r="A398" t="s">
        <v>19</v>
      </c>
      <c r="B398">
        <v>20</v>
      </c>
      <c r="C398">
        <v>1.08</v>
      </c>
      <c r="D398">
        <v>2017</v>
      </c>
      <c r="E398" t="s">
        <v>18</v>
      </c>
      <c r="F398">
        <v>2017105</v>
      </c>
      <c r="G398">
        <v>2017162</v>
      </c>
      <c r="H398">
        <v>4508</v>
      </c>
      <c r="I398">
        <v>807</v>
      </c>
      <c r="J398">
        <v>0</v>
      </c>
      <c r="K398">
        <v>157</v>
      </c>
      <c r="L398">
        <v>219</v>
      </c>
      <c r="M398">
        <v>125</v>
      </c>
      <c r="N398">
        <v>31.501639999999998</v>
      </c>
      <c r="O398">
        <v>13.56339</v>
      </c>
      <c r="P398">
        <v>24.263940000000002</v>
      </c>
      <c r="Q398">
        <v>21796</v>
      </c>
    </row>
    <row r="399" spans="1:17" x14ac:dyDescent="0.25">
      <c r="A399" t="s">
        <v>19</v>
      </c>
      <c r="B399">
        <v>20</v>
      </c>
      <c r="C399">
        <v>1.08</v>
      </c>
      <c r="D399">
        <v>2018</v>
      </c>
      <c r="E399" t="s">
        <v>18</v>
      </c>
      <c r="F399">
        <v>2018105</v>
      </c>
      <c r="G399">
        <v>2018170</v>
      </c>
      <c r="H399">
        <v>7936</v>
      </c>
      <c r="I399">
        <v>1410</v>
      </c>
      <c r="J399">
        <v>0</v>
      </c>
      <c r="K399">
        <v>414</v>
      </c>
      <c r="L399">
        <v>108</v>
      </c>
      <c r="M399">
        <v>125</v>
      </c>
      <c r="N399">
        <v>29.559560000000001</v>
      </c>
      <c r="O399">
        <v>12.98142</v>
      </c>
      <c r="P399">
        <v>23.54645</v>
      </c>
      <c r="Q399">
        <v>38064</v>
      </c>
    </row>
    <row r="400" spans="1:17" x14ac:dyDescent="0.25">
      <c r="A400" t="s">
        <v>19</v>
      </c>
      <c r="B400">
        <v>20</v>
      </c>
      <c r="C400">
        <v>1.08</v>
      </c>
      <c r="D400">
        <v>2019</v>
      </c>
      <c r="E400" t="s">
        <v>18</v>
      </c>
      <c r="F400">
        <v>2019105</v>
      </c>
      <c r="G400">
        <v>2019166</v>
      </c>
      <c r="H400">
        <v>1972</v>
      </c>
      <c r="I400">
        <v>420</v>
      </c>
      <c r="J400">
        <v>0</v>
      </c>
      <c r="K400">
        <v>107</v>
      </c>
      <c r="L400">
        <v>171</v>
      </c>
      <c r="M400">
        <v>125</v>
      </c>
      <c r="N400">
        <v>30.30546</v>
      </c>
      <c r="O400">
        <v>13.096170000000001</v>
      </c>
      <c r="P400">
        <v>24.749179999999999</v>
      </c>
      <c r="Q400">
        <v>11344</v>
      </c>
    </row>
    <row r="401" spans="1:17" x14ac:dyDescent="0.25">
      <c r="A401" t="s">
        <v>19</v>
      </c>
      <c r="B401">
        <v>20</v>
      </c>
      <c r="C401">
        <v>1.08</v>
      </c>
      <c r="D401">
        <v>2020</v>
      </c>
      <c r="E401" t="s">
        <v>18</v>
      </c>
      <c r="F401">
        <v>2020105</v>
      </c>
      <c r="G401">
        <v>2020164</v>
      </c>
      <c r="H401">
        <v>2736</v>
      </c>
      <c r="I401">
        <v>546</v>
      </c>
      <c r="J401">
        <v>0</v>
      </c>
      <c r="K401">
        <v>162</v>
      </c>
      <c r="L401">
        <v>200</v>
      </c>
      <c r="M401">
        <v>125</v>
      </c>
      <c r="N401">
        <v>30.44699</v>
      </c>
      <c r="O401">
        <v>13.341530000000001</v>
      </c>
      <c r="P401">
        <v>24.09835</v>
      </c>
      <c r="Q401">
        <v>14756</v>
      </c>
    </row>
    <row r="402" spans="1:17" x14ac:dyDescent="0.25">
      <c r="A402" t="s">
        <v>19</v>
      </c>
      <c r="B402">
        <v>21</v>
      </c>
      <c r="C402">
        <v>1.0900000000000001</v>
      </c>
      <c r="D402">
        <v>2001</v>
      </c>
      <c r="E402" t="s">
        <v>17</v>
      </c>
      <c r="F402">
        <v>2001105</v>
      </c>
      <c r="G402">
        <v>2001173</v>
      </c>
      <c r="H402">
        <v>6905</v>
      </c>
      <c r="I402">
        <v>456</v>
      </c>
      <c r="J402">
        <v>50</v>
      </c>
      <c r="K402">
        <v>367</v>
      </c>
      <c r="L402">
        <v>235</v>
      </c>
      <c r="M402">
        <v>125</v>
      </c>
      <c r="N402">
        <v>28.827860000000001</v>
      </c>
      <c r="O402">
        <v>13.722950000000001</v>
      </c>
      <c r="P402">
        <v>25.243169999999999</v>
      </c>
      <c r="Q402">
        <v>13216</v>
      </c>
    </row>
    <row r="403" spans="1:17" x14ac:dyDescent="0.25">
      <c r="A403" t="s">
        <v>19</v>
      </c>
      <c r="B403">
        <v>21</v>
      </c>
      <c r="C403">
        <v>1.0900000000000001</v>
      </c>
      <c r="D403">
        <v>2002</v>
      </c>
      <c r="E403" t="s">
        <v>17</v>
      </c>
      <c r="F403">
        <v>2002105</v>
      </c>
      <c r="G403">
        <v>2002173</v>
      </c>
      <c r="H403">
        <v>6828</v>
      </c>
      <c r="I403">
        <v>414</v>
      </c>
      <c r="J403">
        <v>50</v>
      </c>
      <c r="K403">
        <v>253</v>
      </c>
      <c r="L403">
        <v>192</v>
      </c>
      <c r="M403">
        <v>125</v>
      </c>
      <c r="N403">
        <v>28.205449999999999</v>
      </c>
      <c r="O403">
        <v>12.78524</v>
      </c>
      <c r="P403">
        <v>25.66011</v>
      </c>
      <c r="Q403">
        <v>11993</v>
      </c>
    </row>
    <row r="404" spans="1:17" x14ac:dyDescent="0.25">
      <c r="A404" t="s">
        <v>19</v>
      </c>
      <c r="B404">
        <v>21</v>
      </c>
      <c r="C404">
        <v>1.0900000000000001</v>
      </c>
      <c r="D404">
        <v>2003</v>
      </c>
      <c r="E404" t="s">
        <v>17</v>
      </c>
      <c r="F404">
        <v>2003105</v>
      </c>
      <c r="G404">
        <v>2003169</v>
      </c>
      <c r="H404">
        <v>5892</v>
      </c>
      <c r="I404">
        <v>404</v>
      </c>
      <c r="J404">
        <v>50</v>
      </c>
      <c r="K404">
        <v>233</v>
      </c>
      <c r="L404">
        <v>246</v>
      </c>
      <c r="M404">
        <v>125</v>
      </c>
      <c r="N404">
        <v>29.84863</v>
      </c>
      <c r="O404">
        <v>14.468310000000001</v>
      </c>
      <c r="P404">
        <v>26.245360000000002</v>
      </c>
      <c r="Q404">
        <v>11730</v>
      </c>
    </row>
    <row r="405" spans="1:17" x14ac:dyDescent="0.25">
      <c r="A405" t="s">
        <v>19</v>
      </c>
      <c r="B405">
        <v>21</v>
      </c>
      <c r="C405">
        <v>1.0900000000000001</v>
      </c>
      <c r="D405">
        <v>2004</v>
      </c>
      <c r="E405" t="s">
        <v>17</v>
      </c>
      <c r="F405">
        <v>2004105</v>
      </c>
      <c r="G405">
        <v>2004176</v>
      </c>
      <c r="H405">
        <v>7072</v>
      </c>
      <c r="I405">
        <v>775</v>
      </c>
      <c r="J405">
        <v>50</v>
      </c>
      <c r="K405">
        <v>294</v>
      </c>
      <c r="L405">
        <v>417</v>
      </c>
      <c r="M405">
        <v>125</v>
      </c>
      <c r="N405">
        <v>29.186889999999998</v>
      </c>
      <c r="O405">
        <v>13.10219</v>
      </c>
      <c r="P405">
        <v>25.556830000000001</v>
      </c>
      <c r="Q405">
        <v>22467</v>
      </c>
    </row>
    <row r="406" spans="1:17" x14ac:dyDescent="0.25">
      <c r="A406" t="s">
        <v>19</v>
      </c>
      <c r="B406">
        <v>21</v>
      </c>
      <c r="C406">
        <v>1.0900000000000001</v>
      </c>
      <c r="D406">
        <v>2005</v>
      </c>
      <c r="E406" t="s">
        <v>17</v>
      </c>
      <c r="F406">
        <v>2005105</v>
      </c>
      <c r="G406">
        <v>2005166</v>
      </c>
      <c r="H406">
        <v>3787</v>
      </c>
      <c r="I406">
        <v>456</v>
      </c>
      <c r="J406">
        <v>50</v>
      </c>
      <c r="K406">
        <v>127</v>
      </c>
      <c r="L406">
        <v>180</v>
      </c>
      <c r="M406">
        <v>125</v>
      </c>
      <c r="N406">
        <v>30.51858</v>
      </c>
      <c r="O406">
        <v>13.84972</v>
      </c>
      <c r="P406">
        <v>26.609300000000001</v>
      </c>
      <c r="Q406">
        <v>13234</v>
      </c>
    </row>
    <row r="407" spans="1:17" x14ac:dyDescent="0.25">
      <c r="A407" t="s">
        <v>19</v>
      </c>
      <c r="B407">
        <v>21</v>
      </c>
      <c r="C407">
        <v>1.0900000000000001</v>
      </c>
      <c r="D407">
        <v>2006</v>
      </c>
      <c r="E407" t="s">
        <v>17</v>
      </c>
      <c r="F407">
        <v>2006105</v>
      </c>
      <c r="G407">
        <v>2006168</v>
      </c>
      <c r="H407">
        <v>4783</v>
      </c>
      <c r="I407">
        <v>944</v>
      </c>
      <c r="J407">
        <v>50</v>
      </c>
      <c r="K407">
        <v>235</v>
      </c>
      <c r="L407">
        <v>129</v>
      </c>
      <c r="M407">
        <v>125</v>
      </c>
      <c r="N407">
        <v>30.556280000000001</v>
      </c>
      <c r="O407">
        <v>14.12459</v>
      </c>
      <c r="P407">
        <v>24.474319999999999</v>
      </c>
      <c r="Q407">
        <v>27388</v>
      </c>
    </row>
    <row r="408" spans="1:17" x14ac:dyDescent="0.25">
      <c r="A408" t="s">
        <v>19</v>
      </c>
      <c r="B408">
        <v>21</v>
      </c>
      <c r="C408">
        <v>1.0900000000000001</v>
      </c>
      <c r="D408">
        <v>2007</v>
      </c>
      <c r="E408" t="s">
        <v>17</v>
      </c>
      <c r="F408">
        <v>2007105</v>
      </c>
      <c r="G408">
        <v>2007175</v>
      </c>
      <c r="H408">
        <v>7957</v>
      </c>
      <c r="I408">
        <v>1301</v>
      </c>
      <c r="J408">
        <v>50</v>
      </c>
      <c r="K408">
        <v>258</v>
      </c>
      <c r="L408">
        <v>349</v>
      </c>
      <c r="M408">
        <v>125</v>
      </c>
      <c r="N408">
        <v>28.787990000000001</v>
      </c>
      <c r="O408">
        <v>13.060650000000001</v>
      </c>
      <c r="P408">
        <v>23.89781</v>
      </c>
      <c r="Q408">
        <v>37741</v>
      </c>
    </row>
    <row r="409" spans="1:17" x14ac:dyDescent="0.25">
      <c r="A409" t="s">
        <v>19</v>
      </c>
      <c r="B409">
        <v>21</v>
      </c>
      <c r="C409">
        <v>1.0900000000000001</v>
      </c>
      <c r="D409">
        <v>2008</v>
      </c>
      <c r="E409" t="s">
        <v>17</v>
      </c>
      <c r="F409">
        <v>2008105</v>
      </c>
      <c r="G409">
        <v>2008176</v>
      </c>
      <c r="H409">
        <v>7134</v>
      </c>
      <c r="I409">
        <v>938</v>
      </c>
      <c r="J409">
        <v>50</v>
      </c>
      <c r="K409">
        <v>331</v>
      </c>
      <c r="L409">
        <v>176</v>
      </c>
      <c r="M409">
        <v>125</v>
      </c>
      <c r="N409">
        <v>27.680319999999998</v>
      </c>
      <c r="O409">
        <v>12.710380000000001</v>
      </c>
      <c r="P409">
        <v>23.45082</v>
      </c>
      <c r="Q409">
        <v>27205</v>
      </c>
    </row>
    <row r="410" spans="1:17" x14ac:dyDescent="0.25">
      <c r="A410" t="s">
        <v>19</v>
      </c>
      <c r="B410">
        <v>21</v>
      </c>
      <c r="C410">
        <v>1.0900000000000001</v>
      </c>
      <c r="D410">
        <v>2009</v>
      </c>
      <c r="E410" t="s">
        <v>17</v>
      </c>
      <c r="F410">
        <v>2009105</v>
      </c>
      <c r="G410">
        <v>2009173</v>
      </c>
      <c r="H410">
        <v>4937</v>
      </c>
      <c r="I410">
        <v>345</v>
      </c>
      <c r="J410">
        <v>50</v>
      </c>
      <c r="K410">
        <v>106</v>
      </c>
      <c r="L410">
        <v>231</v>
      </c>
      <c r="M410">
        <v>125</v>
      </c>
      <c r="N410">
        <v>30.207630000000002</v>
      </c>
      <c r="O410">
        <v>13.39672</v>
      </c>
      <c r="P410">
        <v>24.414200000000001</v>
      </c>
      <c r="Q410">
        <v>10003</v>
      </c>
    </row>
    <row r="411" spans="1:17" x14ac:dyDescent="0.25">
      <c r="A411" t="s">
        <v>19</v>
      </c>
      <c r="B411">
        <v>21</v>
      </c>
      <c r="C411">
        <v>1.0900000000000001</v>
      </c>
      <c r="D411">
        <v>2010</v>
      </c>
      <c r="E411" t="s">
        <v>17</v>
      </c>
      <c r="F411">
        <v>2010105</v>
      </c>
      <c r="G411">
        <v>2010173</v>
      </c>
      <c r="H411">
        <v>9121</v>
      </c>
      <c r="I411">
        <v>1806</v>
      </c>
      <c r="J411">
        <v>50</v>
      </c>
      <c r="K411">
        <v>357</v>
      </c>
      <c r="L411">
        <v>548</v>
      </c>
      <c r="M411">
        <v>125</v>
      </c>
      <c r="N411">
        <v>29.127870000000001</v>
      </c>
      <c r="O411">
        <v>14.28908</v>
      </c>
      <c r="P411">
        <v>24.13334</v>
      </c>
      <c r="Q411">
        <v>52375</v>
      </c>
    </row>
    <row r="412" spans="1:17" x14ac:dyDescent="0.25">
      <c r="A412" t="s">
        <v>19</v>
      </c>
      <c r="B412">
        <v>21</v>
      </c>
      <c r="C412">
        <v>1.0900000000000001</v>
      </c>
      <c r="D412">
        <v>2011</v>
      </c>
      <c r="E412" t="s">
        <v>18</v>
      </c>
      <c r="F412">
        <v>2011105</v>
      </c>
      <c r="G412">
        <v>2011164</v>
      </c>
      <c r="H412">
        <v>9088</v>
      </c>
      <c r="I412">
        <v>2246</v>
      </c>
      <c r="J412">
        <v>50</v>
      </c>
      <c r="K412">
        <v>224</v>
      </c>
      <c r="L412">
        <v>482</v>
      </c>
      <c r="M412">
        <v>125</v>
      </c>
      <c r="N412">
        <v>30.398910000000001</v>
      </c>
      <c r="O412">
        <v>13.246449999999999</v>
      </c>
      <c r="P412">
        <v>23.627320000000001</v>
      </c>
      <c r="Q412">
        <v>65147</v>
      </c>
    </row>
    <row r="413" spans="1:17" x14ac:dyDescent="0.25">
      <c r="A413" t="s">
        <v>19</v>
      </c>
      <c r="B413">
        <v>21</v>
      </c>
      <c r="C413">
        <v>1.0900000000000001</v>
      </c>
      <c r="D413">
        <v>2012</v>
      </c>
      <c r="E413" t="s">
        <v>18</v>
      </c>
      <c r="F413">
        <v>2012105</v>
      </c>
      <c r="G413">
        <v>2012166</v>
      </c>
      <c r="H413">
        <v>3800</v>
      </c>
      <c r="I413">
        <v>786</v>
      </c>
      <c r="J413">
        <v>50</v>
      </c>
      <c r="K413">
        <v>213</v>
      </c>
      <c r="L413">
        <v>159</v>
      </c>
      <c r="M413">
        <v>125</v>
      </c>
      <c r="N413">
        <v>29.80602</v>
      </c>
      <c r="O413">
        <v>13.278689999999999</v>
      </c>
      <c r="P413">
        <v>24.363389999999999</v>
      </c>
      <c r="Q413">
        <v>22785</v>
      </c>
    </row>
    <row r="414" spans="1:17" x14ac:dyDescent="0.25">
      <c r="A414" t="s">
        <v>19</v>
      </c>
      <c r="B414">
        <v>21</v>
      </c>
      <c r="C414">
        <v>1.0900000000000001</v>
      </c>
      <c r="D414">
        <v>2013</v>
      </c>
      <c r="E414" t="s">
        <v>18</v>
      </c>
      <c r="F414">
        <v>2013105</v>
      </c>
      <c r="G414">
        <v>2013171</v>
      </c>
      <c r="H414">
        <v>7814</v>
      </c>
      <c r="I414">
        <v>1515</v>
      </c>
      <c r="J414">
        <v>50</v>
      </c>
      <c r="K414">
        <v>289</v>
      </c>
      <c r="L414">
        <v>316</v>
      </c>
      <c r="M414">
        <v>125</v>
      </c>
      <c r="N414">
        <v>29.261759999999999</v>
      </c>
      <c r="O414">
        <v>12.67267</v>
      </c>
      <c r="P414">
        <v>24.389620000000001</v>
      </c>
      <c r="Q414">
        <v>43935</v>
      </c>
    </row>
    <row r="415" spans="1:17" x14ac:dyDescent="0.25">
      <c r="A415" t="s">
        <v>19</v>
      </c>
      <c r="B415">
        <v>21</v>
      </c>
      <c r="C415">
        <v>1.0900000000000001</v>
      </c>
      <c r="D415">
        <v>2014</v>
      </c>
      <c r="E415" t="s">
        <v>18</v>
      </c>
      <c r="F415">
        <v>2014105</v>
      </c>
      <c r="G415">
        <v>2014165</v>
      </c>
      <c r="H415">
        <v>8553</v>
      </c>
      <c r="I415">
        <v>1663</v>
      </c>
      <c r="J415">
        <v>50</v>
      </c>
      <c r="K415">
        <v>298</v>
      </c>
      <c r="L415">
        <v>266</v>
      </c>
      <c r="M415">
        <v>125</v>
      </c>
      <c r="N415">
        <v>28.684699999999999</v>
      </c>
      <c r="O415">
        <v>12.87923</v>
      </c>
      <c r="P415">
        <v>24.371030000000001</v>
      </c>
      <c r="Q415">
        <v>48216</v>
      </c>
    </row>
    <row r="416" spans="1:17" x14ac:dyDescent="0.25">
      <c r="A416" t="s">
        <v>19</v>
      </c>
      <c r="B416">
        <v>21</v>
      </c>
      <c r="C416">
        <v>1.0900000000000001</v>
      </c>
      <c r="D416">
        <v>2015</v>
      </c>
      <c r="E416" t="s">
        <v>18</v>
      </c>
      <c r="F416">
        <v>2015105</v>
      </c>
      <c r="G416">
        <v>2015162</v>
      </c>
      <c r="H416">
        <v>7115</v>
      </c>
      <c r="I416">
        <v>1218</v>
      </c>
      <c r="J416">
        <v>50</v>
      </c>
      <c r="K416">
        <v>97</v>
      </c>
      <c r="L416">
        <v>206</v>
      </c>
      <c r="M416">
        <v>125</v>
      </c>
      <c r="N416">
        <v>30.239899999999999</v>
      </c>
      <c r="O416">
        <v>13.583600000000001</v>
      </c>
      <c r="P416">
        <v>24.082519999999999</v>
      </c>
      <c r="Q416">
        <v>35316</v>
      </c>
    </row>
    <row r="417" spans="1:17" x14ac:dyDescent="0.25">
      <c r="A417" t="s">
        <v>19</v>
      </c>
      <c r="B417">
        <v>21</v>
      </c>
      <c r="C417">
        <v>1.0900000000000001</v>
      </c>
      <c r="D417">
        <v>2016</v>
      </c>
      <c r="E417" t="s">
        <v>18</v>
      </c>
      <c r="F417">
        <v>2016105</v>
      </c>
      <c r="G417">
        <v>2016170</v>
      </c>
      <c r="H417">
        <v>5346</v>
      </c>
      <c r="I417">
        <v>742</v>
      </c>
      <c r="J417">
        <v>50</v>
      </c>
      <c r="K417">
        <v>201</v>
      </c>
      <c r="L417">
        <v>156</v>
      </c>
      <c r="M417">
        <v>125</v>
      </c>
      <c r="N417">
        <v>30.256830000000001</v>
      </c>
      <c r="O417">
        <v>13.46612</v>
      </c>
      <c r="P417">
        <v>23.66065</v>
      </c>
      <c r="Q417">
        <v>21509</v>
      </c>
    </row>
    <row r="418" spans="1:17" x14ac:dyDescent="0.25">
      <c r="A418" t="s">
        <v>19</v>
      </c>
      <c r="B418">
        <v>21</v>
      </c>
      <c r="C418">
        <v>1.0900000000000001</v>
      </c>
      <c r="D418">
        <v>2017</v>
      </c>
      <c r="E418" t="s">
        <v>18</v>
      </c>
      <c r="F418">
        <v>2017105</v>
      </c>
      <c r="G418">
        <v>2017162</v>
      </c>
      <c r="H418">
        <v>6433</v>
      </c>
      <c r="I418">
        <v>889</v>
      </c>
      <c r="J418">
        <v>50</v>
      </c>
      <c r="K418">
        <v>157</v>
      </c>
      <c r="L418">
        <v>219</v>
      </c>
      <c r="M418">
        <v>125</v>
      </c>
      <c r="N418">
        <v>31.501639999999998</v>
      </c>
      <c r="O418">
        <v>13.56339</v>
      </c>
      <c r="P418">
        <v>24.263940000000002</v>
      </c>
      <c r="Q418">
        <v>25778</v>
      </c>
    </row>
    <row r="419" spans="1:17" x14ac:dyDescent="0.25">
      <c r="A419" t="s">
        <v>19</v>
      </c>
      <c r="B419">
        <v>21</v>
      </c>
      <c r="C419">
        <v>1.0900000000000001</v>
      </c>
      <c r="D419">
        <v>2018</v>
      </c>
      <c r="E419" t="s">
        <v>18</v>
      </c>
      <c r="F419">
        <v>2018105</v>
      </c>
      <c r="G419">
        <v>2018170</v>
      </c>
      <c r="H419">
        <v>8454</v>
      </c>
      <c r="I419">
        <v>1867</v>
      </c>
      <c r="J419">
        <v>50</v>
      </c>
      <c r="K419">
        <v>414</v>
      </c>
      <c r="L419">
        <v>108</v>
      </c>
      <c r="M419">
        <v>125</v>
      </c>
      <c r="N419">
        <v>29.559560000000001</v>
      </c>
      <c r="O419">
        <v>12.98142</v>
      </c>
      <c r="P419">
        <v>23.54645</v>
      </c>
      <c r="Q419">
        <v>54155</v>
      </c>
    </row>
    <row r="420" spans="1:17" x14ac:dyDescent="0.25">
      <c r="A420" t="s">
        <v>19</v>
      </c>
      <c r="B420">
        <v>21</v>
      </c>
      <c r="C420">
        <v>1.0900000000000001</v>
      </c>
      <c r="D420">
        <v>2019</v>
      </c>
      <c r="E420" t="s">
        <v>18</v>
      </c>
      <c r="F420">
        <v>2019105</v>
      </c>
      <c r="G420">
        <v>2019166</v>
      </c>
      <c r="H420">
        <v>3608</v>
      </c>
      <c r="I420">
        <v>628</v>
      </c>
      <c r="J420">
        <v>50</v>
      </c>
      <c r="K420">
        <v>107</v>
      </c>
      <c r="L420">
        <v>171</v>
      </c>
      <c r="M420">
        <v>125</v>
      </c>
      <c r="N420">
        <v>30.30546</v>
      </c>
      <c r="O420">
        <v>13.096170000000001</v>
      </c>
      <c r="P420">
        <v>24.749179999999999</v>
      </c>
      <c r="Q420">
        <v>18223</v>
      </c>
    </row>
    <row r="421" spans="1:17" x14ac:dyDescent="0.25">
      <c r="A421" t="s">
        <v>19</v>
      </c>
      <c r="B421">
        <v>21</v>
      </c>
      <c r="C421">
        <v>1.0900000000000001</v>
      </c>
      <c r="D421">
        <v>2020</v>
      </c>
      <c r="E421" t="s">
        <v>18</v>
      </c>
      <c r="F421">
        <v>2020105</v>
      </c>
      <c r="G421">
        <v>2020164</v>
      </c>
      <c r="H421">
        <v>4959</v>
      </c>
      <c r="I421">
        <v>740</v>
      </c>
      <c r="J421">
        <v>50</v>
      </c>
      <c r="K421">
        <v>162</v>
      </c>
      <c r="L421">
        <v>200</v>
      </c>
      <c r="M421">
        <v>125</v>
      </c>
      <c r="N421">
        <v>30.44699</v>
      </c>
      <c r="O421">
        <v>13.341530000000001</v>
      </c>
      <c r="P421">
        <v>24.09835</v>
      </c>
      <c r="Q421">
        <v>21463</v>
      </c>
    </row>
    <row r="422" spans="1:17" x14ac:dyDescent="0.25">
      <c r="A422" t="s">
        <v>19</v>
      </c>
      <c r="B422">
        <v>22</v>
      </c>
      <c r="C422">
        <v>0.96</v>
      </c>
      <c r="D422">
        <v>2001</v>
      </c>
      <c r="E422" t="s">
        <v>17</v>
      </c>
      <c r="F422">
        <v>2001091</v>
      </c>
      <c r="G422">
        <v>2001164</v>
      </c>
      <c r="H422">
        <v>6480</v>
      </c>
      <c r="I422">
        <v>614</v>
      </c>
      <c r="J422">
        <v>0</v>
      </c>
      <c r="K422">
        <v>367</v>
      </c>
      <c r="L422">
        <v>235</v>
      </c>
      <c r="M422">
        <v>75</v>
      </c>
      <c r="N422">
        <v>28.271059999999999</v>
      </c>
      <c r="O422">
        <v>13.216749999999999</v>
      </c>
      <c r="P422">
        <v>25.233499999999999</v>
      </c>
      <c r="Q422">
        <v>18407</v>
      </c>
    </row>
    <row r="423" spans="1:17" x14ac:dyDescent="0.25">
      <c r="A423" t="s">
        <v>19</v>
      </c>
      <c r="B423">
        <v>22</v>
      </c>
      <c r="C423">
        <v>0.96</v>
      </c>
      <c r="D423">
        <v>2002</v>
      </c>
      <c r="E423" t="s">
        <v>17</v>
      </c>
      <c r="F423">
        <v>2002091</v>
      </c>
      <c r="G423">
        <v>2002168</v>
      </c>
      <c r="H423">
        <v>4763</v>
      </c>
      <c r="I423">
        <v>151</v>
      </c>
      <c r="J423">
        <v>0</v>
      </c>
      <c r="K423">
        <v>253</v>
      </c>
      <c r="L423">
        <v>192</v>
      </c>
      <c r="M423">
        <v>75</v>
      </c>
      <c r="N423">
        <v>27.17004</v>
      </c>
      <c r="O423">
        <v>12.27258</v>
      </c>
      <c r="P423">
        <v>24.737570000000002</v>
      </c>
      <c r="Q423">
        <v>4532</v>
      </c>
    </row>
    <row r="424" spans="1:17" x14ac:dyDescent="0.25">
      <c r="A424" t="s">
        <v>19</v>
      </c>
      <c r="B424">
        <v>22</v>
      </c>
      <c r="C424">
        <v>0.96</v>
      </c>
      <c r="D424">
        <v>2003</v>
      </c>
      <c r="E424" t="s">
        <v>17</v>
      </c>
      <c r="F424">
        <v>2003091</v>
      </c>
      <c r="G424">
        <v>2003163</v>
      </c>
      <c r="H424">
        <v>4244</v>
      </c>
      <c r="I424">
        <v>145</v>
      </c>
      <c r="J424">
        <v>0</v>
      </c>
      <c r="K424">
        <v>233</v>
      </c>
      <c r="L424">
        <v>246</v>
      </c>
      <c r="M424">
        <v>75</v>
      </c>
      <c r="N424">
        <v>29.06193</v>
      </c>
      <c r="O424">
        <v>13.858879999999999</v>
      </c>
      <c r="P424">
        <v>25.895440000000001</v>
      </c>
      <c r="Q424">
        <v>4339</v>
      </c>
    </row>
    <row r="425" spans="1:17" x14ac:dyDescent="0.25">
      <c r="A425" t="s">
        <v>19</v>
      </c>
      <c r="B425">
        <v>22</v>
      </c>
      <c r="C425">
        <v>0.96</v>
      </c>
      <c r="D425">
        <v>2004</v>
      </c>
      <c r="E425" t="s">
        <v>17</v>
      </c>
      <c r="F425">
        <v>2004091</v>
      </c>
      <c r="G425">
        <v>2004169</v>
      </c>
      <c r="H425">
        <v>6508</v>
      </c>
      <c r="I425">
        <v>950</v>
      </c>
      <c r="J425">
        <v>0</v>
      </c>
      <c r="K425">
        <v>294</v>
      </c>
      <c r="L425">
        <v>417</v>
      </c>
      <c r="M425">
        <v>75</v>
      </c>
      <c r="N425">
        <v>28.355840000000001</v>
      </c>
      <c r="O425">
        <v>12.493410000000001</v>
      </c>
      <c r="P425">
        <v>25.293410000000002</v>
      </c>
      <c r="Q425">
        <v>28486</v>
      </c>
    </row>
    <row r="426" spans="1:17" x14ac:dyDescent="0.25">
      <c r="A426" t="s">
        <v>19</v>
      </c>
      <c r="B426">
        <v>22</v>
      </c>
      <c r="C426">
        <v>0.96</v>
      </c>
      <c r="D426">
        <v>2005</v>
      </c>
      <c r="E426" t="s">
        <v>17</v>
      </c>
      <c r="F426">
        <v>2005091</v>
      </c>
      <c r="G426">
        <v>2005162</v>
      </c>
      <c r="H426">
        <v>2285</v>
      </c>
      <c r="I426">
        <v>161</v>
      </c>
      <c r="J426">
        <v>0</v>
      </c>
      <c r="K426">
        <v>127</v>
      </c>
      <c r="L426">
        <v>180</v>
      </c>
      <c r="M426">
        <v>75</v>
      </c>
      <c r="N426">
        <v>29.717759999999998</v>
      </c>
      <c r="O426">
        <v>13.296950000000001</v>
      </c>
      <c r="P426">
        <v>26.224879999999999</v>
      </c>
      <c r="Q426">
        <v>4816</v>
      </c>
    </row>
    <row r="427" spans="1:17" x14ac:dyDescent="0.25">
      <c r="A427" t="s">
        <v>19</v>
      </c>
      <c r="B427">
        <v>22</v>
      </c>
      <c r="C427">
        <v>0.96</v>
      </c>
      <c r="D427">
        <v>2006</v>
      </c>
      <c r="E427" t="s">
        <v>17</v>
      </c>
      <c r="F427">
        <v>2006091</v>
      </c>
      <c r="G427">
        <v>2006160</v>
      </c>
      <c r="H427">
        <v>3936</v>
      </c>
      <c r="I427">
        <v>1252</v>
      </c>
      <c r="J427">
        <v>0</v>
      </c>
      <c r="K427">
        <v>235</v>
      </c>
      <c r="L427">
        <v>129</v>
      </c>
      <c r="M427">
        <v>75</v>
      </c>
      <c r="N427">
        <v>29.890350000000002</v>
      </c>
      <c r="O427">
        <v>13.665990000000001</v>
      </c>
      <c r="P427">
        <v>24.18477</v>
      </c>
      <c r="Q427">
        <v>37548</v>
      </c>
    </row>
    <row r="428" spans="1:17" x14ac:dyDescent="0.25">
      <c r="A428" t="s">
        <v>19</v>
      </c>
      <c r="B428">
        <v>22</v>
      </c>
      <c r="C428">
        <v>0.96</v>
      </c>
      <c r="D428">
        <v>2007</v>
      </c>
      <c r="E428" t="s">
        <v>17</v>
      </c>
      <c r="F428">
        <v>2007091</v>
      </c>
      <c r="G428">
        <v>2007168</v>
      </c>
      <c r="H428">
        <v>6357</v>
      </c>
      <c r="I428">
        <v>838</v>
      </c>
      <c r="J428">
        <v>0</v>
      </c>
      <c r="K428">
        <v>258</v>
      </c>
      <c r="L428">
        <v>349</v>
      </c>
      <c r="M428">
        <v>75</v>
      </c>
      <c r="N428">
        <v>27.782240000000002</v>
      </c>
      <c r="O428">
        <v>12.484260000000001</v>
      </c>
      <c r="P428">
        <v>23.145679999999999</v>
      </c>
      <c r="Q428">
        <v>25128</v>
      </c>
    </row>
    <row r="429" spans="1:17" x14ac:dyDescent="0.25">
      <c r="A429" t="s">
        <v>19</v>
      </c>
      <c r="B429">
        <v>22</v>
      </c>
      <c r="C429">
        <v>0.96</v>
      </c>
      <c r="D429">
        <v>2008</v>
      </c>
      <c r="E429" t="s">
        <v>17</v>
      </c>
      <c r="F429">
        <v>2008091</v>
      </c>
      <c r="G429">
        <v>2008173</v>
      </c>
      <c r="H429">
        <v>5035</v>
      </c>
      <c r="I429">
        <v>323</v>
      </c>
      <c r="J429">
        <v>0</v>
      </c>
      <c r="K429">
        <v>331</v>
      </c>
      <c r="L429">
        <v>176</v>
      </c>
      <c r="M429">
        <v>75</v>
      </c>
      <c r="N429">
        <v>27.103539999999999</v>
      </c>
      <c r="O429">
        <v>12.20457</v>
      </c>
      <c r="P429">
        <v>23.123860000000001</v>
      </c>
      <c r="Q429">
        <v>9688</v>
      </c>
    </row>
    <row r="430" spans="1:17" x14ac:dyDescent="0.25">
      <c r="A430" t="s">
        <v>19</v>
      </c>
      <c r="B430">
        <v>22</v>
      </c>
      <c r="C430">
        <v>0.96</v>
      </c>
      <c r="D430">
        <v>2009</v>
      </c>
      <c r="E430" t="s">
        <v>17</v>
      </c>
      <c r="F430">
        <v>2009091</v>
      </c>
      <c r="G430">
        <v>2009166</v>
      </c>
      <c r="H430">
        <v>3787</v>
      </c>
      <c r="I430">
        <v>152</v>
      </c>
      <c r="J430">
        <v>0</v>
      </c>
      <c r="K430">
        <v>106</v>
      </c>
      <c r="L430">
        <v>231</v>
      </c>
      <c r="M430">
        <v>75</v>
      </c>
      <c r="N430">
        <v>29.407599999999999</v>
      </c>
      <c r="O430">
        <v>12.67817</v>
      </c>
      <c r="P430">
        <v>24.244160000000001</v>
      </c>
      <c r="Q430">
        <v>4570</v>
      </c>
    </row>
    <row r="431" spans="1:17" x14ac:dyDescent="0.25">
      <c r="A431" t="s">
        <v>19</v>
      </c>
      <c r="B431">
        <v>22</v>
      </c>
      <c r="C431">
        <v>0.96</v>
      </c>
      <c r="D431">
        <v>2010</v>
      </c>
      <c r="E431" t="s">
        <v>17</v>
      </c>
      <c r="F431">
        <v>2010091</v>
      </c>
      <c r="G431">
        <v>2010164</v>
      </c>
      <c r="H431">
        <v>5896</v>
      </c>
      <c r="I431">
        <v>1043</v>
      </c>
      <c r="J431">
        <v>0</v>
      </c>
      <c r="K431">
        <v>357</v>
      </c>
      <c r="L431">
        <v>548</v>
      </c>
      <c r="M431">
        <v>75</v>
      </c>
      <c r="N431">
        <v>28.417259999999999</v>
      </c>
      <c r="O431">
        <v>13.64569</v>
      </c>
      <c r="P431">
        <v>24.050260000000002</v>
      </c>
      <c r="Q431">
        <v>31301</v>
      </c>
    </row>
    <row r="432" spans="1:17" x14ac:dyDescent="0.25">
      <c r="A432" t="s">
        <v>19</v>
      </c>
      <c r="B432">
        <v>22</v>
      </c>
      <c r="C432">
        <v>0.96</v>
      </c>
      <c r="D432">
        <v>2011</v>
      </c>
      <c r="E432" t="s">
        <v>17</v>
      </c>
      <c r="F432">
        <v>2011091</v>
      </c>
      <c r="G432">
        <v>2011159</v>
      </c>
      <c r="H432">
        <v>6538</v>
      </c>
      <c r="I432">
        <v>1032</v>
      </c>
      <c r="J432">
        <v>0</v>
      </c>
      <c r="K432">
        <v>224</v>
      </c>
      <c r="L432">
        <v>482</v>
      </c>
      <c r="M432">
        <v>75</v>
      </c>
      <c r="N432">
        <v>29.977160000000001</v>
      </c>
      <c r="O432">
        <v>12.8863</v>
      </c>
      <c r="P432">
        <v>23.408619999999999</v>
      </c>
      <c r="Q432">
        <v>30954</v>
      </c>
    </row>
    <row r="433" spans="1:17" x14ac:dyDescent="0.25">
      <c r="A433" t="s">
        <v>19</v>
      </c>
      <c r="B433">
        <v>22</v>
      </c>
      <c r="C433">
        <v>0.96</v>
      </c>
      <c r="D433">
        <v>2012</v>
      </c>
      <c r="E433" t="s">
        <v>18</v>
      </c>
      <c r="F433">
        <v>2012091</v>
      </c>
      <c r="G433">
        <v>2012162</v>
      </c>
      <c r="H433">
        <v>1866</v>
      </c>
      <c r="I433">
        <v>291</v>
      </c>
      <c r="J433">
        <v>0</v>
      </c>
      <c r="K433">
        <v>213</v>
      </c>
      <c r="L433">
        <v>159</v>
      </c>
      <c r="M433">
        <v>75</v>
      </c>
      <c r="N433">
        <v>28.910160000000001</v>
      </c>
      <c r="O433">
        <v>12.72589</v>
      </c>
      <c r="P433">
        <v>23.80761</v>
      </c>
      <c r="Q433">
        <v>8717</v>
      </c>
    </row>
    <row r="434" spans="1:17" x14ac:dyDescent="0.25">
      <c r="A434" t="s">
        <v>19</v>
      </c>
      <c r="B434">
        <v>22</v>
      </c>
      <c r="C434">
        <v>0.96</v>
      </c>
      <c r="D434">
        <v>2013</v>
      </c>
      <c r="E434" t="s">
        <v>18</v>
      </c>
      <c r="F434">
        <v>2013091</v>
      </c>
      <c r="G434">
        <v>2013165</v>
      </c>
      <c r="H434">
        <v>4983</v>
      </c>
      <c r="I434">
        <v>684</v>
      </c>
      <c r="J434">
        <v>0</v>
      </c>
      <c r="K434">
        <v>289</v>
      </c>
      <c r="L434">
        <v>316</v>
      </c>
      <c r="M434">
        <v>75</v>
      </c>
      <c r="N434">
        <v>28.398479999999999</v>
      </c>
      <c r="O434">
        <v>12.14873</v>
      </c>
      <c r="P434">
        <v>24.010149999999999</v>
      </c>
      <c r="Q434">
        <v>20523</v>
      </c>
    </row>
    <row r="435" spans="1:17" x14ac:dyDescent="0.25">
      <c r="A435" t="s">
        <v>19</v>
      </c>
      <c r="B435">
        <v>22</v>
      </c>
      <c r="C435">
        <v>0.96</v>
      </c>
      <c r="D435">
        <v>2014</v>
      </c>
      <c r="E435" t="s">
        <v>18</v>
      </c>
      <c r="F435">
        <v>2014091</v>
      </c>
      <c r="G435">
        <v>2014156</v>
      </c>
      <c r="H435">
        <v>5430</v>
      </c>
      <c r="I435">
        <v>527</v>
      </c>
      <c r="J435">
        <v>0</v>
      </c>
      <c r="K435">
        <v>298</v>
      </c>
      <c r="L435">
        <v>266</v>
      </c>
      <c r="M435">
        <v>75</v>
      </c>
      <c r="N435">
        <v>28.206600000000002</v>
      </c>
      <c r="O435">
        <v>12.51878</v>
      </c>
      <c r="P435">
        <v>24.02994</v>
      </c>
      <c r="Q435">
        <v>15821</v>
      </c>
    </row>
    <row r="436" spans="1:17" x14ac:dyDescent="0.25">
      <c r="A436" t="s">
        <v>19</v>
      </c>
      <c r="B436">
        <v>22</v>
      </c>
      <c r="C436">
        <v>0.96</v>
      </c>
      <c r="D436">
        <v>2015</v>
      </c>
      <c r="E436" t="s">
        <v>18</v>
      </c>
      <c r="F436">
        <v>2015091</v>
      </c>
      <c r="G436">
        <v>2015154</v>
      </c>
      <c r="H436">
        <v>3697</v>
      </c>
      <c r="I436">
        <v>315</v>
      </c>
      <c r="J436">
        <v>0</v>
      </c>
      <c r="K436">
        <v>97</v>
      </c>
      <c r="L436">
        <v>206</v>
      </c>
      <c r="M436">
        <v>75</v>
      </c>
      <c r="N436">
        <v>29.627929999999999</v>
      </c>
      <c r="O436">
        <v>13.12284</v>
      </c>
      <c r="P436">
        <v>23.713709999999999</v>
      </c>
      <c r="Q436">
        <v>9464</v>
      </c>
    </row>
    <row r="437" spans="1:17" x14ac:dyDescent="0.25">
      <c r="A437" t="s">
        <v>19</v>
      </c>
      <c r="B437">
        <v>22</v>
      </c>
      <c r="C437">
        <v>0.96</v>
      </c>
      <c r="D437">
        <v>2016</v>
      </c>
      <c r="E437" t="s">
        <v>18</v>
      </c>
      <c r="F437">
        <v>2016091</v>
      </c>
      <c r="G437">
        <v>2016163</v>
      </c>
      <c r="H437">
        <v>3975</v>
      </c>
      <c r="I437">
        <v>629</v>
      </c>
      <c r="J437">
        <v>0</v>
      </c>
      <c r="K437">
        <v>201</v>
      </c>
      <c r="L437">
        <v>156</v>
      </c>
      <c r="M437">
        <v>75</v>
      </c>
      <c r="N437">
        <v>29.269030000000001</v>
      </c>
      <c r="O437">
        <v>12.8401</v>
      </c>
      <c r="P437">
        <v>23.227920000000001</v>
      </c>
      <c r="Q437">
        <v>18871</v>
      </c>
    </row>
    <row r="438" spans="1:17" x14ac:dyDescent="0.25">
      <c r="A438" t="s">
        <v>19</v>
      </c>
      <c r="B438">
        <v>22</v>
      </c>
      <c r="C438">
        <v>0.96</v>
      </c>
      <c r="D438">
        <v>2017</v>
      </c>
      <c r="E438" t="s">
        <v>18</v>
      </c>
      <c r="F438">
        <v>2017091</v>
      </c>
      <c r="G438">
        <v>2017154</v>
      </c>
      <c r="H438">
        <v>4897</v>
      </c>
      <c r="I438">
        <v>515</v>
      </c>
      <c r="J438">
        <v>0</v>
      </c>
      <c r="K438">
        <v>157</v>
      </c>
      <c r="L438">
        <v>219</v>
      </c>
      <c r="M438">
        <v>75</v>
      </c>
      <c r="N438">
        <v>30.944669999999999</v>
      </c>
      <c r="O438">
        <v>12.87106</v>
      </c>
      <c r="P438">
        <v>24.29899</v>
      </c>
      <c r="Q438">
        <v>15440</v>
      </c>
    </row>
    <row r="439" spans="1:17" x14ac:dyDescent="0.25">
      <c r="A439" t="s">
        <v>19</v>
      </c>
      <c r="B439">
        <v>22</v>
      </c>
      <c r="C439">
        <v>0.96</v>
      </c>
      <c r="D439">
        <v>2018</v>
      </c>
      <c r="E439" t="s">
        <v>18</v>
      </c>
      <c r="F439">
        <v>2018091</v>
      </c>
      <c r="G439">
        <v>2018165</v>
      </c>
      <c r="H439">
        <v>6099</v>
      </c>
      <c r="I439">
        <v>1123</v>
      </c>
      <c r="J439">
        <v>0</v>
      </c>
      <c r="K439">
        <v>414</v>
      </c>
      <c r="L439">
        <v>108</v>
      </c>
      <c r="M439">
        <v>75</v>
      </c>
      <c r="N439">
        <v>28.602029999999999</v>
      </c>
      <c r="O439">
        <v>12.39695</v>
      </c>
      <c r="P439">
        <v>23.067</v>
      </c>
      <c r="Q439">
        <v>33696</v>
      </c>
    </row>
    <row r="440" spans="1:17" x14ac:dyDescent="0.25">
      <c r="A440" t="s">
        <v>19</v>
      </c>
      <c r="B440">
        <v>22</v>
      </c>
      <c r="C440">
        <v>0.96</v>
      </c>
      <c r="D440">
        <v>2019</v>
      </c>
      <c r="E440" t="s">
        <v>18</v>
      </c>
      <c r="F440">
        <v>2019091</v>
      </c>
      <c r="G440">
        <v>2019159</v>
      </c>
      <c r="H440">
        <v>1921</v>
      </c>
      <c r="I440">
        <v>294</v>
      </c>
      <c r="J440">
        <v>0</v>
      </c>
      <c r="K440">
        <v>107</v>
      </c>
      <c r="L440">
        <v>171</v>
      </c>
      <c r="M440">
        <v>75</v>
      </c>
      <c r="N440">
        <v>29.394410000000001</v>
      </c>
      <c r="O440">
        <v>12.48578</v>
      </c>
      <c r="P440">
        <v>24.347200000000001</v>
      </c>
      <c r="Q440">
        <v>8825</v>
      </c>
    </row>
    <row r="441" spans="1:17" x14ac:dyDescent="0.25">
      <c r="A441" t="s">
        <v>19</v>
      </c>
      <c r="B441">
        <v>22</v>
      </c>
      <c r="C441">
        <v>0.96</v>
      </c>
      <c r="D441">
        <v>2020</v>
      </c>
      <c r="E441" t="s">
        <v>18</v>
      </c>
      <c r="F441">
        <v>2020091</v>
      </c>
      <c r="G441">
        <v>2020157</v>
      </c>
      <c r="H441">
        <v>2851</v>
      </c>
      <c r="I441">
        <v>443</v>
      </c>
      <c r="J441">
        <v>0</v>
      </c>
      <c r="K441">
        <v>162</v>
      </c>
      <c r="L441">
        <v>200</v>
      </c>
      <c r="M441">
        <v>75</v>
      </c>
      <c r="N441">
        <v>29.58426</v>
      </c>
      <c r="O441">
        <v>12.943149999999999</v>
      </c>
      <c r="P441">
        <v>23.505569999999999</v>
      </c>
      <c r="Q441">
        <v>13282</v>
      </c>
    </row>
    <row r="442" spans="1:17" x14ac:dyDescent="0.25">
      <c r="A442" t="s">
        <v>19</v>
      </c>
      <c r="B442">
        <v>23</v>
      </c>
      <c r="C442">
        <v>1.08</v>
      </c>
      <c r="D442">
        <v>2001</v>
      </c>
      <c r="E442" t="s">
        <v>17</v>
      </c>
      <c r="F442">
        <v>2001105</v>
      </c>
      <c r="G442">
        <v>2001173</v>
      </c>
      <c r="H442">
        <v>6388</v>
      </c>
      <c r="I442">
        <v>656</v>
      </c>
      <c r="J442">
        <v>0</v>
      </c>
      <c r="K442">
        <v>367</v>
      </c>
      <c r="L442">
        <v>235</v>
      </c>
      <c r="M442">
        <v>125</v>
      </c>
      <c r="N442">
        <v>28.827860000000001</v>
      </c>
      <c r="O442">
        <v>13.722950000000001</v>
      </c>
      <c r="P442">
        <v>25.243169999999999</v>
      </c>
      <c r="Q442">
        <v>17054</v>
      </c>
    </row>
    <row r="443" spans="1:17" x14ac:dyDescent="0.25">
      <c r="A443" t="s">
        <v>19</v>
      </c>
      <c r="B443">
        <v>23</v>
      </c>
      <c r="C443">
        <v>1.08</v>
      </c>
      <c r="D443">
        <v>2002</v>
      </c>
      <c r="E443" t="s">
        <v>17</v>
      </c>
      <c r="F443">
        <v>2002105</v>
      </c>
      <c r="G443">
        <v>2002173</v>
      </c>
      <c r="H443">
        <v>4712</v>
      </c>
      <c r="I443">
        <v>132</v>
      </c>
      <c r="J443">
        <v>0</v>
      </c>
      <c r="K443">
        <v>253</v>
      </c>
      <c r="L443">
        <v>192</v>
      </c>
      <c r="M443">
        <v>125</v>
      </c>
      <c r="N443">
        <v>28.205449999999999</v>
      </c>
      <c r="O443">
        <v>12.78524</v>
      </c>
      <c r="P443">
        <v>25.66011</v>
      </c>
      <c r="Q443">
        <v>3432</v>
      </c>
    </row>
    <row r="444" spans="1:17" x14ac:dyDescent="0.25">
      <c r="A444" t="s">
        <v>19</v>
      </c>
      <c r="B444">
        <v>23</v>
      </c>
      <c r="C444">
        <v>1.08</v>
      </c>
      <c r="D444">
        <v>2003</v>
      </c>
      <c r="E444" t="s">
        <v>17</v>
      </c>
      <c r="F444">
        <v>2003105</v>
      </c>
      <c r="G444">
        <v>2003169</v>
      </c>
      <c r="H444">
        <v>3797</v>
      </c>
      <c r="I444">
        <v>278</v>
      </c>
      <c r="J444">
        <v>0</v>
      </c>
      <c r="K444">
        <v>233</v>
      </c>
      <c r="L444">
        <v>246</v>
      </c>
      <c r="M444">
        <v>125</v>
      </c>
      <c r="N444">
        <v>29.84863</v>
      </c>
      <c r="O444">
        <v>14.468310000000001</v>
      </c>
      <c r="P444">
        <v>26.245360000000002</v>
      </c>
      <c r="Q444">
        <v>7222</v>
      </c>
    </row>
    <row r="445" spans="1:17" x14ac:dyDescent="0.25">
      <c r="A445" t="s">
        <v>19</v>
      </c>
      <c r="B445">
        <v>23</v>
      </c>
      <c r="C445">
        <v>1.08</v>
      </c>
      <c r="D445">
        <v>2004</v>
      </c>
      <c r="E445" t="s">
        <v>17</v>
      </c>
      <c r="F445">
        <v>2004105</v>
      </c>
      <c r="G445">
        <v>2004176</v>
      </c>
      <c r="H445">
        <v>7295</v>
      </c>
      <c r="I445">
        <v>937</v>
      </c>
      <c r="J445">
        <v>0</v>
      </c>
      <c r="K445">
        <v>294</v>
      </c>
      <c r="L445">
        <v>417</v>
      </c>
      <c r="M445">
        <v>125</v>
      </c>
      <c r="N445">
        <v>29.186889999999998</v>
      </c>
      <c r="O445">
        <v>13.10219</v>
      </c>
      <c r="P445">
        <v>25.556830000000001</v>
      </c>
      <c r="Q445">
        <v>24369</v>
      </c>
    </row>
    <row r="446" spans="1:17" x14ac:dyDescent="0.25">
      <c r="A446" t="s">
        <v>19</v>
      </c>
      <c r="B446">
        <v>23</v>
      </c>
      <c r="C446">
        <v>1.08</v>
      </c>
      <c r="D446">
        <v>2005</v>
      </c>
      <c r="E446" t="s">
        <v>17</v>
      </c>
      <c r="F446">
        <v>2005105</v>
      </c>
      <c r="G446">
        <v>2005166</v>
      </c>
      <c r="H446">
        <v>2223</v>
      </c>
      <c r="I446">
        <v>252</v>
      </c>
      <c r="J446">
        <v>0</v>
      </c>
      <c r="K446">
        <v>127</v>
      </c>
      <c r="L446">
        <v>180</v>
      </c>
      <c r="M446">
        <v>125</v>
      </c>
      <c r="N446">
        <v>30.51858</v>
      </c>
      <c r="O446">
        <v>13.84972</v>
      </c>
      <c r="P446">
        <v>26.609300000000001</v>
      </c>
      <c r="Q446">
        <v>6550</v>
      </c>
    </row>
    <row r="447" spans="1:17" x14ac:dyDescent="0.25">
      <c r="A447" t="s">
        <v>19</v>
      </c>
      <c r="B447">
        <v>23</v>
      </c>
      <c r="C447">
        <v>1.08</v>
      </c>
      <c r="D447">
        <v>2006</v>
      </c>
      <c r="E447" t="s">
        <v>17</v>
      </c>
      <c r="F447">
        <v>2006105</v>
      </c>
      <c r="G447">
        <v>2006168</v>
      </c>
      <c r="H447">
        <v>3254</v>
      </c>
      <c r="I447">
        <v>646</v>
      </c>
      <c r="J447">
        <v>0</v>
      </c>
      <c r="K447">
        <v>235</v>
      </c>
      <c r="L447">
        <v>129</v>
      </c>
      <c r="M447">
        <v>125</v>
      </c>
      <c r="N447">
        <v>30.556280000000001</v>
      </c>
      <c r="O447">
        <v>14.12459</v>
      </c>
      <c r="P447">
        <v>24.474319999999999</v>
      </c>
      <c r="Q447">
        <v>16784</v>
      </c>
    </row>
    <row r="448" spans="1:17" x14ac:dyDescent="0.25">
      <c r="A448" t="s">
        <v>19</v>
      </c>
      <c r="B448">
        <v>23</v>
      </c>
      <c r="C448">
        <v>1.08</v>
      </c>
      <c r="D448">
        <v>2007</v>
      </c>
      <c r="E448" t="s">
        <v>17</v>
      </c>
      <c r="F448">
        <v>2007105</v>
      </c>
      <c r="G448">
        <v>2007175</v>
      </c>
      <c r="H448">
        <v>6996</v>
      </c>
      <c r="I448">
        <v>961</v>
      </c>
      <c r="J448">
        <v>0</v>
      </c>
      <c r="K448">
        <v>258</v>
      </c>
      <c r="L448">
        <v>349</v>
      </c>
      <c r="M448">
        <v>125</v>
      </c>
      <c r="N448">
        <v>28.787990000000001</v>
      </c>
      <c r="O448">
        <v>13.060650000000001</v>
      </c>
      <c r="P448">
        <v>23.89781</v>
      </c>
      <c r="Q448">
        <v>24982</v>
      </c>
    </row>
    <row r="449" spans="1:17" x14ac:dyDescent="0.25">
      <c r="A449" t="s">
        <v>19</v>
      </c>
      <c r="B449">
        <v>23</v>
      </c>
      <c r="C449">
        <v>1.08</v>
      </c>
      <c r="D449">
        <v>2008</v>
      </c>
      <c r="E449" t="s">
        <v>17</v>
      </c>
      <c r="F449">
        <v>2008105</v>
      </c>
      <c r="G449">
        <v>2008176</v>
      </c>
      <c r="H449">
        <v>5564</v>
      </c>
      <c r="I449">
        <v>551</v>
      </c>
      <c r="J449">
        <v>0</v>
      </c>
      <c r="K449">
        <v>331</v>
      </c>
      <c r="L449">
        <v>176</v>
      </c>
      <c r="M449">
        <v>125</v>
      </c>
      <c r="N449">
        <v>27.680319999999998</v>
      </c>
      <c r="O449">
        <v>12.710380000000001</v>
      </c>
      <c r="P449">
        <v>23.45082</v>
      </c>
      <c r="Q449">
        <v>14320</v>
      </c>
    </row>
    <row r="450" spans="1:17" x14ac:dyDescent="0.25">
      <c r="A450" t="s">
        <v>19</v>
      </c>
      <c r="B450">
        <v>23</v>
      </c>
      <c r="C450">
        <v>1.08</v>
      </c>
      <c r="D450">
        <v>2009</v>
      </c>
      <c r="E450" t="s">
        <v>17</v>
      </c>
      <c r="F450">
        <v>2009105</v>
      </c>
      <c r="G450">
        <v>2009173</v>
      </c>
      <c r="H450">
        <v>3705</v>
      </c>
      <c r="I450">
        <v>384</v>
      </c>
      <c r="J450">
        <v>0</v>
      </c>
      <c r="K450">
        <v>106</v>
      </c>
      <c r="L450">
        <v>231</v>
      </c>
      <c r="M450">
        <v>125</v>
      </c>
      <c r="N450">
        <v>30.207630000000002</v>
      </c>
      <c r="O450">
        <v>13.39672</v>
      </c>
      <c r="P450">
        <v>24.414200000000001</v>
      </c>
      <c r="Q450">
        <v>9971</v>
      </c>
    </row>
    <row r="451" spans="1:17" x14ac:dyDescent="0.25">
      <c r="A451" t="s">
        <v>19</v>
      </c>
      <c r="B451">
        <v>23</v>
      </c>
      <c r="C451">
        <v>1.08</v>
      </c>
      <c r="D451">
        <v>2010</v>
      </c>
      <c r="E451" t="s">
        <v>17</v>
      </c>
      <c r="F451">
        <v>2010105</v>
      </c>
      <c r="G451">
        <v>2010173</v>
      </c>
      <c r="H451">
        <v>8312</v>
      </c>
      <c r="I451">
        <v>1420</v>
      </c>
      <c r="J451">
        <v>0</v>
      </c>
      <c r="K451">
        <v>357</v>
      </c>
      <c r="L451">
        <v>548</v>
      </c>
      <c r="M451">
        <v>125</v>
      </c>
      <c r="N451">
        <v>29.127870000000001</v>
      </c>
      <c r="O451">
        <v>14.28908</v>
      </c>
      <c r="P451">
        <v>24.13334</v>
      </c>
      <c r="Q451">
        <v>36925</v>
      </c>
    </row>
    <row r="452" spans="1:17" x14ac:dyDescent="0.25">
      <c r="A452" t="s">
        <v>19</v>
      </c>
      <c r="B452">
        <v>23</v>
      </c>
      <c r="C452">
        <v>1.08</v>
      </c>
      <c r="D452">
        <v>2011</v>
      </c>
      <c r="E452" t="s">
        <v>17</v>
      </c>
      <c r="F452">
        <v>2011105</v>
      </c>
      <c r="G452">
        <v>2011169</v>
      </c>
      <c r="H452">
        <v>7458</v>
      </c>
      <c r="I452">
        <v>1086</v>
      </c>
      <c r="J452">
        <v>0</v>
      </c>
      <c r="K452">
        <v>224</v>
      </c>
      <c r="L452">
        <v>482</v>
      </c>
      <c r="M452">
        <v>125</v>
      </c>
      <c r="N452">
        <v>30.398910000000001</v>
      </c>
      <c r="O452">
        <v>13.246449999999999</v>
      </c>
      <c r="P452">
        <v>23.627320000000001</v>
      </c>
      <c r="Q452">
        <v>28227</v>
      </c>
    </row>
    <row r="453" spans="1:17" x14ac:dyDescent="0.25">
      <c r="A453" t="s">
        <v>19</v>
      </c>
      <c r="B453">
        <v>23</v>
      </c>
      <c r="C453">
        <v>1.08</v>
      </c>
      <c r="D453">
        <v>2012</v>
      </c>
      <c r="E453" t="s">
        <v>18</v>
      </c>
      <c r="F453">
        <v>2012105</v>
      </c>
      <c r="G453">
        <v>2012166</v>
      </c>
      <c r="H453">
        <v>1980</v>
      </c>
      <c r="I453">
        <v>455</v>
      </c>
      <c r="J453">
        <v>0</v>
      </c>
      <c r="K453">
        <v>213</v>
      </c>
      <c r="L453">
        <v>159</v>
      </c>
      <c r="M453">
        <v>125</v>
      </c>
      <c r="N453">
        <v>29.80602</v>
      </c>
      <c r="O453">
        <v>13.278689999999999</v>
      </c>
      <c r="P453">
        <v>24.363389999999999</v>
      </c>
      <c r="Q453">
        <v>11829</v>
      </c>
    </row>
    <row r="454" spans="1:17" x14ac:dyDescent="0.25">
      <c r="A454" t="s">
        <v>19</v>
      </c>
      <c r="B454">
        <v>23</v>
      </c>
      <c r="C454">
        <v>1.08</v>
      </c>
      <c r="D454">
        <v>2013</v>
      </c>
      <c r="E454" t="s">
        <v>18</v>
      </c>
      <c r="F454">
        <v>2013105</v>
      </c>
      <c r="G454">
        <v>2013171</v>
      </c>
      <c r="H454">
        <v>7081</v>
      </c>
      <c r="I454">
        <v>1165</v>
      </c>
      <c r="J454">
        <v>0</v>
      </c>
      <c r="K454">
        <v>289</v>
      </c>
      <c r="L454">
        <v>316</v>
      </c>
      <c r="M454">
        <v>125</v>
      </c>
      <c r="N454">
        <v>29.261759999999999</v>
      </c>
      <c r="O454">
        <v>12.67267</v>
      </c>
      <c r="P454">
        <v>24.389620000000001</v>
      </c>
      <c r="Q454">
        <v>30282</v>
      </c>
    </row>
    <row r="455" spans="1:17" x14ac:dyDescent="0.25">
      <c r="A455" t="s">
        <v>19</v>
      </c>
      <c r="B455">
        <v>23</v>
      </c>
      <c r="C455">
        <v>1.08</v>
      </c>
      <c r="D455">
        <v>2014</v>
      </c>
      <c r="E455" t="s">
        <v>18</v>
      </c>
      <c r="F455">
        <v>2014105</v>
      </c>
      <c r="G455">
        <v>2014165</v>
      </c>
      <c r="H455">
        <v>6119</v>
      </c>
      <c r="I455">
        <v>821</v>
      </c>
      <c r="J455">
        <v>0</v>
      </c>
      <c r="K455">
        <v>298</v>
      </c>
      <c r="L455">
        <v>266</v>
      </c>
      <c r="M455">
        <v>125</v>
      </c>
      <c r="N455">
        <v>28.684699999999999</v>
      </c>
      <c r="O455">
        <v>12.87923</v>
      </c>
      <c r="P455">
        <v>24.371030000000001</v>
      </c>
      <c r="Q455">
        <v>21345</v>
      </c>
    </row>
    <row r="456" spans="1:17" x14ac:dyDescent="0.25">
      <c r="A456" t="s">
        <v>19</v>
      </c>
      <c r="B456">
        <v>23</v>
      </c>
      <c r="C456">
        <v>1.08</v>
      </c>
      <c r="D456">
        <v>2015</v>
      </c>
      <c r="E456" t="s">
        <v>18</v>
      </c>
      <c r="F456">
        <v>2015105</v>
      </c>
      <c r="G456">
        <v>2015162</v>
      </c>
      <c r="H456">
        <v>3856</v>
      </c>
      <c r="I456">
        <v>264</v>
      </c>
      <c r="J456">
        <v>0</v>
      </c>
      <c r="K456">
        <v>97</v>
      </c>
      <c r="L456">
        <v>206</v>
      </c>
      <c r="M456">
        <v>125</v>
      </c>
      <c r="N456">
        <v>30.239899999999999</v>
      </c>
      <c r="O456">
        <v>13.583600000000001</v>
      </c>
      <c r="P456">
        <v>24.082519999999999</v>
      </c>
      <c r="Q456">
        <v>6868</v>
      </c>
    </row>
    <row r="457" spans="1:17" x14ac:dyDescent="0.25">
      <c r="A457" t="s">
        <v>19</v>
      </c>
      <c r="B457">
        <v>23</v>
      </c>
      <c r="C457">
        <v>1.08</v>
      </c>
      <c r="D457">
        <v>2016</v>
      </c>
      <c r="E457" t="s">
        <v>18</v>
      </c>
      <c r="F457">
        <v>2016105</v>
      </c>
      <c r="G457">
        <v>2016170</v>
      </c>
      <c r="H457">
        <v>3571</v>
      </c>
      <c r="I457">
        <v>746</v>
      </c>
      <c r="J457">
        <v>0</v>
      </c>
      <c r="K457">
        <v>201</v>
      </c>
      <c r="L457">
        <v>156</v>
      </c>
      <c r="M457">
        <v>125</v>
      </c>
      <c r="N457">
        <v>30.256830000000001</v>
      </c>
      <c r="O457">
        <v>13.46612</v>
      </c>
      <c r="P457">
        <v>23.66065</v>
      </c>
      <c r="Q457">
        <v>19408</v>
      </c>
    </row>
    <row r="458" spans="1:17" x14ac:dyDescent="0.25">
      <c r="A458" t="s">
        <v>19</v>
      </c>
      <c r="B458">
        <v>23</v>
      </c>
      <c r="C458">
        <v>1.08</v>
      </c>
      <c r="D458">
        <v>2017</v>
      </c>
      <c r="E458" t="s">
        <v>18</v>
      </c>
      <c r="F458">
        <v>2017105</v>
      </c>
      <c r="G458">
        <v>2017162</v>
      </c>
      <c r="H458">
        <v>4500</v>
      </c>
      <c r="I458">
        <v>770</v>
      </c>
      <c r="J458">
        <v>0</v>
      </c>
      <c r="K458">
        <v>157</v>
      </c>
      <c r="L458">
        <v>219</v>
      </c>
      <c r="M458">
        <v>125</v>
      </c>
      <c r="N458">
        <v>31.501639999999998</v>
      </c>
      <c r="O458">
        <v>13.56339</v>
      </c>
      <c r="P458">
        <v>24.263940000000002</v>
      </c>
      <c r="Q458">
        <v>20025</v>
      </c>
    </row>
    <row r="459" spans="1:17" x14ac:dyDescent="0.25">
      <c r="A459" t="s">
        <v>19</v>
      </c>
      <c r="B459">
        <v>23</v>
      </c>
      <c r="C459">
        <v>1.08</v>
      </c>
      <c r="D459">
        <v>2018</v>
      </c>
      <c r="E459" t="s">
        <v>18</v>
      </c>
      <c r="F459">
        <v>2018105</v>
      </c>
      <c r="G459">
        <v>2018170</v>
      </c>
      <c r="H459">
        <v>7928</v>
      </c>
      <c r="I459">
        <v>1456</v>
      </c>
      <c r="J459">
        <v>0</v>
      </c>
      <c r="K459">
        <v>414</v>
      </c>
      <c r="L459">
        <v>108</v>
      </c>
      <c r="M459">
        <v>125</v>
      </c>
      <c r="N459">
        <v>29.559560000000001</v>
      </c>
      <c r="O459">
        <v>12.98142</v>
      </c>
      <c r="P459">
        <v>23.54645</v>
      </c>
      <c r="Q459">
        <v>37860</v>
      </c>
    </row>
    <row r="460" spans="1:17" x14ac:dyDescent="0.25">
      <c r="A460" t="s">
        <v>19</v>
      </c>
      <c r="B460">
        <v>23</v>
      </c>
      <c r="C460">
        <v>1.08</v>
      </c>
      <c r="D460">
        <v>2019</v>
      </c>
      <c r="E460" t="s">
        <v>18</v>
      </c>
      <c r="F460">
        <v>2019105</v>
      </c>
      <c r="G460">
        <v>2019166</v>
      </c>
      <c r="H460">
        <v>1971</v>
      </c>
      <c r="I460">
        <v>403</v>
      </c>
      <c r="J460">
        <v>0</v>
      </c>
      <c r="K460">
        <v>107</v>
      </c>
      <c r="L460">
        <v>171</v>
      </c>
      <c r="M460">
        <v>125</v>
      </c>
      <c r="N460">
        <v>30.30546</v>
      </c>
      <c r="O460">
        <v>13.096170000000001</v>
      </c>
      <c r="P460">
        <v>24.749179999999999</v>
      </c>
      <c r="Q460">
        <v>10468</v>
      </c>
    </row>
    <row r="461" spans="1:17" x14ac:dyDescent="0.25">
      <c r="A461" t="s">
        <v>19</v>
      </c>
      <c r="B461">
        <v>23</v>
      </c>
      <c r="C461">
        <v>1.08</v>
      </c>
      <c r="D461">
        <v>2020</v>
      </c>
      <c r="E461" t="s">
        <v>18</v>
      </c>
      <c r="F461">
        <v>2020105</v>
      </c>
      <c r="G461">
        <v>2020164</v>
      </c>
      <c r="H461">
        <v>2746</v>
      </c>
      <c r="I461">
        <v>524</v>
      </c>
      <c r="J461">
        <v>0</v>
      </c>
      <c r="K461">
        <v>162</v>
      </c>
      <c r="L461">
        <v>200</v>
      </c>
      <c r="M461">
        <v>125</v>
      </c>
      <c r="N461">
        <v>30.44699</v>
      </c>
      <c r="O461">
        <v>13.341530000000001</v>
      </c>
      <c r="P461">
        <v>24.09835</v>
      </c>
      <c r="Q461">
        <v>13612</v>
      </c>
    </row>
    <row r="462" spans="1:17" x14ac:dyDescent="0.25">
      <c r="A462" t="s">
        <v>19</v>
      </c>
      <c r="B462">
        <v>24</v>
      </c>
      <c r="C462">
        <v>1</v>
      </c>
      <c r="D462">
        <v>2001</v>
      </c>
      <c r="E462" t="s">
        <v>17</v>
      </c>
      <c r="F462">
        <v>2001074</v>
      </c>
      <c r="G462">
        <v>2001157</v>
      </c>
      <c r="H462">
        <v>7110</v>
      </c>
      <c r="I462">
        <v>749</v>
      </c>
      <c r="J462">
        <v>0</v>
      </c>
      <c r="K462">
        <v>367</v>
      </c>
      <c r="L462">
        <v>235</v>
      </c>
      <c r="M462">
        <v>100</v>
      </c>
      <c r="N462">
        <v>27.47803</v>
      </c>
      <c r="O462">
        <v>12.74766</v>
      </c>
      <c r="P462">
        <v>24.693919999999999</v>
      </c>
      <c r="Q462">
        <v>19480</v>
      </c>
    </row>
    <row r="463" spans="1:17" x14ac:dyDescent="0.25">
      <c r="A463" t="s">
        <v>19</v>
      </c>
      <c r="B463">
        <v>24</v>
      </c>
      <c r="C463">
        <v>1</v>
      </c>
      <c r="D463">
        <v>2002</v>
      </c>
      <c r="E463" t="s">
        <v>17</v>
      </c>
      <c r="F463">
        <v>2002074</v>
      </c>
      <c r="G463">
        <v>2002161</v>
      </c>
      <c r="H463">
        <v>4960</v>
      </c>
      <c r="I463">
        <v>108</v>
      </c>
      <c r="J463">
        <v>0</v>
      </c>
      <c r="K463">
        <v>253</v>
      </c>
      <c r="L463">
        <v>192</v>
      </c>
      <c r="M463">
        <v>100</v>
      </c>
      <c r="N463">
        <v>26.627559999999999</v>
      </c>
      <c r="O463">
        <v>11.78458</v>
      </c>
      <c r="P463">
        <v>24.263559999999998</v>
      </c>
      <c r="Q463">
        <v>2802</v>
      </c>
    </row>
    <row r="464" spans="1:17" x14ac:dyDescent="0.25">
      <c r="A464" t="s">
        <v>19</v>
      </c>
      <c r="B464">
        <v>24</v>
      </c>
      <c r="C464">
        <v>1</v>
      </c>
      <c r="D464">
        <v>2003</v>
      </c>
      <c r="E464" t="s">
        <v>17</v>
      </c>
      <c r="F464">
        <v>2003074</v>
      </c>
      <c r="G464">
        <v>2003157</v>
      </c>
      <c r="H464">
        <v>4219</v>
      </c>
      <c r="I464">
        <v>122</v>
      </c>
      <c r="J464">
        <v>0</v>
      </c>
      <c r="K464">
        <v>233</v>
      </c>
      <c r="L464">
        <v>246</v>
      </c>
      <c r="M464">
        <v>100</v>
      </c>
      <c r="N464">
        <v>28.088789999999999</v>
      </c>
      <c r="O464">
        <v>13.22991</v>
      </c>
      <c r="P464">
        <v>25.032710000000002</v>
      </c>
      <c r="Q464">
        <v>3169</v>
      </c>
    </row>
    <row r="465" spans="1:17" x14ac:dyDescent="0.25">
      <c r="A465" t="s">
        <v>19</v>
      </c>
      <c r="B465">
        <v>24</v>
      </c>
      <c r="C465">
        <v>1</v>
      </c>
      <c r="D465">
        <v>2004</v>
      </c>
      <c r="E465" t="s">
        <v>17</v>
      </c>
      <c r="F465">
        <v>2004074</v>
      </c>
      <c r="G465">
        <v>2004162</v>
      </c>
      <c r="H465">
        <v>8496</v>
      </c>
      <c r="I465">
        <v>1536</v>
      </c>
      <c r="J465">
        <v>0</v>
      </c>
      <c r="K465">
        <v>294</v>
      </c>
      <c r="L465">
        <v>417</v>
      </c>
      <c r="M465">
        <v>100</v>
      </c>
      <c r="N465">
        <v>27.39066</v>
      </c>
      <c r="O465">
        <v>11.92197</v>
      </c>
      <c r="P465">
        <v>24.641590000000001</v>
      </c>
      <c r="Q465">
        <v>39949</v>
      </c>
    </row>
    <row r="466" spans="1:17" x14ac:dyDescent="0.25">
      <c r="A466" t="s">
        <v>19</v>
      </c>
      <c r="B466">
        <v>24</v>
      </c>
      <c r="C466">
        <v>1</v>
      </c>
      <c r="D466">
        <v>2005</v>
      </c>
      <c r="E466" t="s">
        <v>17</v>
      </c>
      <c r="F466">
        <v>2005074</v>
      </c>
      <c r="G466">
        <v>2005157</v>
      </c>
      <c r="H466">
        <v>2553</v>
      </c>
      <c r="I466">
        <v>170</v>
      </c>
      <c r="J466">
        <v>0</v>
      </c>
      <c r="K466">
        <v>127</v>
      </c>
      <c r="L466">
        <v>180</v>
      </c>
      <c r="M466">
        <v>100</v>
      </c>
      <c r="N466">
        <v>28.969159999999999</v>
      </c>
      <c r="O466">
        <v>12.90047</v>
      </c>
      <c r="P466">
        <v>25.560749999999999</v>
      </c>
      <c r="Q466">
        <v>4417</v>
      </c>
    </row>
    <row r="467" spans="1:17" x14ac:dyDescent="0.25">
      <c r="A467" t="s">
        <v>19</v>
      </c>
      <c r="B467">
        <v>24</v>
      </c>
      <c r="C467">
        <v>1</v>
      </c>
      <c r="D467">
        <v>2006</v>
      </c>
      <c r="E467" t="s">
        <v>17</v>
      </c>
      <c r="F467">
        <v>2006074</v>
      </c>
      <c r="G467">
        <v>2006153</v>
      </c>
      <c r="H467">
        <v>2869</v>
      </c>
      <c r="I467">
        <v>929</v>
      </c>
      <c r="J467">
        <v>0</v>
      </c>
      <c r="K467">
        <v>235</v>
      </c>
      <c r="L467">
        <v>129</v>
      </c>
      <c r="M467">
        <v>100</v>
      </c>
      <c r="N467">
        <v>28.924769999999999</v>
      </c>
      <c r="O467">
        <v>13.15888</v>
      </c>
      <c r="P467">
        <v>23.561219999999999</v>
      </c>
      <c r="Q467">
        <v>24149</v>
      </c>
    </row>
    <row r="468" spans="1:17" x14ac:dyDescent="0.25">
      <c r="A468" t="s">
        <v>19</v>
      </c>
      <c r="B468">
        <v>24</v>
      </c>
      <c r="C468">
        <v>1</v>
      </c>
      <c r="D468">
        <v>2007</v>
      </c>
      <c r="E468" t="s">
        <v>17</v>
      </c>
      <c r="F468">
        <v>2007074</v>
      </c>
      <c r="G468">
        <v>2007162</v>
      </c>
      <c r="H468">
        <v>7275</v>
      </c>
      <c r="I468">
        <v>918</v>
      </c>
      <c r="J468">
        <v>0</v>
      </c>
      <c r="K468">
        <v>258</v>
      </c>
      <c r="L468">
        <v>349</v>
      </c>
      <c r="M468">
        <v>100</v>
      </c>
      <c r="N468">
        <v>26.7729</v>
      </c>
      <c r="O468">
        <v>11.720560000000001</v>
      </c>
      <c r="P468">
        <v>22.669149999999998</v>
      </c>
      <c r="Q468">
        <v>23862</v>
      </c>
    </row>
    <row r="469" spans="1:17" x14ac:dyDescent="0.25">
      <c r="A469" t="s">
        <v>19</v>
      </c>
      <c r="B469">
        <v>24</v>
      </c>
      <c r="C469">
        <v>1</v>
      </c>
      <c r="D469">
        <v>2008</v>
      </c>
      <c r="E469" t="s">
        <v>17</v>
      </c>
      <c r="F469">
        <v>2008074</v>
      </c>
      <c r="G469">
        <v>2008166</v>
      </c>
      <c r="H469">
        <v>6810</v>
      </c>
      <c r="I469">
        <v>281</v>
      </c>
      <c r="J469">
        <v>0</v>
      </c>
      <c r="K469">
        <v>331</v>
      </c>
      <c r="L469">
        <v>176</v>
      </c>
      <c r="M469">
        <v>100</v>
      </c>
      <c r="N469">
        <v>26.31728</v>
      </c>
      <c r="O469">
        <v>11.50234</v>
      </c>
      <c r="P469">
        <v>22.72289</v>
      </c>
      <c r="Q469">
        <v>7315</v>
      </c>
    </row>
    <row r="470" spans="1:17" x14ac:dyDescent="0.25">
      <c r="A470" t="s">
        <v>19</v>
      </c>
      <c r="B470">
        <v>24</v>
      </c>
      <c r="C470">
        <v>1</v>
      </c>
      <c r="D470">
        <v>2009</v>
      </c>
      <c r="E470" t="s">
        <v>17</v>
      </c>
      <c r="F470">
        <v>2009074</v>
      </c>
      <c r="G470">
        <v>2009160</v>
      </c>
      <c r="H470">
        <v>3891</v>
      </c>
      <c r="I470">
        <v>120</v>
      </c>
      <c r="J470">
        <v>0</v>
      </c>
      <c r="K470">
        <v>106</v>
      </c>
      <c r="L470">
        <v>231</v>
      </c>
      <c r="M470">
        <v>100</v>
      </c>
      <c r="N470">
        <v>28.63223</v>
      </c>
      <c r="O470">
        <v>11.94299</v>
      </c>
      <c r="P470">
        <v>23.63738</v>
      </c>
      <c r="Q470">
        <v>3115</v>
      </c>
    </row>
    <row r="471" spans="1:17" x14ac:dyDescent="0.25">
      <c r="A471" t="s">
        <v>19</v>
      </c>
      <c r="B471">
        <v>24</v>
      </c>
      <c r="C471">
        <v>1</v>
      </c>
      <c r="D471">
        <v>2010</v>
      </c>
      <c r="E471" t="s">
        <v>17</v>
      </c>
      <c r="F471">
        <v>2010074</v>
      </c>
      <c r="G471">
        <v>2010157</v>
      </c>
      <c r="H471">
        <v>7119</v>
      </c>
      <c r="I471">
        <v>1198</v>
      </c>
      <c r="J471">
        <v>0</v>
      </c>
      <c r="K471">
        <v>357</v>
      </c>
      <c r="L471">
        <v>548</v>
      </c>
      <c r="M471">
        <v>100</v>
      </c>
      <c r="N471">
        <v>27.57056</v>
      </c>
      <c r="O471">
        <v>13.07944</v>
      </c>
      <c r="P471">
        <v>23.422429999999999</v>
      </c>
      <c r="Q471">
        <v>31155</v>
      </c>
    </row>
    <row r="472" spans="1:17" x14ac:dyDescent="0.25">
      <c r="A472" t="s">
        <v>19</v>
      </c>
      <c r="B472">
        <v>24</v>
      </c>
      <c r="C472">
        <v>1</v>
      </c>
      <c r="D472">
        <v>2011</v>
      </c>
      <c r="E472" t="s">
        <v>17</v>
      </c>
      <c r="F472">
        <v>2011074</v>
      </c>
      <c r="G472">
        <v>2011149</v>
      </c>
      <c r="H472">
        <v>8813</v>
      </c>
      <c r="I472">
        <v>1990</v>
      </c>
      <c r="J472">
        <v>0</v>
      </c>
      <c r="K472">
        <v>224</v>
      </c>
      <c r="L472">
        <v>482</v>
      </c>
      <c r="M472">
        <v>100</v>
      </c>
      <c r="N472">
        <v>29.035969999999999</v>
      </c>
      <c r="O472">
        <v>12.2958</v>
      </c>
      <c r="P472">
        <v>22.945319999999999</v>
      </c>
      <c r="Q472">
        <v>51741</v>
      </c>
    </row>
    <row r="473" spans="1:17" x14ac:dyDescent="0.25">
      <c r="A473" t="s">
        <v>19</v>
      </c>
      <c r="B473">
        <v>24</v>
      </c>
      <c r="C473">
        <v>1</v>
      </c>
      <c r="D473">
        <v>2012</v>
      </c>
      <c r="E473" t="s">
        <v>18</v>
      </c>
      <c r="F473">
        <v>2012074</v>
      </c>
      <c r="G473">
        <v>2012153</v>
      </c>
      <c r="H473">
        <v>2526</v>
      </c>
      <c r="I473">
        <v>573</v>
      </c>
      <c r="J473">
        <v>0</v>
      </c>
      <c r="K473">
        <v>213</v>
      </c>
      <c r="L473">
        <v>159</v>
      </c>
      <c r="M473">
        <v>100</v>
      </c>
      <c r="N473">
        <v>28.146740000000001</v>
      </c>
      <c r="O473">
        <v>11.94486</v>
      </c>
      <c r="P473">
        <v>23.392980000000001</v>
      </c>
      <c r="Q473">
        <v>14888</v>
      </c>
    </row>
    <row r="474" spans="1:17" x14ac:dyDescent="0.25">
      <c r="A474" t="s">
        <v>19</v>
      </c>
      <c r="B474">
        <v>24</v>
      </c>
      <c r="C474">
        <v>1</v>
      </c>
      <c r="D474">
        <v>2013</v>
      </c>
      <c r="E474" t="s">
        <v>18</v>
      </c>
      <c r="F474">
        <v>2013074</v>
      </c>
      <c r="G474">
        <v>2013156</v>
      </c>
      <c r="H474">
        <v>6388</v>
      </c>
      <c r="I474">
        <v>804</v>
      </c>
      <c r="J474">
        <v>0</v>
      </c>
      <c r="K474">
        <v>289</v>
      </c>
      <c r="L474">
        <v>316</v>
      </c>
      <c r="M474">
        <v>100</v>
      </c>
      <c r="N474">
        <v>27.332719999999998</v>
      </c>
      <c r="O474">
        <v>11.70187</v>
      </c>
      <c r="P474">
        <v>23.13692</v>
      </c>
      <c r="Q474">
        <v>20904</v>
      </c>
    </row>
    <row r="475" spans="1:17" x14ac:dyDescent="0.25">
      <c r="A475" t="s">
        <v>19</v>
      </c>
      <c r="B475">
        <v>24</v>
      </c>
      <c r="C475">
        <v>1</v>
      </c>
      <c r="D475">
        <v>2014</v>
      </c>
      <c r="E475" t="s">
        <v>18</v>
      </c>
      <c r="F475">
        <v>2014074</v>
      </c>
      <c r="G475">
        <v>2014147</v>
      </c>
      <c r="H475">
        <v>6623</v>
      </c>
      <c r="I475">
        <v>742</v>
      </c>
      <c r="J475">
        <v>0</v>
      </c>
      <c r="K475">
        <v>298</v>
      </c>
      <c r="L475">
        <v>266</v>
      </c>
      <c r="M475">
        <v>100</v>
      </c>
      <c r="N475">
        <v>27.302340000000001</v>
      </c>
      <c r="O475">
        <v>11.79486</v>
      </c>
      <c r="P475">
        <v>23.40981</v>
      </c>
      <c r="Q475">
        <v>19290</v>
      </c>
    </row>
    <row r="476" spans="1:17" x14ac:dyDescent="0.25">
      <c r="A476" t="s">
        <v>19</v>
      </c>
      <c r="B476">
        <v>24</v>
      </c>
      <c r="C476">
        <v>1</v>
      </c>
      <c r="D476">
        <v>2015</v>
      </c>
      <c r="E476" t="s">
        <v>18</v>
      </c>
      <c r="F476">
        <v>2015074</v>
      </c>
      <c r="G476">
        <v>2015147</v>
      </c>
      <c r="H476">
        <v>5239</v>
      </c>
      <c r="I476">
        <v>472</v>
      </c>
      <c r="J476">
        <v>0</v>
      </c>
      <c r="K476">
        <v>97</v>
      </c>
      <c r="L476">
        <v>206</v>
      </c>
      <c r="M476">
        <v>100</v>
      </c>
      <c r="N476">
        <v>28.63646</v>
      </c>
      <c r="O476">
        <v>12.36636</v>
      </c>
      <c r="P476">
        <v>23.111219999999999</v>
      </c>
      <c r="Q476">
        <v>12283</v>
      </c>
    </row>
    <row r="477" spans="1:17" x14ac:dyDescent="0.25">
      <c r="A477" t="s">
        <v>19</v>
      </c>
      <c r="B477">
        <v>24</v>
      </c>
      <c r="C477">
        <v>1</v>
      </c>
      <c r="D477">
        <v>2016</v>
      </c>
      <c r="E477" t="s">
        <v>18</v>
      </c>
      <c r="F477">
        <v>2016074</v>
      </c>
      <c r="G477">
        <v>2016158</v>
      </c>
      <c r="H477">
        <v>4676</v>
      </c>
      <c r="I477">
        <v>671</v>
      </c>
      <c r="J477">
        <v>0</v>
      </c>
      <c r="K477">
        <v>201</v>
      </c>
      <c r="L477">
        <v>156</v>
      </c>
      <c r="M477">
        <v>100</v>
      </c>
      <c r="N477">
        <v>28.261220000000002</v>
      </c>
      <c r="O477">
        <v>12.00934</v>
      </c>
      <c r="P477">
        <v>22.697659999999999</v>
      </c>
      <c r="Q477">
        <v>17436</v>
      </c>
    </row>
    <row r="478" spans="1:17" x14ac:dyDescent="0.25">
      <c r="A478" t="s">
        <v>19</v>
      </c>
      <c r="B478">
        <v>24</v>
      </c>
      <c r="C478">
        <v>1</v>
      </c>
      <c r="D478">
        <v>2017</v>
      </c>
      <c r="E478" t="s">
        <v>18</v>
      </c>
      <c r="F478">
        <v>2017074</v>
      </c>
      <c r="G478">
        <v>2017148</v>
      </c>
      <c r="H478">
        <v>5401</v>
      </c>
      <c r="I478">
        <v>556</v>
      </c>
      <c r="J478">
        <v>0</v>
      </c>
      <c r="K478">
        <v>157</v>
      </c>
      <c r="L478">
        <v>219</v>
      </c>
      <c r="M478">
        <v>100</v>
      </c>
      <c r="N478">
        <v>29.883179999999999</v>
      </c>
      <c r="O478">
        <v>12.11215</v>
      </c>
      <c r="P478">
        <v>23.693460000000002</v>
      </c>
      <c r="Q478">
        <v>14468</v>
      </c>
    </row>
    <row r="479" spans="1:17" x14ac:dyDescent="0.25">
      <c r="A479" t="s">
        <v>19</v>
      </c>
      <c r="B479">
        <v>24</v>
      </c>
      <c r="C479">
        <v>1</v>
      </c>
      <c r="D479">
        <v>2018</v>
      </c>
      <c r="E479" t="s">
        <v>18</v>
      </c>
      <c r="F479">
        <v>2018074</v>
      </c>
      <c r="G479">
        <v>2018158</v>
      </c>
      <c r="H479">
        <v>7795</v>
      </c>
      <c r="I479">
        <v>1508</v>
      </c>
      <c r="J479">
        <v>0</v>
      </c>
      <c r="K479">
        <v>414</v>
      </c>
      <c r="L479">
        <v>108</v>
      </c>
      <c r="M479">
        <v>100</v>
      </c>
      <c r="N479">
        <v>27.416360000000001</v>
      </c>
      <c r="O479">
        <v>11.70327</v>
      </c>
      <c r="P479">
        <v>22.619160000000001</v>
      </c>
      <c r="Q479">
        <v>39212</v>
      </c>
    </row>
    <row r="480" spans="1:17" x14ac:dyDescent="0.25">
      <c r="A480" t="s">
        <v>19</v>
      </c>
      <c r="B480">
        <v>24</v>
      </c>
      <c r="C480">
        <v>1</v>
      </c>
      <c r="D480">
        <v>2019</v>
      </c>
      <c r="E480" t="s">
        <v>18</v>
      </c>
      <c r="F480">
        <v>2019074</v>
      </c>
      <c r="G480">
        <v>2019157</v>
      </c>
      <c r="H480">
        <v>2052</v>
      </c>
      <c r="I480">
        <v>364</v>
      </c>
      <c r="J480">
        <v>0</v>
      </c>
      <c r="K480">
        <v>107</v>
      </c>
      <c r="L480">
        <v>171</v>
      </c>
      <c r="M480">
        <v>100</v>
      </c>
      <c r="N480">
        <v>28.68411</v>
      </c>
      <c r="O480">
        <v>11.65981</v>
      </c>
      <c r="P480">
        <v>24.096730000000001</v>
      </c>
      <c r="Q480">
        <v>9474</v>
      </c>
    </row>
    <row r="481" spans="1:17" x14ac:dyDescent="0.25">
      <c r="A481" t="s">
        <v>19</v>
      </c>
      <c r="B481">
        <v>24</v>
      </c>
      <c r="C481">
        <v>1</v>
      </c>
      <c r="D481">
        <v>2020</v>
      </c>
      <c r="E481" t="s">
        <v>18</v>
      </c>
      <c r="F481">
        <v>2020074</v>
      </c>
      <c r="G481">
        <v>2020150</v>
      </c>
      <c r="H481">
        <v>3770</v>
      </c>
      <c r="I481">
        <v>613</v>
      </c>
      <c r="J481">
        <v>0</v>
      </c>
      <c r="K481">
        <v>162</v>
      </c>
      <c r="L481">
        <v>200</v>
      </c>
      <c r="M481">
        <v>100</v>
      </c>
      <c r="N481">
        <v>28.59346</v>
      </c>
      <c r="O481">
        <v>12.278969999999999</v>
      </c>
      <c r="P481">
        <v>22.90466</v>
      </c>
      <c r="Q481">
        <v>15945</v>
      </c>
    </row>
    <row r="482" spans="1:17" x14ac:dyDescent="0.25">
      <c r="A482" t="s">
        <v>19</v>
      </c>
      <c r="B482">
        <v>25</v>
      </c>
      <c r="C482">
        <v>1.02</v>
      </c>
      <c r="D482">
        <v>2001</v>
      </c>
      <c r="E482" t="s">
        <v>17</v>
      </c>
      <c r="F482">
        <v>2001074</v>
      </c>
      <c r="G482">
        <v>2001157</v>
      </c>
      <c r="H482">
        <v>9578</v>
      </c>
      <c r="I482">
        <v>1752</v>
      </c>
      <c r="J482">
        <v>50</v>
      </c>
      <c r="K482">
        <v>367</v>
      </c>
      <c r="L482">
        <v>235</v>
      </c>
      <c r="M482">
        <v>125</v>
      </c>
      <c r="N482">
        <v>27.47803</v>
      </c>
      <c r="O482">
        <v>12.74766</v>
      </c>
      <c r="P482">
        <v>24.693919999999999</v>
      </c>
      <c r="Q482">
        <v>56063</v>
      </c>
    </row>
    <row r="483" spans="1:17" x14ac:dyDescent="0.25">
      <c r="A483" t="s">
        <v>19</v>
      </c>
      <c r="B483">
        <v>25</v>
      </c>
      <c r="C483">
        <v>1.02</v>
      </c>
      <c r="D483">
        <v>2002</v>
      </c>
      <c r="E483" t="s">
        <v>17</v>
      </c>
      <c r="F483">
        <v>2002074</v>
      </c>
      <c r="G483">
        <v>2002161</v>
      </c>
      <c r="H483">
        <v>7183</v>
      </c>
      <c r="I483">
        <v>435</v>
      </c>
      <c r="J483">
        <v>50</v>
      </c>
      <c r="K483">
        <v>253</v>
      </c>
      <c r="L483">
        <v>192</v>
      </c>
      <c r="M483">
        <v>125</v>
      </c>
      <c r="N483">
        <v>26.627559999999999</v>
      </c>
      <c r="O483">
        <v>11.78458</v>
      </c>
      <c r="P483">
        <v>24.263559999999998</v>
      </c>
      <c r="Q483">
        <v>13931</v>
      </c>
    </row>
    <row r="484" spans="1:17" x14ac:dyDescent="0.25">
      <c r="A484" t="s">
        <v>19</v>
      </c>
      <c r="B484">
        <v>25</v>
      </c>
      <c r="C484">
        <v>1.02</v>
      </c>
      <c r="D484">
        <v>2003</v>
      </c>
      <c r="E484" t="s">
        <v>17</v>
      </c>
      <c r="F484">
        <v>2003074</v>
      </c>
      <c r="G484">
        <v>2003157</v>
      </c>
      <c r="H484">
        <v>6438</v>
      </c>
      <c r="I484">
        <v>303</v>
      </c>
      <c r="J484">
        <v>50</v>
      </c>
      <c r="K484">
        <v>233</v>
      </c>
      <c r="L484">
        <v>246</v>
      </c>
      <c r="M484">
        <v>125</v>
      </c>
      <c r="N484">
        <v>28.088789999999999</v>
      </c>
      <c r="O484">
        <v>13.22991</v>
      </c>
      <c r="P484">
        <v>25.032710000000002</v>
      </c>
      <c r="Q484">
        <v>9682</v>
      </c>
    </row>
    <row r="485" spans="1:17" x14ac:dyDescent="0.25">
      <c r="A485" t="s">
        <v>19</v>
      </c>
      <c r="B485">
        <v>25</v>
      </c>
      <c r="C485">
        <v>1.02</v>
      </c>
      <c r="D485">
        <v>2004</v>
      </c>
      <c r="E485" t="s">
        <v>17</v>
      </c>
      <c r="F485">
        <v>2004074</v>
      </c>
      <c r="G485">
        <v>2004162</v>
      </c>
      <c r="H485">
        <v>9050</v>
      </c>
      <c r="I485">
        <v>1845</v>
      </c>
      <c r="J485">
        <v>50</v>
      </c>
      <c r="K485">
        <v>294</v>
      </c>
      <c r="L485">
        <v>417</v>
      </c>
      <c r="M485">
        <v>125</v>
      </c>
      <c r="N485">
        <v>27.39066</v>
      </c>
      <c r="O485">
        <v>11.92197</v>
      </c>
      <c r="P485">
        <v>24.641590000000001</v>
      </c>
      <c r="Q485">
        <v>59030</v>
      </c>
    </row>
    <row r="486" spans="1:17" x14ac:dyDescent="0.25">
      <c r="A486" t="s">
        <v>19</v>
      </c>
      <c r="B486">
        <v>25</v>
      </c>
      <c r="C486">
        <v>1.02</v>
      </c>
      <c r="D486">
        <v>2005</v>
      </c>
      <c r="E486" t="s">
        <v>17</v>
      </c>
      <c r="F486">
        <v>2005074</v>
      </c>
      <c r="G486">
        <v>2005157</v>
      </c>
      <c r="H486">
        <v>4784</v>
      </c>
      <c r="I486">
        <v>435</v>
      </c>
      <c r="J486">
        <v>50</v>
      </c>
      <c r="K486">
        <v>127</v>
      </c>
      <c r="L486">
        <v>180</v>
      </c>
      <c r="M486">
        <v>125</v>
      </c>
      <c r="N486">
        <v>28.969159999999999</v>
      </c>
      <c r="O486">
        <v>12.90047</v>
      </c>
      <c r="P486">
        <v>25.560749999999999</v>
      </c>
      <c r="Q486">
        <v>13921</v>
      </c>
    </row>
    <row r="487" spans="1:17" x14ac:dyDescent="0.25">
      <c r="A487" t="s">
        <v>19</v>
      </c>
      <c r="B487">
        <v>25</v>
      </c>
      <c r="C487">
        <v>1.02</v>
      </c>
      <c r="D487">
        <v>2006</v>
      </c>
      <c r="E487" t="s">
        <v>17</v>
      </c>
      <c r="F487">
        <v>2006074</v>
      </c>
      <c r="G487">
        <v>2006153</v>
      </c>
      <c r="H487">
        <v>4846</v>
      </c>
      <c r="I487">
        <v>707</v>
      </c>
      <c r="J487">
        <v>50</v>
      </c>
      <c r="K487">
        <v>235</v>
      </c>
      <c r="L487">
        <v>129</v>
      </c>
      <c r="M487">
        <v>125</v>
      </c>
      <c r="N487">
        <v>28.924769999999999</v>
      </c>
      <c r="O487">
        <v>13.15888</v>
      </c>
      <c r="P487">
        <v>23.561219999999999</v>
      </c>
      <c r="Q487">
        <v>22636</v>
      </c>
    </row>
    <row r="488" spans="1:17" x14ac:dyDescent="0.25">
      <c r="A488" t="s">
        <v>19</v>
      </c>
      <c r="B488">
        <v>25</v>
      </c>
      <c r="C488">
        <v>1.02</v>
      </c>
      <c r="D488">
        <v>2007</v>
      </c>
      <c r="E488" t="s">
        <v>17</v>
      </c>
      <c r="F488">
        <v>2007074</v>
      </c>
      <c r="G488">
        <v>2007162</v>
      </c>
      <c r="H488">
        <v>9513</v>
      </c>
      <c r="I488">
        <v>2160</v>
      </c>
      <c r="J488">
        <v>50</v>
      </c>
      <c r="K488">
        <v>258</v>
      </c>
      <c r="L488">
        <v>349</v>
      </c>
      <c r="M488">
        <v>125</v>
      </c>
      <c r="N488">
        <v>26.7729</v>
      </c>
      <c r="O488">
        <v>11.720560000000001</v>
      </c>
      <c r="P488">
        <v>22.669149999999998</v>
      </c>
      <c r="Q488">
        <v>69129</v>
      </c>
    </row>
    <row r="489" spans="1:17" x14ac:dyDescent="0.25">
      <c r="A489" t="s">
        <v>19</v>
      </c>
      <c r="B489">
        <v>25</v>
      </c>
      <c r="C489">
        <v>1.02</v>
      </c>
      <c r="D489">
        <v>2008</v>
      </c>
      <c r="E489" t="s">
        <v>17</v>
      </c>
      <c r="F489">
        <v>2008074</v>
      </c>
      <c r="G489">
        <v>2008166</v>
      </c>
      <c r="H489">
        <v>8977</v>
      </c>
      <c r="I489">
        <v>1164</v>
      </c>
      <c r="J489">
        <v>50</v>
      </c>
      <c r="K489">
        <v>331</v>
      </c>
      <c r="L489">
        <v>176</v>
      </c>
      <c r="M489">
        <v>125</v>
      </c>
      <c r="N489">
        <v>26.31728</v>
      </c>
      <c r="O489">
        <v>11.50234</v>
      </c>
      <c r="P489">
        <v>22.72289</v>
      </c>
      <c r="Q489">
        <v>37260</v>
      </c>
    </row>
    <row r="490" spans="1:17" x14ac:dyDescent="0.25">
      <c r="A490" t="s">
        <v>19</v>
      </c>
      <c r="B490">
        <v>25</v>
      </c>
      <c r="C490">
        <v>1.02</v>
      </c>
      <c r="D490">
        <v>2009</v>
      </c>
      <c r="E490" t="s">
        <v>17</v>
      </c>
      <c r="F490">
        <v>2009074</v>
      </c>
      <c r="G490">
        <v>2009160</v>
      </c>
      <c r="H490">
        <v>6523</v>
      </c>
      <c r="I490">
        <v>414</v>
      </c>
      <c r="J490">
        <v>50</v>
      </c>
      <c r="K490">
        <v>106</v>
      </c>
      <c r="L490">
        <v>231</v>
      </c>
      <c r="M490">
        <v>125</v>
      </c>
      <c r="N490">
        <v>28.63223</v>
      </c>
      <c r="O490">
        <v>11.94299</v>
      </c>
      <c r="P490">
        <v>23.63738</v>
      </c>
      <c r="Q490">
        <v>13235</v>
      </c>
    </row>
    <row r="491" spans="1:17" x14ac:dyDescent="0.25">
      <c r="A491" t="s">
        <v>19</v>
      </c>
      <c r="B491">
        <v>25</v>
      </c>
      <c r="C491">
        <v>1.02</v>
      </c>
      <c r="D491">
        <v>2010</v>
      </c>
      <c r="E491" t="s">
        <v>17</v>
      </c>
      <c r="F491">
        <v>2010074</v>
      </c>
      <c r="G491">
        <v>2010157</v>
      </c>
      <c r="H491">
        <v>9125</v>
      </c>
      <c r="I491">
        <v>1948</v>
      </c>
      <c r="J491">
        <v>50</v>
      </c>
      <c r="K491">
        <v>357</v>
      </c>
      <c r="L491">
        <v>548</v>
      </c>
      <c r="M491">
        <v>125</v>
      </c>
      <c r="N491">
        <v>27.57056</v>
      </c>
      <c r="O491">
        <v>13.07944</v>
      </c>
      <c r="P491">
        <v>23.422429999999999</v>
      </c>
      <c r="Q491">
        <v>62331</v>
      </c>
    </row>
    <row r="492" spans="1:17" x14ac:dyDescent="0.25">
      <c r="A492" t="s">
        <v>19</v>
      </c>
      <c r="B492">
        <v>25</v>
      </c>
      <c r="C492">
        <v>1.02</v>
      </c>
      <c r="D492">
        <v>2011</v>
      </c>
      <c r="E492" t="s">
        <v>18</v>
      </c>
      <c r="F492">
        <v>2011074</v>
      </c>
      <c r="G492">
        <v>2011144</v>
      </c>
      <c r="H492">
        <v>11459</v>
      </c>
      <c r="I492">
        <v>4479</v>
      </c>
      <c r="J492">
        <v>50</v>
      </c>
      <c r="K492">
        <v>224</v>
      </c>
      <c r="L492">
        <v>482</v>
      </c>
      <c r="M492">
        <v>125</v>
      </c>
      <c r="N492">
        <v>29.035969999999999</v>
      </c>
      <c r="O492">
        <v>12.2958</v>
      </c>
      <c r="P492">
        <v>22.945319999999999</v>
      </c>
      <c r="Q492">
        <v>143328</v>
      </c>
    </row>
    <row r="493" spans="1:17" x14ac:dyDescent="0.25">
      <c r="A493" t="s">
        <v>19</v>
      </c>
      <c r="B493">
        <v>25</v>
      </c>
      <c r="C493">
        <v>1.02</v>
      </c>
      <c r="D493">
        <v>2012</v>
      </c>
      <c r="E493" t="s">
        <v>18</v>
      </c>
      <c r="F493">
        <v>2012074</v>
      </c>
      <c r="G493">
        <v>2012153</v>
      </c>
      <c r="H493">
        <v>4991</v>
      </c>
      <c r="I493">
        <v>636</v>
      </c>
      <c r="J493">
        <v>50</v>
      </c>
      <c r="K493">
        <v>213</v>
      </c>
      <c r="L493">
        <v>159</v>
      </c>
      <c r="M493">
        <v>125</v>
      </c>
      <c r="N493">
        <v>28.146740000000001</v>
      </c>
      <c r="O493">
        <v>11.94486</v>
      </c>
      <c r="P493">
        <v>23.392980000000001</v>
      </c>
      <c r="Q493">
        <v>20364</v>
      </c>
    </row>
    <row r="494" spans="1:17" x14ac:dyDescent="0.25">
      <c r="A494" t="s">
        <v>19</v>
      </c>
      <c r="B494">
        <v>25</v>
      </c>
      <c r="C494">
        <v>1.02</v>
      </c>
      <c r="D494">
        <v>2013</v>
      </c>
      <c r="E494" t="s">
        <v>18</v>
      </c>
      <c r="F494">
        <v>2013074</v>
      </c>
      <c r="G494">
        <v>2013156</v>
      </c>
      <c r="H494">
        <v>8753</v>
      </c>
      <c r="I494">
        <v>1942</v>
      </c>
      <c r="J494">
        <v>50</v>
      </c>
      <c r="K494">
        <v>289</v>
      </c>
      <c r="L494">
        <v>316</v>
      </c>
      <c r="M494">
        <v>125</v>
      </c>
      <c r="N494">
        <v>27.332719999999998</v>
      </c>
      <c r="O494">
        <v>11.70187</v>
      </c>
      <c r="P494">
        <v>23.13692</v>
      </c>
      <c r="Q494">
        <v>62135</v>
      </c>
    </row>
    <row r="495" spans="1:17" x14ac:dyDescent="0.25">
      <c r="A495" t="s">
        <v>19</v>
      </c>
      <c r="B495">
        <v>25</v>
      </c>
      <c r="C495">
        <v>1.02</v>
      </c>
      <c r="D495">
        <v>2014</v>
      </c>
      <c r="E495" t="s">
        <v>18</v>
      </c>
      <c r="F495">
        <v>2014074</v>
      </c>
      <c r="G495">
        <v>2014147</v>
      </c>
      <c r="H495">
        <v>9161</v>
      </c>
      <c r="I495">
        <v>1800</v>
      </c>
      <c r="J495">
        <v>50</v>
      </c>
      <c r="K495">
        <v>298</v>
      </c>
      <c r="L495">
        <v>266</v>
      </c>
      <c r="M495">
        <v>125</v>
      </c>
      <c r="N495">
        <v>27.302340000000001</v>
      </c>
      <c r="O495">
        <v>11.79486</v>
      </c>
      <c r="P495">
        <v>23.40981</v>
      </c>
      <c r="Q495">
        <v>57596</v>
      </c>
    </row>
    <row r="496" spans="1:17" x14ac:dyDescent="0.25">
      <c r="A496" t="s">
        <v>19</v>
      </c>
      <c r="B496">
        <v>25</v>
      </c>
      <c r="C496">
        <v>1.02</v>
      </c>
      <c r="D496">
        <v>2015</v>
      </c>
      <c r="E496" t="s">
        <v>18</v>
      </c>
      <c r="F496">
        <v>2015074</v>
      </c>
      <c r="G496">
        <v>2015147</v>
      </c>
      <c r="H496">
        <v>7615</v>
      </c>
      <c r="I496">
        <v>1176</v>
      </c>
      <c r="J496">
        <v>50</v>
      </c>
      <c r="K496">
        <v>97</v>
      </c>
      <c r="L496">
        <v>206</v>
      </c>
      <c r="M496">
        <v>125</v>
      </c>
      <c r="N496">
        <v>28.63646</v>
      </c>
      <c r="O496">
        <v>12.36636</v>
      </c>
      <c r="P496">
        <v>23.111219999999999</v>
      </c>
      <c r="Q496">
        <v>37629</v>
      </c>
    </row>
    <row r="497" spans="1:17" x14ac:dyDescent="0.25">
      <c r="A497" t="s">
        <v>19</v>
      </c>
      <c r="B497">
        <v>25</v>
      </c>
      <c r="C497">
        <v>1.02</v>
      </c>
      <c r="D497">
        <v>2016</v>
      </c>
      <c r="E497" t="s">
        <v>18</v>
      </c>
      <c r="F497">
        <v>2016074</v>
      </c>
      <c r="G497">
        <v>2016159</v>
      </c>
      <c r="H497">
        <v>6968</v>
      </c>
      <c r="I497">
        <v>804</v>
      </c>
      <c r="J497">
        <v>50</v>
      </c>
      <c r="K497">
        <v>201</v>
      </c>
      <c r="L497">
        <v>156</v>
      </c>
      <c r="M497">
        <v>125</v>
      </c>
      <c r="N497">
        <v>28.261220000000002</v>
      </c>
      <c r="O497">
        <v>12.00934</v>
      </c>
      <c r="P497">
        <v>22.697659999999999</v>
      </c>
      <c r="Q497">
        <v>25724</v>
      </c>
    </row>
    <row r="498" spans="1:17" x14ac:dyDescent="0.25">
      <c r="A498" t="s">
        <v>19</v>
      </c>
      <c r="B498">
        <v>25</v>
      </c>
      <c r="C498">
        <v>1.02</v>
      </c>
      <c r="D498">
        <v>2017</v>
      </c>
      <c r="E498" t="s">
        <v>18</v>
      </c>
      <c r="F498">
        <v>2017074</v>
      </c>
      <c r="G498">
        <v>2017148</v>
      </c>
      <c r="H498">
        <v>8106</v>
      </c>
      <c r="I498">
        <v>1256</v>
      </c>
      <c r="J498">
        <v>50</v>
      </c>
      <c r="K498">
        <v>157</v>
      </c>
      <c r="L498">
        <v>219</v>
      </c>
      <c r="M498">
        <v>125</v>
      </c>
      <c r="N498">
        <v>29.883179999999999</v>
      </c>
      <c r="O498">
        <v>12.11215</v>
      </c>
      <c r="P498">
        <v>23.693460000000002</v>
      </c>
      <c r="Q498">
        <v>40186</v>
      </c>
    </row>
    <row r="499" spans="1:17" x14ac:dyDescent="0.25">
      <c r="A499" t="s">
        <v>19</v>
      </c>
      <c r="B499">
        <v>25</v>
      </c>
      <c r="C499">
        <v>1.02</v>
      </c>
      <c r="D499">
        <v>2018</v>
      </c>
      <c r="E499" t="s">
        <v>18</v>
      </c>
      <c r="F499">
        <v>2018074</v>
      </c>
      <c r="G499">
        <v>2018158</v>
      </c>
      <c r="H499">
        <v>10252</v>
      </c>
      <c r="I499">
        <v>3037</v>
      </c>
      <c r="J499">
        <v>50</v>
      </c>
      <c r="K499">
        <v>414</v>
      </c>
      <c r="L499">
        <v>108</v>
      </c>
      <c r="M499">
        <v>125</v>
      </c>
      <c r="N499">
        <v>27.416360000000001</v>
      </c>
      <c r="O499">
        <v>11.70327</v>
      </c>
      <c r="P499">
        <v>22.619160000000001</v>
      </c>
      <c r="Q499">
        <v>97193</v>
      </c>
    </row>
    <row r="500" spans="1:17" x14ac:dyDescent="0.25">
      <c r="A500" t="s">
        <v>19</v>
      </c>
      <c r="B500">
        <v>25</v>
      </c>
      <c r="C500">
        <v>1.02</v>
      </c>
      <c r="D500">
        <v>2019</v>
      </c>
      <c r="E500" t="s">
        <v>18</v>
      </c>
      <c r="F500">
        <v>2019074</v>
      </c>
      <c r="G500">
        <v>2019157</v>
      </c>
      <c r="H500">
        <v>4218</v>
      </c>
      <c r="I500">
        <v>546</v>
      </c>
      <c r="J500">
        <v>50</v>
      </c>
      <c r="K500">
        <v>107</v>
      </c>
      <c r="L500">
        <v>171</v>
      </c>
      <c r="M500">
        <v>125</v>
      </c>
      <c r="N500">
        <v>28.68411</v>
      </c>
      <c r="O500">
        <v>11.65981</v>
      </c>
      <c r="P500">
        <v>24.096730000000001</v>
      </c>
      <c r="Q500">
        <v>17484</v>
      </c>
    </row>
    <row r="501" spans="1:17" x14ac:dyDescent="0.25">
      <c r="A501" t="s">
        <v>19</v>
      </c>
      <c r="B501">
        <v>25</v>
      </c>
      <c r="C501">
        <v>1.02</v>
      </c>
      <c r="D501">
        <v>2020</v>
      </c>
      <c r="E501" t="s">
        <v>18</v>
      </c>
      <c r="F501">
        <v>2020074</v>
      </c>
      <c r="G501">
        <v>2020150</v>
      </c>
      <c r="H501">
        <v>6252</v>
      </c>
      <c r="I501">
        <v>739</v>
      </c>
      <c r="J501">
        <v>50</v>
      </c>
      <c r="K501">
        <v>162</v>
      </c>
      <c r="L501">
        <v>200</v>
      </c>
      <c r="M501">
        <v>125</v>
      </c>
      <c r="N501">
        <v>28.59346</v>
      </c>
      <c r="O501">
        <v>12.278969999999999</v>
      </c>
      <c r="P501">
        <v>22.90466</v>
      </c>
      <c r="Q501">
        <v>23651</v>
      </c>
    </row>
    <row r="502" spans="1:17" x14ac:dyDescent="0.25">
      <c r="A502" t="s">
        <v>19</v>
      </c>
      <c r="B502">
        <v>26</v>
      </c>
      <c r="C502">
        <v>0.82</v>
      </c>
      <c r="D502">
        <v>2001</v>
      </c>
      <c r="E502" t="s">
        <v>17</v>
      </c>
      <c r="F502">
        <v>2001074</v>
      </c>
      <c r="G502">
        <v>2001157</v>
      </c>
      <c r="H502">
        <v>7259</v>
      </c>
      <c r="I502">
        <v>734</v>
      </c>
      <c r="J502">
        <v>50</v>
      </c>
      <c r="K502">
        <v>367</v>
      </c>
      <c r="L502">
        <v>235</v>
      </c>
      <c r="M502">
        <v>100</v>
      </c>
      <c r="N502">
        <v>27.47803</v>
      </c>
      <c r="O502">
        <v>12.74766</v>
      </c>
      <c r="P502">
        <v>24.693919999999999</v>
      </c>
      <c r="Q502">
        <v>23480</v>
      </c>
    </row>
    <row r="503" spans="1:17" x14ac:dyDescent="0.25">
      <c r="A503" t="s">
        <v>19</v>
      </c>
      <c r="B503">
        <v>26</v>
      </c>
      <c r="C503">
        <v>0.82</v>
      </c>
      <c r="D503">
        <v>2002</v>
      </c>
      <c r="E503" t="s">
        <v>17</v>
      </c>
      <c r="F503">
        <v>2002074</v>
      </c>
      <c r="G503">
        <v>2002161</v>
      </c>
      <c r="H503">
        <v>5671</v>
      </c>
      <c r="I503">
        <v>141</v>
      </c>
      <c r="J503">
        <v>50</v>
      </c>
      <c r="K503">
        <v>253</v>
      </c>
      <c r="L503">
        <v>192</v>
      </c>
      <c r="M503">
        <v>100</v>
      </c>
      <c r="N503">
        <v>26.627559999999999</v>
      </c>
      <c r="O503">
        <v>11.78458</v>
      </c>
      <c r="P503">
        <v>24.263559999999998</v>
      </c>
      <c r="Q503">
        <v>4499</v>
      </c>
    </row>
    <row r="504" spans="1:17" x14ac:dyDescent="0.25">
      <c r="A504" t="s">
        <v>19</v>
      </c>
      <c r="B504">
        <v>26</v>
      </c>
      <c r="C504">
        <v>0.82</v>
      </c>
      <c r="D504">
        <v>2003</v>
      </c>
      <c r="E504" t="s">
        <v>17</v>
      </c>
      <c r="F504">
        <v>2003074</v>
      </c>
      <c r="G504">
        <v>2003157</v>
      </c>
      <c r="H504">
        <v>5806</v>
      </c>
      <c r="I504">
        <v>155</v>
      </c>
      <c r="J504">
        <v>50</v>
      </c>
      <c r="K504">
        <v>233</v>
      </c>
      <c r="L504">
        <v>246</v>
      </c>
      <c r="M504">
        <v>100</v>
      </c>
      <c r="N504">
        <v>28.088789999999999</v>
      </c>
      <c r="O504">
        <v>13.22991</v>
      </c>
      <c r="P504">
        <v>25.032710000000002</v>
      </c>
      <c r="Q504">
        <v>4965</v>
      </c>
    </row>
    <row r="505" spans="1:17" x14ac:dyDescent="0.25">
      <c r="A505" t="s">
        <v>19</v>
      </c>
      <c r="B505">
        <v>26</v>
      </c>
      <c r="C505">
        <v>0.82</v>
      </c>
      <c r="D505">
        <v>2004</v>
      </c>
      <c r="E505" t="s">
        <v>17</v>
      </c>
      <c r="F505">
        <v>2004074</v>
      </c>
      <c r="G505">
        <v>2004162</v>
      </c>
      <c r="H505">
        <v>6887</v>
      </c>
      <c r="I505">
        <v>907</v>
      </c>
      <c r="J505">
        <v>50</v>
      </c>
      <c r="K505">
        <v>294</v>
      </c>
      <c r="L505">
        <v>417</v>
      </c>
      <c r="M505">
        <v>100</v>
      </c>
      <c r="N505">
        <v>27.39066</v>
      </c>
      <c r="O505">
        <v>11.92197</v>
      </c>
      <c r="P505">
        <v>24.641590000000001</v>
      </c>
      <c r="Q505">
        <v>29036</v>
      </c>
    </row>
    <row r="506" spans="1:17" x14ac:dyDescent="0.25">
      <c r="A506" t="s">
        <v>19</v>
      </c>
      <c r="B506">
        <v>26</v>
      </c>
      <c r="C506">
        <v>0.82</v>
      </c>
      <c r="D506">
        <v>2005</v>
      </c>
      <c r="E506" t="s">
        <v>17</v>
      </c>
      <c r="F506">
        <v>2005074</v>
      </c>
      <c r="G506">
        <v>2005157</v>
      </c>
      <c r="H506">
        <v>4433</v>
      </c>
      <c r="I506">
        <v>179</v>
      </c>
      <c r="J506">
        <v>50</v>
      </c>
      <c r="K506">
        <v>127</v>
      </c>
      <c r="L506">
        <v>180</v>
      </c>
      <c r="M506">
        <v>100</v>
      </c>
      <c r="N506">
        <v>28.969159999999999</v>
      </c>
      <c r="O506">
        <v>12.90047</v>
      </c>
      <c r="P506">
        <v>25.560749999999999</v>
      </c>
      <c r="Q506">
        <v>5716</v>
      </c>
    </row>
    <row r="507" spans="1:17" x14ac:dyDescent="0.25">
      <c r="A507" t="s">
        <v>19</v>
      </c>
      <c r="B507">
        <v>26</v>
      </c>
      <c r="C507">
        <v>0.82</v>
      </c>
      <c r="D507">
        <v>2006</v>
      </c>
      <c r="E507" t="s">
        <v>17</v>
      </c>
      <c r="F507">
        <v>2006074</v>
      </c>
      <c r="G507">
        <v>2006153</v>
      </c>
      <c r="H507">
        <v>4811</v>
      </c>
      <c r="I507">
        <v>686</v>
      </c>
      <c r="J507">
        <v>50</v>
      </c>
      <c r="K507">
        <v>235</v>
      </c>
      <c r="L507">
        <v>129</v>
      </c>
      <c r="M507">
        <v>100</v>
      </c>
      <c r="N507">
        <v>28.924769999999999</v>
      </c>
      <c r="O507">
        <v>13.15888</v>
      </c>
      <c r="P507">
        <v>23.561219999999999</v>
      </c>
      <c r="Q507">
        <v>21960</v>
      </c>
    </row>
    <row r="508" spans="1:17" x14ac:dyDescent="0.25">
      <c r="A508" t="s">
        <v>19</v>
      </c>
      <c r="B508">
        <v>26</v>
      </c>
      <c r="C508">
        <v>0.82</v>
      </c>
      <c r="D508">
        <v>2007</v>
      </c>
      <c r="E508" t="s">
        <v>17</v>
      </c>
      <c r="F508">
        <v>2007074</v>
      </c>
      <c r="G508">
        <v>2007162</v>
      </c>
      <c r="H508">
        <v>8131</v>
      </c>
      <c r="I508">
        <v>1151</v>
      </c>
      <c r="J508">
        <v>50</v>
      </c>
      <c r="K508">
        <v>258</v>
      </c>
      <c r="L508">
        <v>349</v>
      </c>
      <c r="M508">
        <v>100</v>
      </c>
      <c r="N508">
        <v>26.7729</v>
      </c>
      <c r="O508">
        <v>11.720560000000001</v>
      </c>
      <c r="P508">
        <v>22.669149999999998</v>
      </c>
      <c r="Q508">
        <v>36846</v>
      </c>
    </row>
    <row r="509" spans="1:17" x14ac:dyDescent="0.25">
      <c r="A509" t="s">
        <v>19</v>
      </c>
      <c r="B509">
        <v>26</v>
      </c>
      <c r="C509">
        <v>0.82</v>
      </c>
      <c r="D509">
        <v>2008</v>
      </c>
      <c r="E509" t="s">
        <v>17</v>
      </c>
      <c r="F509">
        <v>2008074</v>
      </c>
      <c r="G509">
        <v>2008166</v>
      </c>
      <c r="H509">
        <v>7627</v>
      </c>
      <c r="I509">
        <v>558</v>
      </c>
      <c r="J509">
        <v>50</v>
      </c>
      <c r="K509">
        <v>331</v>
      </c>
      <c r="L509">
        <v>176</v>
      </c>
      <c r="M509">
        <v>100</v>
      </c>
      <c r="N509">
        <v>26.31728</v>
      </c>
      <c r="O509">
        <v>11.50234</v>
      </c>
      <c r="P509">
        <v>22.72289</v>
      </c>
      <c r="Q509">
        <v>17853</v>
      </c>
    </row>
    <row r="510" spans="1:17" x14ac:dyDescent="0.25">
      <c r="A510" t="s">
        <v>19</v>
      </c>
      <c r="B510">
        <v>26</v>
      </c>
      <c r="C510">
        <v>0.82</v>
      </c>
      <c r="D510">
        <v>2009</v>
      </c>
      <c r="E510" t="s">
        <v>17</v>
      </c>
      <c r="F510">
        <v>2009074</v>
      </c>
      <c r="G510">
        <v>2009160</v>
      </c>
      <c r="H510">
        <v>6131</v>
      </c>
      <c r="I510">
        <v>222</v>
      </c>
      <c r="J510">
        <v>50</v>
      </c>
      <c r="K510">
        <v>106</v>
      </c>
      <c r="L510">
        <v>231</v>
      </c>
      <c r="M510">
        <v>100</v>
      </c>
      <c r="N510">
        <v>28.63223</v>
      </c>
      <c r="O510">
        <v>11.94299</v>
      </c>
      <c r="P510">
        <v>23.63738</v>
      </c>
      <c r="Q510">
        <v>7100</v>
      </c>
    </row>
    <row r="511" spans="1:17" x14ac:dyDescent="0.25">
      <c r="A511" t="s">
        <v>19</v>
      </c>
      <c r="B511">
        <v>26</v>
      </c>
      <c r="C511">
        <v>0.82</v>
      </c>
      <c r="D511">
        <v>2010</v>
      </c>
      <c r="E511" t="s">
        <v>17</v>
      </c>
      <c r="F511">
        <v>2010074</v>
      </c>
      <c r="G511">
        <v>2010157</v>
      </c>
      <c r="H511">
        <v>7035</v>
      </c>
      <c r="I511">
        <v>1084</v>
      </c>
      <c r="J511">
        <v>50</v>
      </c>
      <c r="K511">
        <v>357</v>
      </c>
      <c r="L511">
        <v>548</v>
      </c>
      <c r="M511">
        <v>100</v>
      </c>
      <c r="N511">
        <v>27.57056</v>
      </c>
      <c r="O511">
        <v>13.07944</v>
      </c>
      <c r="P511">
        <v>23.422429999999999</v>
      </c>
      <c r="Q511">
        <v>34677</v>
      </c>
    </row>
    <row r="512" spans="1:17" x14ac:dyDescent="0.25">
      <c r="A512" t="s">
        <v>19</v>
      </c>
      <c r="B512">
        <v>26</v>
      </c>
      <c r="C512">
        <v>0.82</v>
      </c>
      <c r="D512">
        <v>2011</v>
      </c>
      <c r="E512" t="s">
        <v>18</v>
      </c>
      <c r="F512">
        <v>2011074</v>
      </c>
      <c r="G512">
        <v>2011144</v>
      </c>
      <c r="H512">
        <v>9698</v>
      </c>
      <c r="I512">
        <v>3693</v>
      </c>
      <c r="J512">
        <v>50</v>
      </c>
      <c r="K512">
        <v>224</v>
      </c>
      <c r="L512">
        <v>482</v>
      </c>
      <c r="M512">
        <v>100</v>
      </c>
      <c r="N512">
        <v>29.035969999999999</v>
      </c>
      <c r="O512">
        <v>12.2958</v>
      </c>
      <c r="P512">
        <v>22.945319999999999</v>
      </c>
      <c r="Q512">
        <v>118183</v>
      </c>
    </row>
    <row r="513" spans="1:17" x14ac:dyDescent="0.25">
      <c r="A513" t="s">
        <v>19</v>
      </c>
      <c r="B513">
        <v>26</v>
      </c>
      <c r="C513">
        <v>0.82</v>
      </c>
      <c r="D513">
        <v>2012</v>
      </c>
      <c r="E513" t="s">
        <v>18</v>
      </c>
      <c r="F513">
        <v>2012074</v>
      </c>
      <c r="G513">
        <v>2012153</v>
      </c>
      <c r="H513">
        <v>4981</v>
      </c>
      <c r="I513">
        <v>592</v>
      </c>
      <c r="J513">
        <v>50</v>
      </c>
      <c r="K513">
        <v>213</v>
      </c>
      <c r="L513">
        <v>159</v>
      </c>
      <c r="M513">
        <v>100</v>
      </c>
      <c r="N513">
        <v>28.146740000000001</v>
      </c>
      <c r="O513">
        <v>11.94486</v>
      </c>
      <c r="P513">
        <v>23.392980000000001</v>
      </c>
      <c r="Q513">
        <v>18929</v>
      </c>
    </row>
    <row r="514" spans="1:17" x14ac:dyDescent="0.25">
      <c r="A514" t="s">
        <v>19</v>
      </c>
      <c r="B514">
        <v>26</v>
      </c>
      <c r="C514">
        <v>0.82</v>
      </c>
      <c r="D514">
        <v>2013</v>
      </c>
      <c r="E514" t="s">
        <v>18</v>
      </c>
      <c r="F514">
        <v>2013074</v>
      </c>
      <c r="G514">
        <v>2013156</v>
      </c>
      <c r="H514">
        <v>6353</v>
      </c>
      <c r="I514">
        <v>917</v>
      </c>
      <c r="J514">
        <v>50</v>
      </c>
      <c r="K514">
        <v>289</v>
      </c>
      <c r="L514">
        <v>316</v>
      </c>
      <c r="M514">
        <v>100</v>
      </c>
      <c r="N514">
        <v>27.332719999999998</v>
      </c>
      <c r="O514">
        <v>11.70187</v>
      </c>
      <c r="P514">
        <v>23.13692</v>
      </c>
      <c r="Q514">
        <v>29352</v>
      </c>
    </row>
    <row r="515" spans="1:17" x14ac:dyDescent="0.25">
      <c r="A515" t="s">
        <v>19</v>
      </c>
      <c r="B515">
        <v>26</v>
      </c>
      <c r="C515">
        <v>0.82</v>
      </c>
      <c r="D515">
        <v>2014</v>
      </c>
      <c r="E515" t="s">
        <v>18</v>
      </c>
      <c r="F515">
        <v>2014074</v>
      </c>
      <c r="G515">
        <v>2014147</v>
      </c>
      <c r="H515">
        <v>7027</v>
      </c>
      <c r="I515">
        <v>957</v>
      </c>
      <c r="J515">
        <v>50</v>
      </c>
      <c r="K515">
        <v>298</v>
      </c>
      <c r="L515">
        <v>266</v>
      </c>
      <c r="M515">
        <v>100</v>
      </c>
      <c r="N515">
        <v>27.302340000000001</v>
      </c>
      <c r="O515">
        <v>11.79486</v>
      </c>
      <c r="P515">
        <v>23.40981</v>
      </c>
      <c r="Q515">
        <v>30640</v>
      </c>
    </row>
    <row r="516" spans="1:17" x14ac:dyDescent="0.25">
      <c r="A516" t="s">
        <v>19</v>
      </c>
      <c r="B516">
        <v>26</v>
      </c>
      <c r="C516">
        <v>0.82</v>
      </c>
      <c r="D516">
        <v>2015</v>
      </c>
      <c r="E516" t="s">
        <v>18</v>
      </c>
      <c r="F516">
        <v>2015074</v>
      </c>
      <c r="G516">
        <v>2015147</v>
      </c>
      <c r="H516">
        <v>6420</v>
      </c>
      <c r="I516">
        <v>871</v>
      </c>
      <c r="J516">
        <v>50</v>
      </c>
      <c r="K516">
        <v>97</v>
      </c>
      <c r="L516">
        <v>206</v>
      </c>
      <c r="M516">
        <v>100</v>
      </c>
      <c r="N516">
        <v>28.63646</v>
      </c>
      <c r="O516">
        <v>12.36636</v>
      </c>
      <c r="P516">
        <v>23.111219999999999</v>
      </c>
      <c r="Q516">
        <v>27878</v>
      </c>
    </row>
    <row r="517" spans="1:17" x14ac:dyDescent="0.25">
      <c r="A517" t="s">
        <v>19</v>
      </c>
      <c r="B517">
        <v>26</v>
      </c>
      <c r="C517">
        <v>0.82</v>
      </c>
      <c r="D517">
        <v>2016</v>
      </c>
      <c r="E517" t="s">
        <v>18</v>
      </c>
      <c r="F517">
        <v>2016074</v>
      </c>
      <c r="G517">
        <v>2016159</v>
      </c>
      <c r="H517">
        <v>6585</v>
      </c>
      <c r="I517">
        <v>722</v>
      </c>
      <c r="J517">
        <v>50</v>
      </c>
      <c r="K517">
        <v>201</v>
      </c>
      <c r="L517">
        <v>156</v>
      </c>
      <c r="M517">
        <v>100</v>
      </c>
      <c r="N517">
        <v>28.261220000000002</v>
      </c>
      <c r="O517">
        <v>12.00934</v>
      </c>
      <c r="P517">
        <v>22.697659999999999</v>
      </c>
      <c r="Q517">
        <v>23111</v>
      </c>
    </row>
    <row r="518" spans="1:17" x14ac:dyDescent="0.25">
      <c r="A518" t="s">
        <v>19</v>
      </c>
      <c r="B518">
        <v>26</v>
      </c>
      <c r="C518">
        <v>0.82</v>
      </c>
      <c r="D518">
        <v>2017</v>
      </c>
      <c r="E518" t="s">
        <v>18</v>
      </c>
      <c r="F518">
        <v>2017074</v>
      </c>
      <c r="G518">
        <v>2017148</v>
      </c>
      <c r="H518">
        <v>7586</v>
      </c>
      <c r="I518">
        <v>1037</v>
      </c>
      <c r="J518">
        <v>50</v>
      </c>
      <c r="K518">
        <v>157</v>
      </c>
      <c r="L518">
        <v>219</v>
      </c>
      <c r="M518">
        <v>100</v>
      </c>
      <c r="N518">
        <v>29.883179999999999</v>
      </c>
      <c r="O518">
        <v>12.11215</v>
      </c>
      <c r="P518">
        <v>23.693460000000002</v>
      </c>
      <c r="Q518">
        <v>33192</v>
      </c>
    </row>
    <row r="519" spans="1:17" x14ac:dyDescent="0.25">
      <c r="A519" t="s">
        <v>19</v>
      </c>
      <c r="B519">
        <v>26</v>
      </c>
      <c r="C519">
        <v>0.82</v>
      </c>
      <c r="D519">
        <v>2018</v>
      </c>
      <c r="E519" t="s">
        <v>18</v>
      </c>
      <c r="F519">
        <v>2018074</v>
      </c>
      <c r="G519">
        <v>2018158</v>
      </c>
      <c r="H519">
        <v>8147</v>
      </c>
      <c r="I519">
        <v>2010</v>
      </c>
      <c r="J519">
        <v>50</v>
      </c>
      <c r="K519">
        <v>414</v>
      </c>
      <c r="L519">
        <v>108</v>
      </c>
      <c r="M519">
        <v>100</v>
      </c>
      <c r="N519">
        <v>27.416360000000001</v>
      </c>
      <c r="O519">
        <v>11.70327</v>
      </c>
      <c r="P519">
        <v>22.619160000000001</v>
      </c>
      <c r="Q519">
        <v>64315</v>
      </c>
    </row>
    <row r="520" spans="1:17" x14ac:dyDescent="0.25">
      <c r="A520" t="s">
        <v>19</v>
      </c>
      <c r="B520">
        <v>26</v>
      </c>
      <c r="C520">
        <v>0.82</v>
      </c>
      <c r="D520">
        <v>2019</v>
      </c>
      <c r="E520" t="s">
        <v>18</v>
      </c>
      <c r="F520">
        <v>2019074</v>
      </c>
      <c r="G520">
        <v>2019157</v>
      </c>
      <c r="H520">
        <v>3971</v>
      </c>
      <c r="I520">
        <v>278</v>
      </c>
      <c r="J520">
        <v>50</v>
      </c>
      <c r="K520">
        <v>107</v>
      </c>
      <c r="L520">
        <v>171</v>
      </c>
      <c r="M520">
        <v>100</v>
      </c>
      <c r="N520">
        <v>28.68411</v>
      </c>
      <c r="O520">
        <v>11.65981</v>
      </c>
      <c r="P520">
        <v>24.096730000000001</v>
      </c>
      <c r="Q520">
        <v>8900</v>
      </c>
    </row>
    <row r="521" spans="1:17" x14ac:dyDescent="0.25">
      <c r="A521" t="s">
        <v>19</v>
      </c>
      <c r="B521">
        <v>26</v>
      </c>
      <c r="C521">
        <v>0.82</v>
      </c>
      <c r="D521">
        <v>2020</v>
      </c>
      <c r="E521" t="s">
        <v>18</v>
      </c>
      <c r="F521">
        <v>2020074</v>
      </c>
      <c r="G521">
        <v>2020150</v>
      </c>
      <c r="H521">
        <v>6020</v>
      </c>
      <c r="I521">
        <v>523</v>
      </c>
      <c r="J521">
        <v>50</v>
      </c>
      <c r="K521">
        <v>162</v>
      </c>
      <c r="L521">
        <v>200</v>
      </c>
      <c r="M521">
        <v>100</v>
      </c>
      <c r="N521">
        <v>28.59346</v>
      </c>
      <c r="O521">
        <v>12.278969999999999</v>
      </c>
      <c r="P521">
        <v>22.90466</v>
      </c>
      <c r="Q521">
        <v>16726</v>
      </c>
    </row>
    <row r="522" spans="1:17" x14ac:dyDescent="0.25">
      <c r="A522" t="s">
        <v>19</v>
      </c>
      <c r="B522">
        <v>27</v>
      </c>
      <c r="C522">
        <v>1</v>
      </c>
      <c r="D522">
        <v>2001</v>
      </c>
      <c r="E522" t="s">
        <v>17</v>
      </c>
      <c r="F522">
        <v>2001091</v>
      </c>
      <c r="G522">
        <v>2001164</v>
      </c>
      <c r="H522">
        <v>7077</v>
      </c>
      <c r="I522">
        <v>738</v>
      </c>
      <c r="J522">
        <v>0</v>
      </c>
      <c r="K522">
        <v>367</v>
      </c>
      <c r="L522">
        <v>235</v>
      </c>
      <c r="M522">
        <v>100</v>
      </c>
      <c r="N522">
        <v>28.271059999999999</v>
      </c>
      <c r="O522">
        <v>13.216749999999999</v>
      </c>
      <c r="P522">
        <v>25.233499999999999</v>
      </c>
      <c r="Q522">
        <v>22131</v>
      </c>
    </row>
    <row r="523" spans="1:17" x14ac:dyDescent="0.25">
      <c r="A523" t="s">
        <v>19</v>
      </c>
      <c r="B523">
        <v>27</v>
      </c>
      <c r="C523">
        <v>1</v>
      </c>
      <c r="D523">
        <v>2002</v>
      </c>
      <c r="E523" t="s">
        <v>17</v>
      </c>
      <c r="F523">
        <v>2002091</v>
      </c>
      <c r="G523">
        <v>2002168</v>
      </c>
      <c r="H523">
        <v>5230</v>
      </c>
      <c r="I523">
        <v>200</v>
      </c>
      <c r="J523">
        <v>0</v>
      </c>
      <c r="K523">
        <v>253</v>
      </c>
      <c r="L523">
        <v>192</v>
      </c>
      <c r="M523">
        <v>100</v>
      </c>
      <c r="N523">
        <v>27.17004</v>
      </c>
      <c r="O523">
        <v>12.27258</v>
      </c>
      <c r="P523">
        <v>24.737570000000002</v>
      </c>
      <c r="Q523">
        <v>6002</v>
      </c>
    </row>
    <row r="524" spans="1:17" x14ac:dyDescent="0.25">
      <c r="A524" t="s">
        <v>19</v>
      </c>
      <c r="B524">
        <v>27</v>
      </c>
      <c r="C524">
        <v>1</v>
      </c>
      <c r="D524">
        <v>2003</v>
      </c>
      <c r="E524" t="s">
        <v>17</v>
      </c>
      <c r="F524">
        <v>2003091</v>
      </c>
      <c r="G524">
        <v>2003163</v>
      </c>
      <c r="H524">
        <v>4332</v>
      </c>
      <c r="I524">
        <v>174</v>
      </c>
      <c r="J524">
        <v>0</v>
      </c>
      <c r="K524">
        <v>233</v>
      </c>
      <c r="L524">
        <v>246</v>
      </c>
      <c r="M524">
        <v>100</v>
      </c>
      <c r="N524">
        <v>29.06193</v>
      </c>
      <c r="O524">
        <v>13.858879999999999</v>
      </c>
      <c r="P524">
        <v>25.895440000000001</v>
      </c>
      <c r="Q524">
        <v>5229</v>
      </c>
    </row>
    <row r="525" spans="1:17" x14ac:dyDescent="0.25">
      <c r="A525" t="s">
        <v>19</v>
      </c>
      <c r="B525">
        <v>27</v>
      </c>
      <c r="C525">
        <v>1</v>
      </c>
      <c r="D525">
        <v>2004</v>
      </c>
      <c r="E525" t="s">
        <v>17</v>
      </c>
      <c r="F525">
        <v>2004091</v>
      </c>
      <c r="G525">
        <v>2004169</v>
      </c>
      <c r="H525">
        <v>7456</v>
      </c>
      <c r="I525">
        <v>1152</v>
      </c>
      <c r="J525">
        <v>0</v>
      </c>
      <c r="K525">
        <v>294</v>
      </c>
      <c r="L525">
        <v>417</v>
      </c>
      <c r="M525">
        <v>100</v>
      </c>
      <c r="N525">
        <v>28.355840000000001</v>
      </c>
      <c r="O525">
        <v>12.493410000000001</v>
      </c>
      <c r="P525">
        <v>25.293410000000002</v>
      </c>
      <c r="Q525">
        <v>34563</v>
      </c>
    </row>
    <row r="526" spans="1:17" x14ac:dyDescent="0.25">
      <c r="A526" t="s">
        <v>19</v>
      </c>
      <c r="B526">
        <v>27</v>
      </c>
      <c r="C526">
        <v>1</v>
      </c>
      <c r="D526">
        <v>2005</v>
      </c>
      <c r="E526" t="s">
        <v>17</v>
      </c>
      <c r="F526">
        <v>2005091</v>
      </c>
      <c r="G526">
        <v>2005162</v>
      </c>
      <c r="H526">
        <v>2283</v>
      </c>
      <c r="I526">
        <v>188</v>
      </c>
      <c r="J526">
        <v>0</v>
      </c>
      <c r="K526">
        <v>127</v>
      </c>
      <c r="L526">
        <v>180</v>
      </c>
      <c r="M526">
        <v>100</v>
      </c>
      <c r="N526">
        <v>29.717759999999998</v>
      </c>
      <c r="O526">
        <v>13.296950000000001</v>
      </c>
      <c r="P526">
        <v>26.224879999999999</v>
      </c>
      <c r="Q526">
        <v>5642</v>
      </c>
    </row>
    <row r="527" spans="1:17" x14ac:dyDescent="0.25">
      <c r="A527" t="s">
        <v>19</v>
      </c>
      <c r="B527">
        <v>27</v>
      </c>
      <c r="C527">
        <v>1</v>
      </c>
      <c r="D527">
        <v>2006</v>
      </c>
      <c r="E527" t="s">
        <v>17</v>
      </c>
      <c r="F527">
        <v>2006091</v>
      </c>
      <c r="G527">
        <v>2006160</v>
      </c>
      <c r="H527">
        <v>4042</v>
      </c>
      <c r="I527">
        <v>1348</v>
      </c>
      <c r="J527">
        <v>0</v>
      </c>
      <c r="K527">
        <v>235</v>
      </c>
      <c r="L527">
        <v>129</v>
      </c>
      <c r="M527">
        <v>100</v>
      </c>
      <c r="N527">
        <v>29.890350000000002</v>
      </c>
      <c r="O527">
        <v>13.665990000000001</v>
      </c>
      <c r="P527">
        <v>24.18477</v>
      </c>
      <c r="Q527">
        <v>40440</v>
      </c>
    </row>
    <row r="528" spans="1:17" x14ac:dyDescent="0.25">
      <c r="A528" t="s">
        <v>19</v>
      </c>
      <c r="B528">
        <v>27</v>
      </c>
      <c r="C528">
        <v>1</v>
      </c>
      <c r="D528">
        <v>2007</v>
      </c>
      <c r="E528" t="s">
        <v>17</v>
      </c>
      <c r="F528">
        <v>2007091</v>
      </c>
      <c r="G528">
        <v>2007168</v>
      </c>
      <c r="H528">
        <v>6705</v>
      </c>
      <c r="I528">
        <v>932</v>
      </c>
      <c r="J528">
        <v>0</v>
      </c>
      <c r="K528">
        <v>258</v>
      </c>
      <c r="L528">
        <v>349</v>
      </c>
      <c r="M528">
        <v>100</v>
      </c>
      <c r="N528">
        <v>27.782240000000002</v>
      </c>
      <c r="O528">
        <v>12.484260000000001</v>
      </c>
      <c r="P528">
        <v>23.145679999999999</v>
      </c>
      <c r="Q528">
        <v>27972</v>
      </c>
    </row>
    <row r="529" spans="1:17" x14ac:dyDescent="0.25">
      <c r="A529" t="s">
        <v>19</v>
      </c>
      <c r="B529">
        <v>27</v>
      </c>
      <c r="C529">
        <v>1</v>
      </c>
      <c r="D529">
        <v>2008</v>
      </c>
      <c r="E529" t="s">
        <v>17</v>
      </c>
      <c r="F529">
        <v>2008091</v>
      </c>
      <c r="G529">
        <v>2008173</v>
      </c>
      <c r="H529">
        <v>5536</v>
      </c>
      <c r="I529">
        <v>392</v>
      </c>
      <c r="J529">
        <v>0</v>
      </c>
      <c r="K529">
        <v>331</v>
      </c>
      <c r="L529">
        <v>176</v>
      </c>
      <c r="M529">
        <v>100</v>
      </c>
      <c r="N529">
        <v>27.103539999999999</v>
      </c>
      <c r="O529">
        <v>12.20457</v>
      </c>
      <c r="P529">
        <v>23.123860000000001</v>
      </c>
      <c r="Q529">
        <v>11752</v>
      </c>
    </row>
    <row r="530" spans="1:17" x14ac:dyDescent="0.25">
      <c r="A530" t="s">
        <v>19</v>
      </c>
      <c r="B530">
        <v>27</v>
      </c>
      <c r="C530">
        <v>1</v>
      </c>
      <c r="D530">
        <v>2009</v>
      </c>
      <c r="E530" t="s">
        <v>17</v>
      </c>
      <c r="F530">
        <v>2009091</v>
      </c>
      <c r="G530">
        <v>2009166</v>
      </c>
      <c r="H530">
        <v>4128</v>
      </c>
      <c r="I530">
        <v>276</v>
      </c>
      <c r="J530">
        <v>0</v>
      </c>
      <c r="K530">
        <v>106</v>
      </c>
      <c r="L530">
        <v>231</v>
      </c>
      <c r="M530">
        <v>100</v>
      </c>
      <c r="N530">
        <v>29.407599999999999</v>
      </c>
      <c r="O530">
        <v>12.67817</v>
      </c>
      <c r="P530">
        <v>24.244160000000001</v>
      </c>
      <c r="Q530">
        <v>8267</v>
      </c>
    </row>
    <row r="531" spans="1:17" x14ac:dyDescent="0.25">
      <c r="A531" t="s">
        <v>19</v>
      </c>
      <c r="B531">
        <v>27</v>
      </c>
      <c r="C531">
        <v>1</v>
      </c>
      <c r="D531">
        <v>2010</v>
      </c>
      <c r="E531" t="s">
        <v>17</v>
      </c>
      <c r="F531">
        <v>2010091</v>
      </c>
      <c r="G531">
        <v>2010164</v>
      </c>
      <c r="H531">
        <v>6962</v>
      </c>
      <c r="I531">
        <v>1216</v>
      </c>
      <c r="J531">
        <v>0</v>
      </c>
      <c r="K531">
        <v>357</v>
      </c>
      <c r="L531">
        <v>548</v>
      </c>
      <c r="M531">
        <v>100</v>
      </c>
      <c r="N531">
        <v>28.417259999999999</v>
      </c>
      <c r="O531">
        <v>13.64569</v>
      </c>
      <c r="P531">
        <v>24.050260000000002</v>
      </c>
      <c r="Q531">
        <v>36482</v>
      </c>
    </row>
    <row r="532" spans="1:17" x14ac:dyDescent="0.25">
      <c r="A532" t="s">
        <v>19</v>
      </c>
      <c r="B532">
        <v>27</v>
      </c>
      <c r="C532">
        <v>1</v>
      </c>
      <c r="D532">
        <v>2011</v>
      </c>
      <c r="E532" t="s">
        <v>17</v>
      </c>
      <c r="F532">
        <v>2011091</v>
      </c>
      <c r="G532">
        <v>2011159</v>
      </c>
      <c r="H532">
        <v>7668</v>
      </c>
      <c r="I532">
        <v>1287</v>
      </c>
      <c r="J532">
        <v>0</v>
      </c>
      <c r="K532">
        <v>224</v>
      </c>
      <c r="L532">
        <v>482</v>
      </c>
      <c r="M532">
        <v>100</v>
      </c>
      <c r="N532">
        <v>29.977160000000001</v>
      </c>
      <c r="O532">
        <v>12.8863</v>
      </c>
      <c r="P532">
        <v>23.408619999999999</v>
      </c>
      <c r="Q532">
        <v>38612</v>
      </c>
    </row>
    <row r="533" spans="1:17" x14ac:dyDescent="0.25">
      <c r="A533" t="s">
        <v>19</v>
      </c>
      <c r="B533">
        <v>27</v>
      </c>
      <c r="C533">
        <v>1</v>
      </c>
      <c r="D533">
        <v>2012</v>
      </c>
      <c r="E533" t="s">
        <v>18</v>
      </c>
      <c r="F533">
        <v>2012091</v>
      </c>
      <c r="G533">
        <v>2012162</v>
      </c>
      <c r="H533">
        <v>2001</v>
      </c>
      <c r="I533">
        <v>399</v>
      </c>
      <c r="J533">
        <v>0</v>
      </c>
      <c r="K533">
        <v>213</v>
      </c>
      <c r="L533">
        <v>159</v>
      </c>
      <c r="M533">
        <v>100</v>
      </c>
      <c r="N533">
        <v>28.910160000000001</v>
      </c>
      <c r="O533">
        <v>12.72589</v>
      </c>
      <c r="P533">
        <v>23.80761</v>
      </c>
      <c r="Q533">
        <v>11979</v>
      </c>
    </row>
    <row r="534" spans="1:17" x14ac:dyDescent="0.25">
      <c r="A534" t="s">
        <v>19</v>
      </c>
      <c r="B534">
        <v>27</v>
      </c>
      <c r="C534">
        <v>1</v>
      </c>
      <c r="D534">
        <v>2013</v>
      </c>
      <c r="E534" t="s">
        <v>18</v>
      </c>
      <c r="F534">
        <v>2013091</v>
      </c>
      <c r="G534">
        <v>2013165</v>
      </c>
      <c r="H534">
        <v>5853</v>
      </c>
      <c r="I534">
        <v>793</v>
      </c>
      <c r="J534">
        <v>0</v>
      </c>
      <c r="K534">
        <v>289</v>
      </c>
      <c r="L534">
        <v>316</v>
      </c>
      <c r="M534">
        <v>100</v>
      </c>
      <c r="N534">
        <v>28.398479999999999</v>
      </c>
      <c r="O534">
        <v>12.14873</v>
      </c>
      <c r="P534">
        <v>24.010149999999999</v>
      </c>
      <c r="Q534">
        <v>23787</v>
      </c>
    </row>
    <row r="535" spans="1:17" x14ac:dyDescent="0.25">
      <c r="A535" t="s">
        <v>19</v>
      </c>
      <c r="B535">
        <v>27</v>
      </c>
      <c r="C535">
        <v>1</v>
      </c>
      <c r="D535">
        <v>2014</v>
      </c>
      <c r="E535" t="s">
        <v>18</v>
      </c>
      <c r="F535">
        <v>2014091</v>
      </c>
      <c r="G535">
        <v>2014156</v>
      </c>
      <c r="H535">
        <v>6457</v>
      </c>
      <c r="I535">
        <v>663</v>
      </c>
      <c r="J535">
        <v>0</v>
      </c>
      <c r="K535">
        <v>298</v>
      </c>
      <c r="L535">
        <v>266</v>
      </c>
      <c r="M535">
        <v>100</v>
      </c>
      <c r="N535">
        <v>28.206600000000002</v>
      </c>
      <c r="O535">
        <v>12.51878</v>
      </c>
      <c r="P535">
        <v>24.02994</v>
      </c>
      <c r="Q535">
        <v>19885</v>
      </c>
    </row>
    <row r="536" spans="1:17" x14ac:dyDescent="0.25">
      <c r="A536" t="s">
        <v>19</v>
      </c>
      <c r="B536">
        <v>27</v>
      </c>
      <c r="C536">
        <v>1</v>
      </c>
      <c r="D536">
        <v>2015</v>
      </c>
      <c r="E536" t="s">
        <v>18</v>
      </c>
      <c r="F536">
        <v>2015091</v>
      </c>
      <c r="G536">
        <v>2015154</v>
      </c>
      <c r="H536">
        <v>4117</v>
      </c>
      <c r="I536">
        <v>371</v>
      </c>
      <c r="J536">
        <v>0</v>
      </c>
      <c r="K536">
        <v>97</v>
      </c>
      <c r="L536">
        <v>206</v>
      </c>
      <c r="M536">
        <v>100</v>
      </c>
      <c r="N536">
        <v>29.627929999999999</v>
      </c>
      <c r="O536">
        <v>13.12284</v>
      </c>
      <c r="P536">
        <v>23.713709999999999</v>
      </c>
      <c r="Q536">
        <v>11136</v>
      </c>
    </row>
    <row r="537" spans="1:17" x14ac:dyDescent="0.25">
      <c r="A537" t="s">
        <v>19</v>
      </c>
      <c r="B537">
        <v>27</v>
      </c>
      <c r="C537">
        <v>1</v>
      </c>
      <c r="D537">
        <v>2016</v>
      </c>
      <c r="E537" t="s">
        <v>18</v>
      </c>
      <c r="F537">
        <v>2016091</v>
      </c>
      <c r="G537">
        <v>2016163</v>
      </c>
      <c r="H537">
        <v>4050</v>
      </c>
      <c r="I537">
        <v>709</v>
      </c>
      <c r="J537">
        <v>0</v>
      </c>
      <c r="K537">
        <v>201</v>
      </c>
      <c r="L537">
        <v>156</v>
      </c>
      <c r="M537">
        <v>100</v>
      </c>
      <c r="N537">
        <v>29.269030000000001</v>
      </c>
      <c r="O537">
        <v>12.8401</v>
      </c>
      <c r="P537">
        <v>23.227920000000001</v>
      </c>
      <c r="Q537">
        <v>21282</v>
      </c>
    </row>
    <row r="538" spans="1:17" x14ac:dyDescent="0.25">
      <c r="A538" t="s">
        <v>19</v>
      </c>
      <c r="B538">
        <v>27</v>
      </c>
      <c r="C538">
        <v>1</v>
      </c>
      <c r="D538">
        <v>2017</v>
      </c>
      <c r="E538" t="s">
        <v>18</v>
      </c>
      <c r="F538">
        <v>2017091</v>
      </c>
      <c r="G538">
        <v>2017154</v>
      </c>
      <c r="H538">
        <v>4974</v>
      </c>
      <c r="I538">
        <v>582</v>
      </c>
      <c r="J538">
        <v>0</v>
      </c>
      <c r="K538">
        <v>157</v>
      </c>
      <c r="L538">
        <v>219</v>
      </c>
      <c r="M538">
        <v>100</v>
      </c>
      <c r="N538">
        <v>30.944669999999999</v>
      </c>
      <c r="O538">
        <v>12.87106</v>
      </c>
      <c r="P538">
        <v>24.29899</v>
      </c>
      <c r="Q538">
        <v>17460</v>
      </c>
    </row>
    <row r="539" spans="1:17" x14ac:dyDescent="0.25">
      <c r="A539" t="s">
        <v>19</v>
      </c>
      <c r="B539">
        <v>27</v>
      </c>
      <c r="C539">
        <v>1</v>
      </c>
      <c r="D539">
        <v>2018</v>
      </c>
      <c r="E539" t="s">
        <v>18</v>
      </c>
      <c r="F539">
        <v>2018091</v>
      </c>
      <c r="G539">
        <v>2018165</v>
      </c>
      <c r="H539">
        <v>7495</v>
      </c>
      <c r="I539">
        <v>1313</v>
      </c>
      <c r="J539">
        <v>0</v>
      </c>
      <c r="K539">
        <v>414</v>
      </c>
      <c r="L539">
        <v>108</v>
      </c>
      <c r="M539">
        <v>100</v>
      </c>
      <c r="N539">
        <v>28.602029999999999</v>
      </c>
      <c r="O539">
        <v>12.39695</v>
      </c>
      <c r="P539">
        <v>23.067</v>
      </c>
      <c r="Q539">
        <v>39393</v>
      </c>
    </row>
    <row r="540" spans="1:17" x14ac:dyDescent="0.25">
      <c r="A540" t="s">
        <v>19</v>
      </c>
      <c r="B540">
        <v>27</v>
      </c>
      <c r="C540">
        <v>1</v>
      </c>
      <c r="D540">
        <v>2019</v>
      </c>
      <c r="E540" t="s">
        <v>18</v>
      </c>
      <c r="F540">
        <v>2019091</v>
      </c>
      <c r="G540">
        <v>2019159</v>
      </c>
      <c r="H540">
        <v>1945</v>
      </c>
      <c r="I540">
        <v>320</v>
      </c>
      <c r="J540">
        <v>0</v>
      </c>
      <c r="K540">
        <v>107</v>
      </c>
      <c r="L540">
        <v>171</v>
      </c>
      <c r="M540">
        <v>100</v>
      </c>
      <c r="N540">
        <v>29.394410000000001</v>
      </c>
      <c r="O540">
        <v>12.48578</v>
      </c>
      <c r="P540">
        <v>24.347200000000001</v>
      </c>
      <c r="Q540">
        <v>9613</v>
      </c>
    </row>
    <row r="541" spans="1:17" x14ac:dyDescent="0.25">
      <c r="A541" t="s">
        <v>19</v>
      </c>
      <c r="B541">
        <v>27</v>
      </c>
      <c r="C541">
        <v>1</v>
      </c>
      <c r="D541">
        <v>2020</v>
      </c>
      <c r="E541" t="s">
        <v>18</v>
      </c>
      <c r="F541">
        <v>2020091</v>
      </c>
      <c r="G541">
        <v>2020157</v>
      </c>
      <c r="H541">
        <v>2890</v>
      </c>
      <c r="I541">
        <v>496</v>
      </c>
      <c r="J541">
        <v>0</v>
      </c>
      <c r="K541">
        <v>162</v>
      </c>
      <c r="L541">
        <v>200</v>
      </c>
      <c r="M541">
        <v>100</v>
      </c>
      <c r="N541">
        <v>29.58426</v>
      </c>
      <c r="O541">
        <v>12.943149999999999</v>
      </c>
      <c r="P541">
        <v>23.505569999999999</v>
      </c>
      <c r="Q541">
        <v>14882</v>
      </c>
    </row>
    <row r="542" spans="1:17" x14ac:dyDescent="0.25">
      <c r="A542" t="s">
        <v>20</v>
      </c>
      <c r="B542">
        <v>28</v>
      </c>
      <c r="C542">
        <v>1.25</v>
      </c>
      <c r="D542">
        <v>2001</v>
      </c>
      <c r="E542" t="s">
        <v>17</v>
      </c>
      <c r="F542">
        <v>2001091</v>
      </c>
      <c r="G542">
        <v>2001155</v>
      </c>
      <c r="H542">
        <v>7145</v>
      </c>
      <c r="I542">
        <v>1328</v>
      </c>
      <c r="J542">
        <v>0</v>
      </c>
      <c r="K542">
        <v>283</v>
      </c>
      <c r="L542">
        <v>235</v>
      </c>
      <c r="M542">
        <v>125</v>
      </c>
      <c r="N542">
        <v>31.877669999999998</v>
      </c>
      <c r="O542">
        <v>16.376650000000001</v>
      </c>
      <c r="P542">
        <v>22.791360000000001</v>
      </c>
      <c r="Q542">
        <v>51806</v>
      </c>
    </row>
    <row r="543" spans="1:17" x14ac:dyDescent="0.25">
      <c r="A543" t="s">
        <v>20</v>
      </c>
      <c r="B543">
        <v>28</v>
      </c>
      <c r="C543">
        <v>1.25</v>
      </c>
      <c r="D543">
        <v>2002</v>
      </c>
      <c r="E543" t="s">
        <v>17</v>
      </c>
      <c r="F543">
        <v>2002091</v>
      </c>
      <c r="G543">
        <v>2002159</v>
      </c>
      <c r="H543">
        <v>5795</v>
      </c>
      <c r="I543">
        <v>832</v>
      </c>
      <c r="J543">
        <v>0</v>
      </c>
      <c r="K543">
        <v>370</v>
      </c>
      <c r="L543">
        <v>292</v>
      </c>
      <c r="M543">
        <v>125</v>
      </c>
      <c r="N543">
        <v>29.123860000000001</v>
      </c>
      <c r="O543">
        <v>14.414210000000001</v>
      </c>
      <c r="P543">
        <v>19.713699999999999</v>
      </c>
      <c r="Q543">
        <v>32431</v>
      </c>
    </row>
    <row r="544" spans="1:17" x14ac:dyDescent="0.25">
      <c r="A544" t="s">
        <v>20</v>
      </c>
      <c r="B544">
        <v>28</v>
      </c>
      <c r="C544">
        <v>1.25</v>
      </c>
      <c r="D544">
        <v>2003</v>
      </c>
      <c r="E544" t="s">
        <v>17</v>
      </c>
      <c r="F544">
        <v>2003091</v>
      </c>
      <c r="G544">
        <v>2003156</v>
      </c>
      <c r="H544">
        <v>8458</v>
      </c>
      <c r="I544">
        <v>1623</v>
      </c>
      <c r="J544">
        <v>0</v>
      </c>
      <c r="K544">
        <v>233</v>
      </c>
      <c r="L544">
        <v>462</v>
      </c>
      <c r="M544">
        <v>125</v>
      </c>
      <c r="N544">
        <v>31.51877</v>
      </c>
      <c r="O544">
        <v>15.74924</v>
      </c>
      <c r="P544">
        <v>21.68375</v>
      </c>
      <c r="Q544">
        <v>63289</v>
      </c>
    </row>
    <row r="545" spans="1:17" x14ac:dyDescent="0.25">
      <c r="A545" t="s">
        <v>20</v>
      </c>
      <c r="B545">
        <v>28</v>
      </c>
      <c r="C545">
        <v>1.25</v>
      </c>
      <c r="D545">
        <v>2004</v>
      </c>
      <c r="E545" t="s">
        <v>17</v>
      </c>
      <c r="F545">
        <v>2004091</v>
      </c>
      <c r="G545">
        <v>2004161</v>
      </c>
      <c r="H545">
        <v>9081</v>
      </c>
      <c r="I545">
        <v>2251</v>
      </c>
      <c r="J545">
        <v>0</v>
      </c>
      <c r="K545">
        <v>298</v>
      </c>
      <c r="L545">
        <v>405</v>
      </c>
      <c r="M545">
        <v>125</v>
      </c>
      <c r="N545">
        <v>30.85331</v>
      </c>
      <c r="O545">
        <v>14.99949</v>
      </c>
      <c r="P545">
        <v>19.926390000000001</v>
      </c>
      <c r="Q545">
        <v>87798</v>
      </c>
    </row>
    <row r="546" spans="1:17" x14ac:dyDescent="0.25">
      <c r="A546" t="s">
        <v>20</v>
      </c>
      <c r="B546">
        <v>28</v>
      </c>
      <c r="C546">
        <v>1.25</v>
      </c>
      <c r="D546">
        <v>2005</v>
      </c>
      <c r="E546" t="s">
        <v>17</v>
      </c>
      <c r="F546">
        <v>2005091</v>
      </c>
      <c r="G546">
        <v>2005156</v>
      </c>
      <c r="H546">
        <v>3719</v>
      </c>
      <c r="I546">
        <v>687</v>
      </c>
      <c r="J546">
        <v>0</v>
      </c>
      <c r="K546">
        <v>333</v>
      </c>
      <c r="L546">
        <v>204</v>
      </c>
      <c r="M546">
        <v>125</v>
      </c>
      <c r="N546">
        <v>31.33756</v>
      </c>
      <c r="O546">
        <v>14.5604</v>
      </c>
      <c r="P546">
        <v>22.169540000000001</v>
      </c>
      <c r="Q546">
        <v>26784</v>
      </c>
    </row>
    <row r="547" spans="1:17" x14ac:dyDescent="0.25">
      <c r="A547" t="s">
        <v>20</v>
      </c>
      <c r="B547">
        <v>28</v>
      </c>
      <c r="C547">
        <v>1.25</v>
      </c>
      <c r="D547">
        <v>2006</v>
      </c>
      <c r="E547" t="s">
        <v>17</v>
      </c>
      <c r="F547">
        <v>2006091</v>
      </c>
      <c r="G547">
        <v>2006154</v>
      </c>
      <c r="H547">
        <v>5224</v>
      </c>
      <c r="I547">
        <v>797</v>
      </c>
      <c r="J547">
        <v>0</v>
      </c>
      <c r="K547">
        <v>281</v>
      </c>
      <c r="L547">
        <v>263</v>
      </c>
      <c r="M547">
        <v>125</v>
      </c>
      <c r="N547">
        <v>31.483740000000001</v>
      </c>
      <c r="O547">
        <v>15.644170000000001</v>
      </c>
      <c r="P547">
        <v>19.68985</v>
      </c>
      <c r="Q547">
        <v>31068</v>
      </c>
    </row>
    <row r="548" spans="1:17" x14ac:dyDescent="0.25">
      <c r="A548" t="s">
        <v>20</v>
      </c>
      <c r="B548">
        <v>28</v>
      </c>
      <c r="C548">
        <v>1.25</v>
      </c>
      <c r="D548">
        <v>2007</v>
      </c>
      <c r="E548" t="s">
        <v>17</v>
      </c>
      <c r="F548">
        <v>2007091</v>
      </c>
      <c r="G548">
        <v>2007158</v>
      </c>
      <c r="H548">
        <v>8136</v>
      </c>
      <c r="I548">
        <v>1515</v>
      </c>
      <c r="J548">
        <v>0</v>
      </c>
      <c r="K548">
        <v>259</v>
      </c>
      <c r="L548">
        <v>354</v>
      </c>
      <c r="M548">
        <v>125</v>
      </c>
      <c r="N548">
        <v>29.73452</v>
      </c>
      <c r="O548">
        <v>15.06244</v>
      </c>
      <c r="P548">
        <v>21.865480000000002</v>
      </c>
      <c r="Q548">
        <v>59095</v>
      </c>
    </row>
    <row r="549" spans="1:17" x14ac:dyDescent="0.25">
      <c r="A549" t="s">
        <v>20</v>
      </c>
      <c r="B549">
        <v>28</v>
      </c>
      <c r="C549">
        <v>1.25</v>
      </c>
      <c r="D549">
        <v>2008</v>
      </c>
      <c r="E549" t="s">
        <v>17</v>
      </c>
      <c r="F549">
        <v>2008091</v>
      </c>
      <c r="G549">
        <v>2008164</v>
      </c>
      <c r="H549">
        <v>7084</v>
      </c>
      <c r="I549">
        <v>1033</v>
      </c>
      <c r="J549">
        <v>0</v>
      </c>
      <c r="K549">
        <v>362</v>
      </c>
      <c r="L549">
        <v>319</v>
      </c>
      <c r="M549">
        <v>125</v>
      </c>
      <c r="N549">
        <v>29.961919999999999</v>
      </c>
      <c r="O549">
        <v>14.32488</v>
      </c>
      <c r="P549">
        <v>22.42944</v>
      </c>
      <c r="Q549">
        <v>40295</v>
      </c>
    </row>
    <row r="550" spans="1:17" x14ac:dyDescent="0.25">
      <c r="A550" t="s">
        <v>20</v>
      </c>
      <c r="B550">
        <v>28</v>
      </c>
      <c r="C550">
        <v>1.25</v>
      </c>
      <c r="D550">
        <v>2009</v>
      </c>
      <c r="E550" t="s">
        <v>18</v>
      </c>
      <c r="F550">
        <v>2009091</v>
      </c>
      <c r="G550">
        <v>2009153</v>
      </c>
      <c r="H550">
        <v>4679</v>
      </c>
      <c r="I550">
        <v>1034</v>
      </c>
      <c r="J550">
        <v>0</v>
      </c>
      <c r="K550">
        <v>150</v>
      </c>
      <c r="L550">
        <v>293</v>
      </c>
      <c r="M550">
        <v>125</v>
      </c>
      <c r="N550">
        <v>31.26548</v>
      </c>
      <c r="O550">
        <v>14.834</v>
      </c>
      <c r="P550">
        <v>22.77411</v>
      </c>
      <c r="Q550">
        <v>40314</v>
      </c>
    </row>
    <row r="551" spans="1:17" x14ac:dyDescent="0.25">
      <c r="A551" t="s">
        <v>20</v>
      </c>
      <c r="B551">
        <v>28</v>
      </c>
      <c r="C551">
        <v>1.25</v>
      </c>
      <c r="D551">
        <v>2010</v>
      </c>
      <c r="E551" t="s">
        <v>18</v>
      </c>
      <c r="F551">
        <v>2010091</v>
      </c>
      <c r="G551">
        <v>2010152</v>
      </c>
      <c r="H551">
        <v>11130</v>
      </c>
      <c r="I551">
        <v>3185</v>
      </c>
      <c r="J551">
        <v>0</v>
      </c>
      <c r="K551">
        <v>316</v>
      </c>
      <c r="L551">
        <v>726</v>
      </c>
      <c r="M551">
        <v>125</v>
      </c>
      <c r="N551">
        <v>30.852789999999999</v>
      </c>
      <c r="O551">
        <v>15.27411</v>
      </c>
      <c r="P551">
        <v>22.69746</v>
      </c>
      <c r="Q551">
        <v>124199</v>
      </c>
    </row>
    <row r="552" spans="1:17" x14ac:dyDescent="0.25">
      <c r="A552" t="s">
        <v>20</v>
      </c>
      <c r="B552">
        <v>28</v>
      </c>
      <c r="C552">
        <v>1.25</v>
      </c>
      <c r="D552">
        <v>2011</v>
      </c>
      <c r="E552" t="s">
        <v>18</v>
      </c>
      <c r="F552">
        <v>2011091</v>
      </c>
      <c r="G552">
        <v>2011145</v>
      </c>
      <c r="H552">
        <v>10255</v>
      </c>
      <c r="I552">
        <v>3334</v>
      </c>
      <c r="J552">
        <v>0</v>
      </c>
      <c r="K552">
        <v>171</v>
      </c>
      <c r="L552">
        <v>591</v>
      </c>
      <c r="M552">
        <v>125</v>
      </c>
      <c r="N552">
        <v>32.031970000000001</v>
      </c>
      <c r="O552">
        <v>15.70914</v>
      </c>
      <c r="P552">
        <v>23.129950000000001</v>
      </c>
      <c r="Q552">
        <v>130027</v>
      </c>
    </row>
    <row r="553" spans="1:17" x14ac:dyDescent="0.25">
      <c r="A553" t="s">
        <v>20</v>
      </c>
      <c r="B553">
        <v>28</v>
      </c>
      <c r="C553">
        <v>1.25</v>
      </c>
      <c r="D553">
        <v>2012</v>
      </c>
      <c r="E553" t="s">
        <v>18</v>
      </c>
      <c r="F553">
        <v>2012091</v>
      </c>
      <c r="G553">
        <v>2012154</v>
      </c>
      <c r="H553">
        <v>2732</v>
      </c>
      <c r="I553">
        <v>832</v>
      </c>
      <c r="J553">
        <v>0</v>
      </c>
      <c r="K553">
        <v>284</v>
      </c>
      <c r="L553">
        <v>139</v>
      </c>
      <c r="M553">
        <v>125</v>
      </c>
      <c r="N553">
        <v>31.427420000000001</v>
      </c>
      <c r="O553">
        <v>14.996449999999999</v>
      </c>
      <c r="P553">
        <v>23.0198</v>
      </c>
      <c r="Q553">
        <v>32447</v>
      </c>
    </row>
    <row r="554" spans="1:17" x14ac:dyDescent="0.25">
      <c r="A554" t="s">
        <v>20</v>
      </c>
      <c r="B554">
        <v>28</v>
      </c>
      <c r="C554">
        <v>1.25</v>
      </c>
      <c r="D554">
        <v>2013</v>
      </c>
      <c r="E554" t="s">
        <v>18</v>
      </c>
      <c r="F554">
        <v>2013091</v>
      </c>
      <c r="G554">
        <v>2013152</v>
      </c>
      <c r="H554">
        <v>9601</v>
      </c>
      <c r="I554">
        <v>2499</v>
      </c>
      <c r="J554">
        <v>0</v>
      </c>
      <c r="K554">
        <v>380</v>
      </c>
      <c r="L554">
        <v>443</v>
      </c>
      <c r="M554">
        <v>125</v>
      </c>
      <c r="N554">
        <v>30.672080000000001</v>
      </c>
      <c r="O554">
        <v>14.54467</v>
      </c>
      <c r="P554">
        <v>23.557870000000001</v>
      </c>
      <c r="Q554">
        <v>97463</v>
      </c>
    </row>
    <row r="555" spans="1:17" x14ac:dyDescent="0.25">
      <c r="A555" t="s">
        <v>20</v>
      </c>
      <c r="B555">
        <v>28</v>
      </c>
      <c r="C555">
        <v>1.25</v>
      </c>
      <c r="D555">
        <v>2014</v>
      </c>
      <c r="E555" t="s">
        <v>18</v>
      </c>
      <c r="F555">
        <v>2014091</v>
      </c>
      <c r="G555">
        <v>2014147</v>
      </c>
      <c r="H555">
        <v>4222</v>
      </c>
      <c r="I555">
        <v>995</v>
      </c>
      <c r="J555">
        <v>0</v>
      </c>
      <c r="K555">
        <v>284</v>
      </c>
      <c r="L555">
        <v>289</v>
      </c>
      <c r="M555">
        <v>125</v>
      </c>
      <c r="N555">
        <v>30.547720000000002</v>
      </c>
      <c r="O555">
        <v>15.26802</v>
      </c>
      <c r="P555">
        <v>24.18224</v>
      </c>
      <c r="Q555">
        <v>38822</v>
      </c>
    </row>
    <row r="556" spans="1:17" x14ac:dyDescent="0.25">
      <c r="A556" t="s">
        <v>20</v>
      </c>
      <c r="B556">
        <v>28</v>
      </c>
      <c r="C556">
        <v>1.25</v>
      </c>
      <c r="D556">
        <v>2015</v>
      </c>
      <c r="E556" t="s">
        <v>18</v>
      </c>
      <c r="F556">
        <v>2015091</v>
      </c>
      <c r="G556">
        <v>2015148</v>
      </c>
      <c r="H556">
        <v>2875</v>
      </c>
      <c r="I556">
        <v>840</v>
      </c>
      <c r="J556">
        <v>0</v>
      </c>
      <c r="K556">
        <v>150</v>
      </c>
      <c r="L556">
        <v>213</v>
      </c>
      <c r="M556">
        <v>125</v>
      </c>
      <c r="N556">
        <v>32.174610000000001</v>
      </c>
      <c r="O556">
        <v>15.55584</v>
      </c>
      <c r="P556">
        <v>23.552790000000002</v>
      </c>
      <c r="Q556">
        <v>32751</v>
      </c>
    </row>
    <row r="557" spans="1:17" x14ac:dyDescent="0.25">
      <c r="A557" t="s">
        <v>20</v>
      </c>
      <c r="B557">
        <v>28</v>
      </c>
      <c r="C557">
        <v>1.25</v>
      </c>
      <c r="D557">
        <v>2016</v>
      </c>
      <c r="E557" t="s">
        <v>18</v>
      </c>
      <c r="F557">
        <v>2016091</v>
      </c>
      <c r="G557">
        <v>2016154</v>
      </c>
      <c r="H557">
        <v>8951</v>
      </c>
      <c r="I557">
        <v>1963</v>
      </c>
      <c r="J557">
        <v>0</v>
      </c>
      <c r="K557">
        <v>352</v>
      </c>
      <c r="L557">
        <v>256</v>
      </c>
      <c r="M557">
        <v>125</v>
      </c>
      <c r="N557">
        <v>31.643149999999999</v>
      </c>
      <c r="O557">
        <v>15.461930000000001</v>
      </c>
      <c r="P557">
        <v>22.711670000000002</v>
      </c>
      <c r="Q557">
        <v>76541</v>
      </c>
    </row>
    <row r="558" spans="1:17" x14ac:dyDescent="0.25">
      <c r="A558" t="s">
        <v>20</v>
      </c>
      <c r="B558">
        <v>28</v>
      </c>
      <c r="C558">
        <v>1.25</v>
      </c>
      <c r="D558">
        <v>2017</v>
      </c>
      <c r="E558" t="s">
        <v>18</v>
      </c>
      <c r="F558">
        <v>2017091</v>
      </c>
      <c r="G558">
        <v>2017147</v>
      </c>
      <c r="H558">
        <v>8313</v>
      </c>
      <c r="I558">
        <v>1813</v>
      </c>
      <c r="J558">
        <v>0</v>
      </c>
      <c r="K558">
        <v>245</v>
      </c>
      <c r="L558">
        <v>379</v>
      </c>
      <c r="M558">
        <v>125</v>
      </c>
      <c r="N558">
        <v>33.278669999999998</v>
      </c>
      <c r="O558">
        <v>15.49493</v>
      </c>
      <c r="P558">
        <v>24.393899999999999</v>
      </c>
      <c r="Q558">
        <v>70723</v>
      </c>
    </row>
    <row r="559" spans="1:17" x14ac:dyDescent="0.25">
      <c r="A559" t="s">
        <v>20</v>
      </c>
      <c r="B559">
        <v>28</v>
      </c>
      <c r="C559">
        <v>1.25</v>
      </c>
      <c r="D559">
        <v>2018</v>
      </c>
      <c r="E559" t="s">
        <v>18</v>
      </c>
      <c r="F559">
        <v>2018091</v>
      </c>
      <c r="G559">
        <v>2018151</v>
      </c>
      <c r="H559">
        <v>8275</v>
      </c>
      <c r="I559">
        <v>2017</v>
      </c>
      <c r="J559">
        <v>0</v>
      </c>
      <c r="K559">
        <v>465</v>
      </c>
      <c r="L559">
        <v>200</v>
      </c>
      <c r="M559">
        <v>125</v>
      </c>
      <c r="N559">
        <v>30.86092</v>
      </c>
      <c r="O559">
        <v>15.37208</v>
      </c>
      <c r="P559">
        <v>24.278690000000001</v>
      </c>
      <c r="Q559">
        <v>78646</v>
      </c>
    </row>
    <row r="560" spans="1:17" x14ac:dyDescent="0.25">
      <c r="A560" t="s">
        <v>20</v>
      </c>
      <c r="B560">
        <v>28</v>
      </c>
      <c r="C560">
        <v>1.25</v>
      </c>
      <c r="D560">
        <v>2019</v>
      </c>
      <c r="E560" t="s">
        <v>18</v>
      </c>
      <c r="F560">
        <v>2019091</v>
      </c>
      <c r="G560">
        <v>2019152</v>
      </c>
      <c r="H560">
        <v>3434</v>
      </c>
      <c r="I560">
        <v>883</v>
      </c>
      <c r="J560">
        <v>0</v>
      </c>
      <c r="K560">
        <v>99</v>
      </c>
      <c r="L560">
        <v>284</v>
      </c>
      <c r="M560">
        <v>125</v>
      </c>
      <c r="N560">
        <v>31.67258</v>
      </c>
      <c r="O560">
        <v>15.10305</v>
      </c>
      <c r="P560">
        <v>25.39087</v>
      </c>
      <c r="Q560">
        <v>34441</v>
      </c>
    </row>
    <row r="561" spans="1:17" x14ac:dyDescent="0.25">
      <c r="A561" t="s">
        <v>20</v>
      </c>
      <c r="B561">
        <v>28</v>
      </c>
      <c r="C561">
        <v>1.25</v>
      </c>
      <c r="D561">
        <v>2020</v>
      </c>
      <c r="E561" t="s">
        <v>18</v>
      </c>
      <c r="F561">
        <v>2020091</v>
      </c>
      <c r="G561">
        <v>2020149</v>
      </c>
      <c r="H561">
        <v>4423</v>
      </c>
      <c r="I561">
        <v>988</v>
      </c>
      <c r="J561">
        <v>0</v>
      </c>
      <c r="K561">
        <v>244</v>
      </c>
      <c r="L561">
        <v>307</v>
      </c>
      <c r="M561">
        <v>125</v>
      </c>
      <c r="N561">
        <v>31.77056</v>
      </c>
      <c r="O561">
        <v>15.998480000000001</v>
      </c>
      <c r="P561">
        <v>24.886800000000001</v>
      </c>
      <c r="Q561">
        <v>38548</v>
      </c>
    </row>
    <row r="562" spans="1:17" x14ac:dyDescent="0.25">
      <c r="A562" t="s">
        <v>20</v>
      </c>
      <c r="B562">
        <v>29</v>
      </c>
      <c r="C562">
        <v>1.28</v>
      </c>
      <c r="D562">
        <v>2001</v>
      </c>
      <c r="E562" t="s">
        <v>17</v>
      </c>
      <c r="F562">
        <v>2001074</v>
      </c>
      <c r="G562">
        <v>2001144</v>
      </c>
      <c r="H562">
        <v>6813</v>
      </c>
      <c r="I562">
        <v>1172</v>
      </c>
      <c r="J562">
        <v>0</v>
      </c>
      <c r="K562">
        <v>283</v>
      </c>
      <c r="L562">
        <v>235</v>
      </c>
      <c r="M562">
        <v>100</v>
      </c>
      <c r="N562">
        <v>31.06963</v>
      </c>
      <c r="O562">
        <v>15.927099999999999</v>
      </c>
      <c r="P562">
        <v>22.26962</v>
      </c>
      <c r="Q562">
        <v>41029</v>
      </c>
    </row>
    <row r="563" spans="1:17" x14ac:dyDescent="0.25">
      <c r="A563" t="s">
        <v>20</v>
      </c>
      <c r="B563">
        <v>29</v>
      </c>
      <c r="C563">
        <v>1.28</v>
      </c>
      <c r="D563">
        <v>2002</v>
      </c>
      <c r="E563" t="s">
        <v>17</v>
      </c>
      <c r="F563">
        <v>2002074</v>
      </c>
      <c r="G563">
        <v>2002149</v>
      </c>
      <c r="H563">
        <v>5491</v>
      </c>
      <c r="I563">
        <v>693</v>
      </c>
      <c r="J563">
        <v>0</v>
      </c>
      <c r="K563">
        <v>370</v>
      </c>
      <c r="L563">
        <v>292</v>
      </c>
      <c r="M563">
        <v>100</v>
      </c>
      <c r="N563">
        <v>28.6313</v>
      </c>
      <c r="O563">
        <v>14.017289999999999</v>
      </c>
      <c r="P563">
        <v>19.482240000000001</v>
      </c>
      <c r="Q563">
        <v>24266</v>
      </c>
    </row>
    <row r="564" spans="1:17" x14ac:dyDescent="0.25">
      <c r="A564" t="s">
        <v>20</v>
      </c>
      <c r="B564">
        <v>29</v>
      </c>
      <c r="C564">
        <v>1.28</v>
      </c>
      <c r="D564">
        <v>2003</v>
      </c>
      <c r="E564" t="s">
        <v>17</v>
      </c>
      <c r="F564">
        <v>2003074</v>
      </c>
      <c r="G564">
        <v>2003146</v>
      </c>
      <c r="H564">
        <v>7163</v>
      </c>
      <c r="I564">
        <v>1405</v>
      </c>
      <c r="J564">
        <v>0</v>
      </c>
      <c r="K564">
        <v>233</v>
      </c>
      <c r="L564">
        <v>462</v>
      </c>
      <c r="M564">
        <v>100</v>
      </c>
      <c r="N564">
        <v>30.571020000000001</v>
      </c>
      <c r="O564">
        <v>15.18085</v>
      </c>
      <c r="P564">
        <v>21.02289</v>
      </c>
      <c r="Q564">
        <v>49175</v>
      </c>
    </row>
    <row r="565" spans="1:17" x14ac:dyDescent="0.25">
      <c r="A565" t="s">
        <v>20</v>
      </c>
      <c r="B565">
        <v>29</v>
      </c>
      <c r="C565">
        <v>1.28</v>
      </c>
      <c r="D565">
        <v>2004</v>
      </c>
      <c r="E565" t="s">
        <v>17</v>
      </c>
      <c r="F565">
        <v>2004074</v>
      </c>
      <c r="G565">
        <v>2004153</v>
      </c>
      <c r="H565">
        <v>9667</v>
      </c>
      <c r="I565">
        <v>2593</v>
      </c>
      <c r="J565">
        <v>0</v>
      </c>
      <c r="K565">
        <v>298</v>
      </c>
      <c r="L565">
        <v>405</v>
      </c>
      <c r="M565">
        <v>100</v>
      </c>
      <c r="N565">
        <v>29.95234</v>
      </c>
      <c r="O565">
        <v>14.379440000000001</v>
      </c>
      <c r="P565">
        <v>19.440639999999998</v>
      </c>
      <c r="Q565">
        <v>90746</v>
      </c>
    </row>
    <row r="566" spans="1:17" x14ac:dyDescent="0.25">
      <c r="A566" t="s">
        <v>20</v>
      </c>
      <c r="B566">
        <v>29</v>
      </c>
      <c r="C566">
        <v>1.28</v>
      </c>
      <c r="D566">
        <v>2005</v>
      </c>
      <c r="E566" t="s">
        <v>17</v>
      </c>
      <c r="F566">
        <v>2005074</v>
      </c>
      <c r="G566">
        <v>2005150</v>
      </c>
      <c r="H566">
        <v>4027</v>
      </c>
      <c r="I566">
        <v>482</v>
      </c>
      <c r="J566">
        <v>0</v>
      </c>
      <c r="K566">
        <v>333</v>
      </c>
      <c r="L566">
        <v>204</v>
      </c>
      <c r="M566">
        <v>100</v>
      </c>
      <c r="N566">
        <v>30.699059999999999</v>
      </c>
      <c r="O566">
        <v>14.20327</v>
      </c>
      <c r="P566">
        <v>21.599989999999998</v>
      </c>
      <c r="Q566">
        <v>16879</v>
      </c>
    </row>
    <row r="567" spans="1:17" x14ac:dyDescent="0.25">
      <c r="A567" t="s">
        <v>20</v>
      </c>
      <c r="B567">
        <v>29</v>
      </c>
      <c r="C567">
        <v>1.28</v>
      </c>
      <c r="D567">
        <v>2006</v>
      </c>
      <c r="E567" t="s">
        <v>17</v>
      </c>
      <c r="F567">
        <v>2006074</v>
      </c>
      <c r="G567">
        <v>2006143</v>
      </c>
      <c r="H567">
        <v>5394</v>
      </c>
      <c r="I567">
        <v>682</v>
      </c>
      <c r="J567">
        <v>0</v>
      </c>
      <c r="K567">
        <v>281</v>
      </c>
      <c r="L567">
        <v>263</v>
      </c>
      <c r="M567">
        <v>100</v>
      </c>
      <c r="N567">
        <v>30.602329999999998</v>
      </c>
      <c r="O567">
        <v>15.16169</v>
      </c>
      <c r="P567">
        <v>19.266359999999999</v>
      </c>
      <c r="Q567">
        <v>23869</v>
      </c>
    </row>
    <row r="568" spans="1:17" x14ac:dyDescent="0.25">
      <c r="A568" t="s">
        <v>20</v>
      </c>
      <c r="B568">
        <v>29</v>
      </c>
      <c r="C568">
        <v>1.28</v>
      </c>
      <c r="D568">
        <v>2007</v>
      </c>
      <c r="E568" t="s">
        <v>17</v>
      </c>
      <c r="F568">
        <v>2007074</v>
      </c>
      <c r="G568">
        <v>2007155</v>
      </c>
      <c r="H568">
        <v>7849</v>
      </c>
      <c r="I568">
        <v>1349</v>
      </c>
      <c r="J568">
        <v>0</v>
      </c>
      <c r="K568">
        <v>259</v>
      </c>
      <c r="L568">
        <v>354</v>
      </c>
      <c r="M568">
        <v>100</v>
      </c>
      <c r="N568">
        <v>28.857479999999999</v>
      </c>
      <c r="O568">
        <v>14.222429999999999</v>
      </c>
      <c r="P568">
        <v>21.4757</v>
      </c>
      <c r="Q568">
        <v>47228</v>
      </c>
    </row>
    <row r="569" spans="1:17" x14ac:dyDescent="0.25">
      <c r="A569" t="s">
        <v>20</v>
      </c>
      <c r="B569">
        <v>29</v>
      </c>
      <c r="C569">
        <v>1.28</v>
      </c>
      <c r="D569">
        <v>2008</v>
      </c>
      <c r="E569" t="s">
        <v>17</v>
      </c>
      <c r="F569">
        <v>2008074</v>
      </c>
      <c r="G569">
        <v>2008154</v>
      </c>
      <c r="H569">
        <v>8219</v>
      </c>
      <c r="I569">
        <v>1397</v>
      </c>
      <c r="J569">
        <v>0</v>
      </c>
      <c r="K569">
        <v>362</v>
      </c>
      <c r="L569">
        <v>319</v>
      </c>
      <c r="M569">
        <v>100</v>
      </c>
      <c r="N569">
        <v>29.236910000000002</v>
      </c>
      <c r="O569">
        <v>13.58972</v>
      </c>
      <c r="P569">
        <v>22.102340000000002</v>
      </c>
      <c r="Q569">
        <v>48884</v>
      </c>
    </row>
    <row r="570" spans="1:17" x14ac:dyDescent="0.25">
      <c r="A570" t="s">
        <v>20</v>
      </c>
      <c r="B570">
        <v>29</v>
      </c>
      <c r="C570">
        <v>1.28</v>
      </c>
      <c r="D570">
        <v>2009</v>
      </c>
      <c r="E570" t="s">
        <v>18</v>
      </c>
      <c r="F570">
        <v>2009074</v>
      </c>
      <c r="G570">
        <v>2009143</v>
      </c>
      <c r="H570">
        <v>4631</v>
      </c>
      <c r="I570">
        <v>722</v>
      </c>
      <c r="J570">
        <v>0</v>
      </c>
      <c r="K570">
        <v>150</v>
      </c>
      <c r="L570">
        <v>293</v>
      </c>
      <c r="M570">
        <v>100</v>
      </c>
      <c r="N570">
        <v>30.52196</v>
      </c>
      <c r="O570">
        <v>14.16962</v>
      </c>
      <c r="P570">
        <v>22.20654</v>
      </c>
      <c r="Q570">
        <v>25274</v>
      </c>
    </row>
    <row r="571" spans="1:17" x14ac:dyDescent="0.25">
      <c r="A571" t="s">
        <v>20</v>
      </c>
      <c r="B571">
        <v>29</v>
      </c>
      <c r="C571">
        <v>1.28</v>
      </c>
      <c r="D571">
        <v>2010</v>
      </c>
      <c r="E571" t="s">
        <v>18</v>
      </c>
      <c r="F571">
        <v>2010074</v>
      </c>
      <c r="G571">
        <v>2010142</v>
      </c>
      <c r="H571">
        <v>10147</v>
      </c>
      <c r="I571">
        <v>2512</v>
      </c>
      <c r="J571">
        <v>0</v>
      </c>
      <c r="K571">
        <v>316</v>
      </c>
      <c r="L571">
        <v>726</v>
      </c>
      <c r="M571">
        <v>100</v>
      </c>
      <c r="N571">
        <v>30.038309999999999</v>
      </c>
      <c r="O571">
        <v>14.676170000000001</v>
      </c>
      <c r="P571">
        <v>22.18364</v>
      </c>
      <c r="Q571">
        <v>87902</v>
      </c>
    </row>
    <row r="572" spans="1:17" x14ac:dyDescent="0.25">
      <c r="A572" t="s">
        <v>20</v>
      </c>
      <c r="B572">
        <v>29</v>
      </c>
      <c r="C572">
        <v>1.28</v>
      </c>
      <c r="D572">
        <v>2011</v>
      </c>
      <c r="E572" t="s">
        <v>18</v>
      </c>
      <c r="F572">
        <v>2011074</v>
      </c>
      <c r="G572">
        <v>2011136</v>
      </c>
      <c r="H572">
        <v>10832</v>
      </c>
      <c r="I572">
        <v>3310</v>
      </c>
      <c r="J572">
        <v>0</v>
      </c>
      <c r="K572">
        <v>171</v>
      </c>
      <c r="L572">
        <v>591</v>
      </c>
      <c r="M572">
        <v>100</v>
      </c>
      <c r="N572">
        <v>31.206060000000001</v>
      </c>
      <c r="O572">
        <v>15.176640000000001</v>
      </c>
      <c r="P572">
        <v>22.789249999999999</v>
      </c>
      <c r="Q572">
        <v>115835</v>
      </c>
    </row>
    <row r="573" spans="1:17" x14ac:dyDescent="0.25">
      <c r="A573" t="s">
        <v>20</v>
      </c>
      <c r="B573">
        <v>29</v>
      </c>
      <c r="C573">
        <v>1.28</v>
      </c>
      <c r="D573">
        <v>2012</v>
      </c>
      <c r="E573" t="s">
        <v>18</v>
      </c>
      <c r="F573">
        <v>2012074</v>
      </c>
      <c r="G573">
        <v>2012154</v>
      </c>
      <c r="H573">
        <v>2608</v>
      </c>
      <c r="I573">
        <v>728</v>
      </c>
      <c r="J573">
        <v>0</v>
      </c>
      <c r="K573">
        <v>284</v>
      </c>
      <c r="L573">
        <v>139</v>
      </c>
      <c r="M573">
        <v>100</v>
      </c>
      <c r="N573">
        <v>30.698139999999999</v>
      </c>
      <c r="O573">
        <v>14.224299999999999</v>
      </c>
      <c r="P573">
        <v>22.68084</v>
      </c>
      <c r="Q573">
        <v>25484</v>
      </c>
    </row>
    <row r="574" spans="1:17" x14ac:dyDescent="0.25">
      <c r="A574" t="s">
        <v>20</v>
      </c>
      <c r="B574">
        <v>29</v>
      </c>
      <c r="C574">
        <v>1.28</v>
      </c>
      <c r="D574">
        <v>2013</v>
      </c>
      <c r="E574" t="s">
        <v>18</v>
      </c>
      <c r="F574">
        <v>2013074</v>
      </c>
      <c r="G574">
        <v>2013145</v>
      </c>
      <c r="H574">
        <v>8515</v>
      </c>
      <c r="I574">
        <v>1698</v>
      </c>
      <c r="J574">
        <v>0</v>
      </c>
      <c r="K574">
        <v>380</v>
      </c>
      <c r="L574">
        <v>443</v>
      </c>
      <c r="M574">
        <v>100</v>
      </c>
      <c r="N574">
        <v>29.651399999999999</v>
      </c>
      <c r="O574">
        <v>14.071490000000001</v>
      </c>
      <c r="P574">
        <v>22.647189999999998</v>
      </c>
      <c r="Q574">
        <v>59419</v>
      </c>
    </row>
    <row r="575" spans="1:17" x14ac:dyDescent="0.25">
      <c r="A575" t="s">
        <v>20</v>
      </c>
      <c r="B575">
        <v>29</v>
      </c>
      <c r="C575">
        <v>1.28</v>
      </c>
      <c r="D575">
        <v>2014</v>
      </c>
      <c r="E575" t="s">
        <v>18</v>
      </c>
      <c r="F575">
        <v>2014074</v>
      </c>
      <c r="G575">
        <v>2014137</v>
      </c>
      <c r="H575">
        <v>4010</v>
      </c>
      <c r="I575">
        <v>562</v>
      </c>
      <c r="J575">
        <v>0</v>
      </c>
      <c r="K575">
        <v>284</v>
      </c>
      <c r="L575">
        <v>289</v>
      </c>
      <c r="M575">
        <v>100</v>
      </c>
      <c r="N575">
        <v>29.733180000000001</v>
      </c>
      <c r="O575">
        <v>14.53318</v>
      </c>
      <c r="P575">
        <v>23.715890000000002</v>
      </c>
      <c r="Q575">
        <v>19674</v>
      </c>
    </row>
    <row r="576" spans="1:17" x14ac:dyDescent="0.25">
      <c r="A576" t="s">
        <v>20</v>
      </c>
      <c r="B576">
        <v>29</v>
      </c>
      <c r="C576">
        <v>1.28</v>
      </c>
      <c r="D576">
        <v>2015</v>
      </c>
      <c r="E576" t="s">
        <v>18</v>
      </c>
      <c r="F576">
        <v>2015074</v>
      </c>
      <c r="G576">
        <v>2015140</v>
      </c>
      <c r="H576">
        <v>3192</v>
      </c>
      <c r="I576">
        <v>655</v>
      </c>
      <c r="J576">
        <v>0</v>
      </c>
      <c r="K576">
        <v>150</v>
      </c>
      <c r="L576">
        <v>213</v>
      </c>
      <c r="M576">
        <v>100</v>
      </c>
      <c r="N576">
        <v>31.259810000000002</v>
      </c>
      <c r="O576">
        <v>14.78552</v>
      </c>
      <c r="P576">
        <v>23.029440000000001</v>
      </c>
      <c r="Q576">
        <v>22929</v>
      </c>
    </row>
    <row r="577" spans="1:17" x14ac:dyDescent="0.25">
      <c r="A577" t="s">
        <v>20</v>
      </c>
      <c r="B577">
        <v>29</v>
      </c>
      <c r="C577">
        <v>1.28</v>
      </c>
      <c r="D577">
        <v>2016</v>
      </c>
      <c r="E577" t="s">
        <v>18</v>
      </c>
      <c r="F577">
        <v>2016074</v>
      </c>
      <c r="G577">
        <v>2016147</v>
      </c>
      <c r="H577">
        <v>9488</v>
      </c>
      <c r="I577">
        <v>2333</v>
      </c>
      <c r="J577">
        <v>0</v>
      </c>
      <c r="K577">
        <v>352</v>
      </c>
      <c r="L577">
        <v>256</v>
      </c>
      <c r="M577">
        <v>100</v>
      </c>
      <c r="N577">
        <v>30.675709999999999</v>
      </c>
      <c r="O577">
        <v>14.730370000000001</v>
      </c>
      <c r="P577">
        <v>22.217749999999999</v>
      </c>
      <c r="Q577">
        <v>81656</v>
      </c>
    </row>
    <row r="578" spans="1:17" x14ac:dyDescent="0.25">
      <c r="A578" t="s">
        <v>20</v>
      </c>
      <c r="B578">
        <v>29</v>
      </c>
      <c r="C578">
        <v>1.28</v>
      </c>
      <c r="D578">
        <v>2017</v>
      </c>
      <c r="E578" t="s">
        <v>18</v>
      </c>
      <c r="F578">
        <v>2017074</v>
      </c>
      <c r="G578">
        <v>2017140</v>
      </c>
      <c r="H578">
        <v>9459</v>
      </c>
      <c r="I578">
        <v>2030</v>
      </c>
      <c r="J578">
        <v>0</v>
      </c>
      <c r="K578">
        <v>245</v>
      </c>
      <c r="L578">
        <v>379</v>
      </c>
      <c r="M578">
        <v>100</v>
      </c>
      <c r="N578">
        <v>32.290179999999999</v>
      </c>
      <c r="O578">
        <v>14.770099999999999</v>
      </c>
      <c r="P578">
        <v>24.0014</v>
      </c>
      <c r="Q578">
        <v>71042</v>
      </c>
    </row>
    <row r="579" spans="1:17" x14ac:dyDescent="0.25">
      <c r="A579" t="s">
        <v>20</v>
      </c>
      <c r="B579">
        <v>29</v>
      </c>
      <c r="C579">
        <v>1.28</v>
      </c>
      <c r="D579">
        <v>2018</v>
      </c>
      <c r="E579" t="s">
        <v>18</v>
      </c>
      <c r="F579">
        <v>2018074</v>
      </c>
      <c r="G579">
        <v>2018146</v>
      </c>
      <c r="H579">
        <v>6610</v>
      </c>
      <c r="I579">
        <v>1001</v>
      </c>
      <c r="J579">
        <v>0</v>
      </c>
      <c r="K579">
        <v>465</v>
      </c>
      <c r="L579">
        <v>200</v>
      </c>
      <c r="M579">
        <v>100</v>
      </c>
      <c r="N579">
        <v>29.77711</v>
      </c>
      <c r="O579">
        <v>14.571490000000001</v>
      </c>
      <c r="P579">
        <v>23.717770000000002</v>
      </c>
      <c r="Q579">
        <v>35023</v>
      </c>
    </row>
    <row r="580" spans="1:17" x14ac:dyDescent="0.25">
      <c r="A580" t="s">
        <v>20</v>
      </c>
      <c r="B580">
        <v>29</v>
      </c>
      <c r="C580">
        <v>1.28</v>
      </c>
      <c r="D580">
        <v>2019</v>
      </c>
      <c r="E580" t="s">
        <v>18</v>
      </c>
      <c r="F580">
        <v>2019074</v>
      </c>
      <c r="G580">
        <v>2019152</v>
      </c>
      <c r="H580">
        <v>3115</v>
      </c>
      <c r="I580">
        <v>583</v>
      </c>
      <c r="J580">
        <v>0</v>
      </c>
      <c r="K580">
        <v>99</v>
      </c>
      <c r="L580">
        <v>284</v>
      </c>
      <c r="M580">
        <v>100</v>
      </c>
      <c r="N580">
        <v>30.988309999999998</v>
      </c>
      <c r="O580">
        <v>14.28505</v>
      </c>
      <c r="P580">
        <v>25.11777</v>
      </c>
      <c r="Q580">
        <v>20418</v>
      </c>
    </row>
    <row r="581" spans="1:17" x14ac:dyDescent="0.25">
      <c r="A581" t="s">
        <v>20</v>
      </c>
      <c r="B581">
        <v>29</v>
      </c>
      <c r="C581">
        <v>1.28</v>
      </c>
      <c r="D581">
        <v>2020</v>
      </c>
      <c r="E581" t="s">
        <v>18</v>
      </c>
      <c r="F581">
        <v>2020074</v>
      </c>
      <c r="G581">
        <v>2020143</v>
      </c>
      <c r="H581">
        <v>5039</v>
      </c>
      <c r="I581">
        <v>821</v>
      </c>
      <c r="J581">
        <v>0</v>
      </c>
      <c r="K581">
        <v>244</v>
      </c>
      <c r="L581">
        <v>307</v>
      </c>
      <c r="M581">
        <v>100</v>
      </c>
      <c r="N581">
        <v>30.872890000000002</v>
      </c>
      <c r="O581">
        <v>15.42337</v>
      </c>
      <c r="P581">
        <v>24.29813</v>
      </c>
      <c r="Q581">
        <v>28728</v>
      </c>
    </row>
    <row r="582" spans="1:17" x14ac:dyDescent="0.25">
      <c r="A582" t="s">
        <v>20</v>
      </c>
      <c r="B582">
        <v>30</v>
      </c>
      <c r="C582">
        <v>0.95</v>
      </c>
      <c r="D582">
        <v>2001</v>
      </c>
      <c r="E582" t="s">
        <v>17</v>
      </c>
      <c r="F582">
        <v>2001091</v>
      </c>
      <c r="G582">
        <v>2001155</v>
      </c>
      <c r="H582">
        <v>5988</v>
      </c>
      <c r="I582">
        <v>1021</v>
      </c>
      <c r="J582">
        <v>0</v>
      </c>
      <c r="K582">
        <v>283</v>
      </c>
      <c r="L582">
        <v>235</v>
      </c>
      <c r="M582">
        <v>75</v>
      </c>
      <c r="N582">
        <v>31.877669999999998</v>
      </c>
      <c r="O582">
        <v>16.376650000000001</v>
      </c>
      <c r="P582">
        <v>22.791360000000001</v>
      </c>
      <c r="Q582">
        <v>45935</v>
      </c>
    </row>
    <row r="583" spans="1:17" x14ac:dyDescent="0.25">
      <c r="A583" t="s">
        <v>20</v>
      </c>
      <c r="B583">
        <v>30</v>
      </c>
      <c r="C583">
        <v>0.95</v>
      </c>
      <c r="D583">
        <v>2002</v>
      </c>
      <c r="E583" t="s">
        <v>17</v>
      </c>
      <c r="F583">
        <v>2002091</v>
      </c>
      <c r="G583">
        <v>2002159</v>
      </c>
      <c r="H583">
        <v>5242</v>
      </c>
      <c r="I583">
        <v>584</v>
      </c>
      <c r="J583">
        <v>0</v>
      </c>
      <c r="K583">
        <v>370</v>
      </c>
      <c r="L583">
        <v>292</v>
      </c>
      <c r="M583">
        <v>75</v>
      </c>
      <c r="N583">
        <v>29.123860000000001</v>
      </c>
      <c r="O583">
        <v>14.414210000000001</v>
      </c>
      <c r="P583">
        <v>19.713699999999999</v>
      </c>
      <c r="Q583">
        <v>26282</v>
      </c>
    </row>
    <row r="584" spans="1:17" x14ac:dyDescent="0.25">
      <c r="A584" t="s">
        <v>20</v>
      </c>
      <c r="B584">
        <v>30</v>
      </c>
      <c r="C584">
        <v>0.95</v>
      </c>
      <c r="D584">
        <v>2003</v>
      </c>
      <c r="E584" t="s">
        <v>17</v>
      </c>
      <c r="F584">
        <v>2003091</v>
      </c>
      <c r="G584">
        <v>2003156</v>
      </c>
      <c r="H584">
        <v>6995</v>
      </c>
      <c r="I584">
        <v>1283</v>
      </c>
      <c r="J584">
        <v>0</v>
      </c>
      <c r="K584">
        <v>233</v>
      </c>
      <c r="L584">
        <v>462</v>
      </c>
      <c r="M584">
        <v>75</v>
      </c>
      <c r="N584">
        <v>31.51877</v>
      </c>
      <c r="O584">
        <v>15.74924</v>
      </c>
      <c r="P584">
        <v>21.68375</v>
      </c>
      <c r="Q584">
        <v>57722</v>
      </c>
    </row>
    <row r="585" spans="1:17" x14ac:dyDescent="0.25">
      <c r="A585" t="s">
        <v>20</v>
      </c>
      <c r="B585">
        <v>30</v>
      </c>
      <c r="C585">
        <v>0.95</v>
      </c>
      <c r="D585">
        <v>2004</v>
      </c>
      <c r="E585" t="s">
        <v>17</v>
      </c>
      <c r="F585">
        <v>2004091</v>
      </c>
      <c r="G585">
        <v>2004161</v>
      </c>
      <c r="H585">
        <v>8308</v>
      </c>
      <c r="I585">
        <v>1935</v>
      </c>
      <c r="J585">
        <v>0</v>
      </c>
      <c r="K585">
        <v>298</v>
      </c>
      <c r="L585">
        <v>405</v>
      </c>
      <c r="M585">
        <v>75</v>
      </c>
      <c r="N585">
        <v>30.85331</v>
      </c>
      <c r="O585">
        <v>14.99949</v>
      </c>
      <c r="P585">
        <v>19.926390000000001</v>
      </c>
      <c r="Q585">
        <v>87070</v>
      </c>
    </row>
    <row r="586" spans="1:17" x14ac:dyDescent="0.25">
      <c r="A586" t="s">
        <v>20</v>
      </c>
      <c r="B586">
        <v>30</v>
      </c>
      <c r="C586">
        <v>0.95</v>
      </c>
      <c r="D586">
        <v>2005</v>
      </c>
      <c r="E586" t="s">
        <v>17</v>
      </c>
      <c r="F586">
        <v>2005091</v>
      </c>
      <c r="G586">
        <v>2005156</v>
      </c>
      <c r="H586">
        <v>3483</v>
      </c>
      <c r="I586">
        <v>442</v>
      </c>
      <c r="J586">
        <v>0</v>
      </c>
      <c r="K586">
        <v>333</v>
      </c>
      <c r="L586">
        <v>204</v>
      </c>
      <c r="M586">
        <v>75</v>
      </c>
      <c r="N586">
        <v>31.33756</v>
      </c>
      <c r="O586">
        <v>14.5604</v>
      </c>
      <c r="P586">
        <v>22.169540000000001</v>
      </c>
      <c r="Q586">
        <v>19881</v>
      </c>
    </row>
    <row r="587" spans="1:17" x14ac:dyDescent="0.25">
      <c r="A587" t="s">
        <v>20</v>
      </c>
      <c r="B587">
        <v>30</v>
      </c>
      <c r="C587">
        <v>0.95</v>
      </c>
      <c r="D587">
        <v>2006</v>
      </c>
      <c r="E587" t="s">
        <v>17</v>
      </c>
      <c r="F587">
        <v>2006091</v>
      </c>
      <c r="G587">
        <v>2006154</v>
      </c>
      <c r="H587">
        <v>4904</v>
      </c>
      <c r="I587">
        <v>572</v>
      </c>
      <c r="J587">
        <v>0</v>
      </c>
      <c r="K587">
        <v>281</v>
      </c>
      <c r="L587">
        <v>263</v>
      </c>
      <c r="M587">
        <v>75</v>
      </c>
      <c r="N587">
        <v>31.483740000000001</v>
      </c>
      <c r="O587">
        <v>15.644170000000001</v>
      </c>
      <c r="P587">
        <v>19.68985</v>
      </c>
      <c r="Q587">
        <v>25747</v>
      </c>
    </row>
    <row r="588" spans="1:17" x14ac:dyDescent="0.25">
      <c r="A588" t="s">
        <v>20</v>
      </c>
      <c r="B588">
        <v>30</v>
      </c>
      <c r="C588">
        <v>0.95</v>
      </c>
      <c r="D588">
        <v>2007</v>
      </c>
      <c r="E588" t="s">
        <v>17</v>
      </c>
      <c r="F588">
        <v>2007091</v>
      </c>
      <c r="G588">
        <v>2007158</v>
      </c>
      <c r="H588">
        <v>7590</v>
      </c>
      <c r="I588">
        <v>1200</v>
      </c>
      <c r="J588">
        <v>0</v>
      </c>
      <c r="K588">
        <v>259</v>
      </c>
      <c r="L588">
        <v>354</v>
      </c>
      <c r="M588">
        <v>75</v>
      </c>
      <c r="N588">
        <v>29.73452</v>
      </c>
      <c r="O588">
        <v>15.06244</v>
      </c>
      <c r="P588">
        <v>21.865480000000002</v>
      </c>
      <c r="Q588">
        <v>53984</v>
      </c>
    </row>
    <row r="589" spans="1:17" x14ac:dyDescent="0.25">
      <c r="A589" t="s">
        <v>20</v>
      </c>
      <c r="B589">
        <v>30</v>
      </c>
      <c r="C589">
        <v>0.95</v>
      </c>
      <c r="D589">
        <v>2008</v>
      </c>
      <c r="E589" t="s">
        <v>17</v>
      </c>
      <c r="F589">
        <v>2008091</v>
      </c>
      <c r="G589">
        <v>2008164</v>
      </c>
      <c r="H589">
        <v>6411</v>
      </c>
      <c r="I589">
        <v>741</v>
      </c>
      <c r="J589">
        <v>0</v>
      </c>
      <c r="K589">
        <v>362</v>
      </c>
      <c r="L589">
        <v>319</v>
      </c>
      <c r="M589">
        <v>75</v>
      </c>
      <c r="N589">
        <v>29.961919999999999</v>
      </c>
      <c r="O589">
        <v>14.32488</v>
      </c>
      <c r="P589">
        <v>22.42944</v>
      </c>
      <c r="Q589">
        <v>33344</v>
      </c>
    </row>
    <row r="590" spans="1:17" x14ac:dyDescent="0.25">
      <c r="A590" t="s">
        <v>20</v>
      </c>
      <c r="B590">
        <v>30</v>
      </c>
      <c r="C590">
        <v>0.95</v>
      </c>
      <c r="D590">
        <v>2009</v>
      </c>
      <c r="E590" t="s">
        <v>17</v>
      </c>
      <c r="F590">
        <v>2009091</v>
      </c>
      <c r="G590">
        <v>2009160</v>
      </c>
      <c r="H590">
        <v>3705</v>
      </c>
      <c r="I590">
        <v>433</v>
      </c>
      <c r="J590">
        <v>0</v>
      </c>
      <c r="K590">
        <v>150</v>
      </c>
      <c r="L590">
        <v>293</v>
      </c>
      <c r="M590">
        <v>75</v>
      </c>
      <c r="N590">
        <v>31.26548</v>
      </c>
      <c r="O590">
        <v>14.834</v>
      </c>
      <c r="P590">
        <v>22.77411</v>
      </c>
      <c r="Q590">
        <v>19497</v>
      </c>
    </row>
    <row r="591" spans="1:17" x14ac:dyDescent="0.25">
      <c r="A591" t="s">
        <v>20</v>
      </c>
      <c r="B591">
        <v>30</v>
      </c>
      <c r="C591">
        <v>0.95</v>
      </c>
      <c r="D591">
        <v>2010</v>
      </c>
      <c r="E591" t="s">
        <v>18</v>
      </c>
      <c r="F591">
        <v>2010091</v>
      </c>
      <c r="G591">
        <v>2010152</v>
      </c>
      <c r="H591">
        <v>9271</v>
      </c>
      <c r="I591">
        <v>2696</v>
      </c>
      <c r="J591">
        <v>0</v>
      </c>
      <c r="K591">
        <v>316</v>
      </c>
      <c r="L591">
        <v>726</v>
      </c>
      <c r="M591">
        <v>75</v>
      </c>
      <c r="N591">
        <v>30.852789999999999</v>
      </c>
      <c r="O591">
        <v>15.27411</v>
      </c>
      <c r="P591">
        <v>22.69746</v>
      </c>
      <c r="Q591">
        <v>121306</v>
      </c>
    </row>
    <row r="592" spans="1:17" x14ac:dyDescent="0.25">
      <c r="A592" t="s">
        <v>20</v>
      </c>
      <c r="B592">
        <v>30</v>
      </c>
      <c r="C592">
        <v>0.95</v>
      </c>
      <c r="D592">
        <v>2011</v>
      </c>
      <c r="E592" t="s">
        <v>18</v>
      </c>
      <c r="F592">
        <v>2011091</v>
      </c>
      <c r="G592">
        <v>2011145</v>
      </c>
      <c r="H592">
        <v>8905</v>
      </c>
      <c r="I592">
        <v>2644</v>
      </c>
      <c r="J592">
        <v>0</v>
      </c>
      <c r="K592">
        <v>171</v>
      </c>
      <c r="L592">
        <v>591</v>
      </c>
      <c r="M592">
        <v>75</v>
      </c>
      <c r="N592">
        <v>32.031970000000001</v>
      </c>
      <c r="O592">
        <v>15.70914</v>
      </c>
      <c r="P592">
        <v>23.129950000000001</v>
      </c>
      <c r="Q592">
        <v>118983</v>
      </c>
    </row>
    <row r="593" spans="1:17" x14ac:dyDescent="0.25">
      <c r="A593" t="s">
        <v>20</v>
      </c>
      <c r="B593">
        <v>30</v>
      </c>
      <c r="C593">
        <v>0.95</v>
      </c>
      <c r="D593">
        <v>2012</v>
      </c>
      <c r="E593" t="s">
        <v>18</v>
      </c>
      <c r="F593">
        <v>2012091</v>
      </c>
      <c r="G593">
        <v>2012154</v>
      </c>
      <c r="H593">
        <v>2648</v>
      </c>
      <c r="I593">
        <v>773</v>
      </c>
      <c r="J593">
        <v>0</v>
      </c>
      <c r="K593">
        <v>284</v>
      </c>
      <c r="L593">
        <v>139</v>
      </c>
      <c r="M593">
        <v>75</v>
      </c>
      <c r="N593">
        <v>31.427420000000001</v>
      </c>
      <c r="O593">
        <v>14.996449999999999</v>
      </c>
      <c r="P593">
        <v>23.0198</v>
      </c>
      <c r="Q593">
        <v>34780</v>
      </c>
    </row>
    <row r="594" spans="1:17" x14ac:dyDescent="0.25">
      <c r="A594" t="s">
        <v>20</v>
      </c>
      <c r="B594">
        <v>30</v>
      </c>
      <c r="C594">
        <v>0.95</v>
      </c>
      <c r="D594">
        <v>2013</v>
      </c>
      <c r="E594" t="s">
        <v>18</v>
      </c>
      <c r="F594">
        <v>2013091</v>
      </c>
      <c r="G594">
        <v>2013152</v>
      </c>
      <c r="H594">
        <v>8090</v>
      </c>
      <c r="I594">
        <v>1977</v>
      </c>
      <c r="J594">
        <v>0</v>
      </c>
      <c r="K594">
        <v>380</v>
      </c>
      <c r="L594">
        <v>443</v>
      </c>
      <c r="M594">
        <v>75</v>
      </c>
      <c r="N594">
        <v>30.672080000000001</v>
      </c>
      <c r="O594">
        <v>14.54467</v>
      </c>
      <c r="P594">
        <v>23.557870000000001</v>
      </c>
      <c r="Q594">
        <v>88971</v>
      </c>
    </row>
    <row r="595" spans="1:17" x14ac:dyDescent="0.25">
      <c r="A595" t="s">
        <v>20</v>
      </c>
      <c r="B595">
        <v>30</v>
      </c>
      <c r="C595">
        <v>0.95</v>
      </c>
      <c r="D595">
        <v>2014</v>
      </c>
      <c r="E595" t="s">
        <v>18</v>
      </c>
      <c r="F595">
        <v>2014091</v>
      </c>
      <c r="G595">
        <v>2014147</v>
      </c>
      <c r="H595">
        <v>3843</v>
      </c>
      <c r="I595">
        <v>504</v>
      </c>
      <c r="J595">
        <v>0</v>
      </c>
      <c r="K595">
        <v>284</v>
      </c>
      <c r="L595">
        <v>289</v>
      </c>
      <c r="M595">
        <v>75</v>
      </c>
      <c r="N595">
        <v>30.547720000000002</v>
      </c>
      <c r="O595">
        <v>15.26802</v>
      </c>
      <c r="P595">
        <v>24.18224</v>
      </c>
      <c r="Q595">
        <v>22663</v>
      </c>
    </row>
    <row r="596" spans="1:17" x14ac:dyDescent="0.25">
      <c r="A596" t="s">
        <v>20</v>
      </c>
      <c r="B596">
        <v>30</v>
      </c>
      <c r="C596">
        <v>0.95</v>
      </c>
      <c r="D596">
        <v>2015</v>
      </c>
      <c r="E596" t="s">
        <v>18</v>
      </c>
      <c r="F596">
        <v>2015091</v>
      </c>
      <c r="G596">
        <v>2015148</v>
      </c>
      <c r="H596">
        <v>2704</v>
      </c>
      <c r="I596">
        <v>597</v>
      </c>
      <c r="J596">
        <v>0</v>
      </c>
      <c r="K596">
        <v>150</v>
      </c>
      <c r="L596">
        <v>213</v>
      </c>
      <c r="M596">
        <v>75</v>
      </c>
      <c r="N596">
        <v>32.174610000000001</v>
      </c>
      <c r="O596">
        <v>15.55584</v>
      </c>
      <c r="P596">
        <v>23.552790000000002</v>
      </c>
      <c r="Q596">
        <v>26868</v>
      </c>
    </row>
    <row r="597" spans="1:17" x14ac:dyDescent="0.25">
      <c r="A597" t="s">
        <v>20</v>
      </c>
      <c r="B597">
        <v>30</v>
      </c>
      <c r="C597">
        <v>0.95</v>
      </c>
      <c r="D597">
        <v>2016</v>
      </c>
      <c r="E597" t="s">
        <v>18</v>
      </c>
      <c r="F597">
        <v>2016091</v>
      </c>
      <c r="G597">
        <v>2016154</v>
      </c>
      <c r="H597">
        <v>8283</v>
      </c>
      <c r="I597">
        <v>1621</v>
      </c>
      <c r="J597">
        <v>0</v>
      </c>
      <c r="K597">
        <v>352</v>
      </c>
      <c r="L597">
        <v>256</v>
      </c>
      <c r="M597">
        <v>75</v>
      </c>
      <c r="N597">
        <v>31.643149999999999</v>
      </c>
      <c r="O597">
        <v>15.461930000000001</v>
      </c>
      <c r="P597">
        <v>22.711670000000002</v>
      </c>
      <c r="Q597">
        <v>72929</v>
      </c>
    </row>
    <row r="598" spans="1:17" x14ac:dyDescent="0.25">
      <c r="A598" t="s">
        <v>20</v>
      </c>
      <c r="B598">
        <v>30</v>
      </c>
      <c r="C598">
        <v>0.95</v>
      </c>
      <c r="D598">
        <v>2017</v>
      </c>
      <c r="E598" t="s">
        <v>18</v>
      </c>
      <c r="F598">
        <v>2017091</v>
      </c>
      <c r="G598">
        <v>2017147</v>
      </c>
      <c r="H598">
        <v>7989</v>
      </c>
      <c r="I598">
        <v>1594</v>
      </c>
      <c r="J598">
        <v>0</v>
      </c>
      <c r="K598">
        <v>245</v>
      </c>
      <c r="L598">
        <v>379</v>
      </c>
      <c r="M598">
        <v>75</v>
      </c>
      <c r="N598">
        <v>33.278669999999998</v>
      </c>
      <c r="O598">
        <v>15.49493</v>
      </c>
      <c r="P598">
        <v>24.393899999999999</v>
      </c>
      <c r="Q598">
        <v>71722</v>
      </c>
    </row>
    <row r="599" spans="1:17" x14ac:dyDescent="0.25">
      <c r="A599" t="s">
        <v>20</v>
      </c>
      <c r="B599">
        <v>30</v>
      </c>
      <c r="C599">
        <v>0.95</v>
      </c>
      <c r="D599">
        <v>2018</v>
      </c>
      <c r="E599" t="s">
        <v>18</v>
      </c>
      <c r="F599">
        <v>2018091</v>
      </c>
      <c r="G599">
        <v>2018151</v>
      </c>
      <c r="H599">
        <v>6485</v>
      </c>
      <c r="I599">
        <v>1321</v>
      </c>
      <c r="J599">
        <v>0</v>
      </c>
      <c r="K599">
        <v>465</v>
      </c>
      <c r="L599">
        <v>200</v>
      </c>
      <c r="M599">
        <v>75</v>
      </c>
      <c r="N599">
        <v>30.86092</v>
      </c>
      <c r="O599">
        <v>15.37208</v>
      </c>
      <c r="P599">
        <v>24.278690000000001</v>
      </c>
      <c r="Q599">
        <v>59446</v>
      </c>
    </row>
    <row r="600" spans="1:17" x14ac:dyDescent="0.25">
      <c r="A600" t="s">
        <v>20</v>
      </c>
      <c r="B600">
        <v>30</v>
      </c>
      <c r="C600">
        <v>0.95</v>
      </c>
      <c r="D600">
        <v>2019</v>
      </c>
      <c r="E600" t="s">
        <v>18</v>
      </c>
      <c r="F600">
        <v>2019091</v>
      </c>
      <c r="G600">
        <v>2019152</v>
      </c>
      <c r="H600">
        <v>3205</v>
      </c>
      <c r="I600">
        <v>579</v>
      </c>
      <c r="J600">
        <v>0</v>
      </c>
      <c r="K600">
        <v>99</v>
      </c>
      <c r="L600">
        <v>284</v>
      </c>
      <c r="M600">
        <v>75</v>
      </c>
      <c r="N600">
        <v>31.67258</v>
      </c>
      <c r="O600">
        <v>15.10305</v>
      </c>
      <c r="P600">
        <v>25.39087</v>
      </c>
      <c r="Q600">
        <v>26042</v>
      </c>
    </row>
    <row r="601" spans="1:17" x14ac:dyDescent="0.25">
      <c r="A601" t="s">
        <v>20</v>
      </c>
      <c r="B601">
        <v>30</v>
      </c>
      <c r="C601">
        <v>0.95</v>
      </c>
      <c r="D601">
        <v>2020</v>
      </c>
      <c r="E601" t="s">
        <v>18</v>
      </c>
      <c r="F601">
        <v>2020091</v>
      </c>
      <c r="G601">
        <v>2020149</v>
      </c>
      <c r="H601">
        <v>4365</v>
      </c>
      <c r="I601">
        <v>806</v>
      </c>
      <c r="J601">
        <v>0</v>
      </c>
      <c r="K601">
        <v>244</v>
      </c>
      <c r="L601">
        <v>307</v>
      </c>
      <c r="M601">
        <v>75</v>
      </c>
      <c r="N601">
        <v>31.77056</v>
      </c>
      <c r="O601">
        <v>15.998480000000001</v>
      </c>
      <c r="P601">
        <v>24.886800000000001</v>
      </c>
      <c r="Q601">
        <v>36248</v>
      </c>
    </row>
    <row r="602" spans="1:17" x14ac:dyDescent="0.25">
      <c r="A602" t="s">
        <v>20</v>
      </c>
      <c r="B602">
        <v>31</v>
      </c>
      <c r="C602">
        <v>1.1599999999999999</v>
      </c>
      <c r="D602">
        <v>2001</v>
      </c>
      <c r="E602" t="s">
        <v>17</v>
      </c>
      <c r="F602">
        <v>2001091</v>
      </c>
      <c r="G602">
        <v>2001155</v>
      </c>
      <c r="H602">
        <v>4737</v>
      </c>
      <c r="I602">
        <v>623</v>
      </c>
      <c r="J602">
        <v>0</v>
      </c>
      <c r="K602">
        <v>283</v>
      </c>
      <c r="L602">
        <v>235</v>
      </c>
      <c r="M602">
        <v>75</v>
      </c>
      <c r="N602">
        <v>31.877669999999998</v>
      </c>
      <c r="O602">
        <v>16.376650000000001</v>
      </c>
      <c r="P602">
        <v>22.791360000000001</v>
      </c>
      <c r="Q602">
        <v>24301</v>
      </c>
    </row>
    <row r="603" spans="1:17" x14ac:dyDescent="0.25">
      <c r="A603" t="s">
        <v>20</v>
      </c>
      <c r="B603">
        <v>31</v>
      </c>
      <c r="C603">
        <v>1.1599999999999999</v>
      </c>
      <c r="D603">
        <v>2002</v>
      </c>
      <c r="E603" t="s">
        <v>17</v>
      </c>
      <c r="F603">
        <v>2002091</v>
      </c>
      <c r="G603">
        <v>2002159</v>
      </c>
      <c r="H603">
        <v>4522</v>
      </c>
      <c r="I603">
        <v>321</v>
      </c>
      <c r="J603">
        <v>0</v>
      </c>
      <c r="K603">
        <v>370</v>
      </c>
      <c r="L603">
        <v>292</v>
      </c>
      <c r="M603">
        <v>75</v>
      </c>
      <c r="N603">
        <v>29.123860000000001</v>
      </c>
      <c r="O603">
        <v>14.414210000000001</v>
      </c>
      <c r="P603">
        <v>19.713699999999999</v>
      </c>
      <c r="Q603">
        <v>12512</v>
      </c>
    </row>
    <row r="604" spans="1:17" x14ac:dyDescent="0.25">
      <c r="A604" t="s">
        <v>20</v>
      </c>
      <c r="B604">
        <v>31</v>
      </c>
      <c r="C604">
        <v>1.1599999999999999</v>
      </c>
      <c r="D604">
        <v>2003</v>
      </c>
      <c r="E604" t="s">
        <v>17</v>
      </c>
      <c r="F604">
        <v>2003091</v>
      </c>
      <c r="G604">
        <v>2003156</v>
      </c>
      <c r="H604">
        <v>4944</v>
      </c>
      <c r="I604">
        <v>652</v>
      </c>
      <c r="J604">
        <v>0</v>
      </c>
      <c r="K604">
        <v>233</v>
      </c>
      <c r="L604">
        <v>462</v>
      </c>
      <c r="M604">
        <v>75</v>
      </c>
      <c r="N604">
        <v>31.51877</v>
      </c>
      <c r="O604">
        <v>15.74924</v>
      </c>
      <c r="P604">
        <v>21.68375</v>
      </c>
      <c r="Q604">
        <v>25428</v>
      </c>
    </row>
    <row r="605" spans="1:17" x14ac:dyDescent="0.25">
      <c r="A605" t="s">
        <v>20</v>
      </c>
      <c r="B605">
        <v>31</v>
      </c>
      <c r="C605">
        <v>1.1599999999999999</v>
      </c>
      <c r="D605">
        <v>2004</v>
      </c>
      <c r="E605" t="s">
        <v>17</v>
      </c>
      <c r="F605">
        <v>2004091</v>
      </c>
      <c r="G605">
        <v>2004161</v>
      </c>
      <c r="H605">
        <v>6950</v>
      </c>
      <c r="I605">
        <v>1202</v>
      </c>
      <c r="J605">
        <v>0</v>
      </c>
      <c r="K605">
        <v>298</v>
      </c>
      <c r="L605">
        <v>405</v>
      </c>
      <c r="M605">
        <v>75</v>
      </c>
      <c r="N605">
        <v>30.85331</v>
      </c>
      <c r="O605">
        <v>14.99949</v>
      </c>
      <c r="P605">
        <v>19.926390000000001</v>
      </c>
      <c r="Q605">
        <v>46897</v>
      </c>
    </row>
    <row r="606" spans="1:17" x14ac:dyDescent="0.25">
      <c r="A606" t="s">
        <v>20</v>
      </c>
      <c r="B606">
        <v>31</v>
      </c>
      <c r="C606">
        <v>1.1599999999999999</v>
      </c>
      <c r="D606">
        <v>2005</v>
      </c>
      <c r="E606" t="s">
        <v>17</v>
      </c>
      <c r="F606">
        <v>2005091</v>
      </c>
      <c r="G606">
        <v>2005156</v>
      </c>
      <c r="H606">
        <v>3301</v>
      </c>
      <c r="I606">
        <v>262</v>
      </c>
      <c r="J606">
        <v>0</v>
      </c>
      <c r="K606">
        <v>333</v>
      </c>
      <c r="L606">
        <v>204</v>
      </c>
      <c r="M606">
        <v>75</v>
      </c>
      <c r="N606">
        <v>31.33756</v>
      </c>
      <c r="O606">
        <v>14.5604</v>
      </c>
      <c r="P606">
        <v>22.169540000000001</v>
      </c>
      <c r="Q606">
        <v>10208</v>
      </c>
    </row>
    <row r="607" spans="1:17" x14ac:dyDescent="0.25">
      <c r="A607" t="s">
        <v>20</v>
      </c>
      <c r="B607">
        <v>31</v>
      </c>
      <c r="C607">
        <v>1.1599999999999999</v>
      </c>
      <c r="D607">
        <v>2006</v>
      </c>
      <c r="E607" t="s">
        <v>17</v>
      </c>
      <c r="F607">
        <v>2006091</v>
      </c>
      <c r="G607">
        <v>2006154</v>
      </c>
      <c r="H607">
        <v>4603</v>
      </c>
      <c r="I607">
        <v>349</v>
      </c>
      <c r="J607">
        <v>0</v>
      </c>
      <c r="K607">
        <v>281</v>
      </c>
      <c r="L607">
        <v>263</v>
      </c>
      <c r="M607">
        <v>75</v>
      </c>
      <c r="N607">
        <v>31.483740000000001</v>
      </c>
      <c r="O607">
        <v>15.644170000000001</v>
      </c>
      <c r="P607">
        <v>19.68985</v>
      </c>
      <c r="Q607">
        <v>13614</v>
      </c>
    </row>
    <row r="608" spans="1:17" x14ac:dyDescent="0.25">
      <c r="A608" t="s">
        <v>20</v>
      </c>
      <c r="B608">
        <v>31</v>
      </c>
      <c r="C608">
        <v>1.1599999999999999</v>
      </c>
      <c r="D608">
        <v>2007</v>
      </c>
      <c r="E608" t="s">
        <v>17</v>
      </c>
      <c r="F608">
        <v>2007091</v>
      </c>
      <c r="G608">
        <v>2007158</v>
      </c>
      <c r="H608">
        <v>7069</v>
      </c>
      <c r="I608">
        <v>899</v>
      </c>
      <c r="J608">
        <v>0</v>
      </c>
      <c r="K608">
        <v>259</v>
      </c>
      <c r="L608">
        <v>354</v>
      </c>
      <c r="M608">
        <v>75</v>
      </c>
      <c r="N608">
        <v>29.73452</v>
      </c>
      <c r="O608">
        <v>15.06244</v>
      </c>
      <c r="P608">
        <v>21.865480000000002</v>
      </c>
      <c r="Q608">
        <v>35063</v>
      </c>
    </row>
    <row r="609" spans="1:17" x14ac:dyDescent="0.25">
      <c r="A609" t="s">
        <v>20</v>
      </c>
      <c r="B609">
        <v>31</v>
      </c>
      <c r="C609">
        <v>1.1599999999999999</v>
      </c>
      <c r="D609">
        <v>2008</v>
      </c>
      <c r="E609" t="s">
        <v>17</v>
      </c>
      <c r="F609">
        <v>2008091</v>
      </c>
      <c r="G609">
        <v>2008164</v>
      </c>
      <c r="H609">
        <v>5736</v>
      </c>
      <c r="I609">
        <v>450</v>
      </c>
      <c r="J609">
        <v>0</v>
      </c>
      <c r="K609">
        <v>362</v>
      </c>
      <c r="L609">
        <v>319</v>
      </c>
      <c r="M609">
        <v>75</v>
      </c>
      <c r="N609">
        <v>29.961919999999999</v>
      </c>
      <c r="O609">
        <v>14.32488</v>
      </c>
      <c r="P609">
        <v>22.42944</v>
      </c>
      <c r="Q609">
        <v>17549</v>
      </c>
    </row>
    <row r="610" spans="1:17" x14ac:dyDescent="0.25">
      <c r="A610" t="s">
        <v>20</v>
      </c>
      <c r="B610">
        <v>31</v>
      </c>
      <c r="C610">
        <v>1.1599999999999999</v>
      </c>
      <c r="D610">
        <v>2009</v>
      </c>
      <c r="E610" t="s">
        <v>17</v>
      </c>
      <c r="F610">
        <v>2009091</v>
      </c>
      <c r="G610">
        <v>2009160</v>
      </c>
      <c r="H610">
        <v>3461</v>
      </c>
      <c r="I610">
        <v>243</v>
      </c>
      <c r="J610">
        <v>0</v>
      </c>
      <c r="K610">
        <v>150</v>
      </c>
      <c r="L610">
        <v>293</v>
      </c>
      <c r="M610">
        <v>75</v>
      </c>
      <c r="N610">
        <v>31.26548</v>
      </c>
      <c r="O610">
        <v>14.834</v>
      </c>
      <c r="P610">
        <v>22.77411</v>
      </c>
      <c r="Q610">
        <v>9482</v>
      </c>
    </row>
    <row r="611" spans="1:17" x14ac:dyDescent="0.25">
      <c r="A611" t="s">
        <v>20</v>
      </c>
      <c r="B611">
        <v>31</v>
      </c>
      <c r="C611">
        <v>1.1599999999999999</v>
      </c>
      <c r="D611">
        <v>2010</v>
      </c>
      <c r="E611" t="s">
        <v>17</v>
      </c>
      <c r="F611">
        <v>2010091</v>
      </c>
      <c r="G611">
        <v>2010157</v>
      </c>
      <c r="H611">
        <v>6928</v>
      </c>
      <c r="I611">
        <v>1224</v>
      </c>
      <c r="J611">
        <v>0</v>
      </c>
      <c r="K611">
        <v>316</v>
      </c>
      <c r="L611">
        <v>726</v>
      </c>
      <c r="M611">
        <v>75</v>
      </c>
      <c r="N611">
        <v>30.852789999999999</v>
      </c>
      <c r="O611">
        <v>15.27411</v>
      </c>
      <c r="P611">
        <v>22.69746</v>
      </c>
      <c r="Q611">
        <v>47747</v>
      </c>
    </row>
    <row r="612" spans="1:17" x14ac:dyDescent="0.25">
      <c r="A612" t="s">
        <v>20</v>
      </c>
      <c r="B612">
        <v>31</v>
      </c>
      <c r="C612">
        <v>1.1599999999999999</v>
      </c>
      <c r="D612">
        <v>2011</v>
      </c>
      <c r="E612" t="s">
        <v>18</v>
      </c>
      <c r="F612">
        <v>2011091</v>
      </c>
      <c r="G612">
        <v>2011145</v>
      </c>
      <c r="H612">
        <v>7251</v>
      </c>
      <c r="I612">
        <v>1708</v>
      </c>
      <c r="J612">
        <v>0</v>
      </c>
      <c r="K612">
        <v>171</v>
      </c>
      <c r="L612">
        <v>591</v>
      </c>
      <c r="M612">
        <v>75</v>
      </c>
      <c r="N612">
        <v>32.031970000000001</v>
      </c>
      <c r="O612">
        <v>15.70914</v>
      </c>
      <c r="P612">
        <v>23.129950000000001</v>
      </c>
      <c r="Q612">
        <v>66612</v>
      </c>
    </row>
    <row r="613" spans="1:17" x14ac:dyDescent="0.25">
      <c r="A613" t="s">
        <v>20</v>
      </c>
      <c r="B613">
        <v>31</v>
      </c>
      <c r="C613">
        <v>1.1599999999999999</v>
      </c>
      <c r="D613">
        <v>2012</v>
      </c>
      <c r="E613" t="s">
        <v>18</v>
      </c>
      <c r="F613">
        <v>2012091</v>
      </c>
      <c r="G613">
        <v>2012154</v>
      </c>
      <c r="H613">
        <v>2576</v>
      </c>
      <c r="I613">
        <v>712</v>
      </c>
      <c r="J613">
        <v>0</v>
      </c>
      <c r="K613">
        <v>284</v>
      </c>
      <c r="L613">
        <v>139</v>
      </c>
      <c r="M613">
        <v>75</v>
      </c>
      <c r="N613">
        <v>31.427420000000001</v>
      </c>
      <c r="O613">
        <v>14.996449999999999</v>
      </c>
      <c r="P613">
        <v>23.0198</v>
      </c>
      <c r="Q613">
        <v>27761</v>
      </c>
    </row>
    <row r="614" spans="1:17" x14ac:dyDescent="0.25">
      <c r="A614" t="s">
        <v>20</v>
      </c>
      <c r="B614">
        <v>31</v>
      </c>
      <c r="C614">
        <v>1.1599999999999999</v>
      </c>
      <c r="D614">
        <v>2013</v>
      </c>
      <c r="E614" t="s">
        <v>18</v>
      </c>
      <c r="F614">
        <v>2013091</v>
      </c>
      <c r="G614">
        <v>2013152</v>
      </c>
      <c r="H614">
        <v>6126</v>
      </c>
      <c r="I614">
        <v>1107</v>
      </c>
      <c r="J614">
        <v>0</v>
      </c>
      <c r="K614">
        <v>380</v>
      </c>
      <c r="L614">
        <v>443</v>
      </c>
      <c r="M614">
        <v>75</v>
      </c>
      <c r="N614">
        <v>30.672080000000001</v>
      </c>
      <c r="O614">
        <v>14.54467</v>
      </c>
      <c r="P614">
        <v>23.557870000000001</v>
      </c>
      <c r="Q614">
        <v>43155</v>
      </c>
    </row>
    <row r="615" spans="1:17" x14ac:dyDescent="0.25">
      <c r="A615" t="s">
        <v>20</v>
      </c>
      <c r="B615">
        <v>31</v>
      </c>
      <c r="C615">
        <v>1.1599999999999999</v>
      </c>
      <c r="D615">
        <v>2014</v>
      </c>
      <c r="E615" t="s">
        <v>18</v>
      </c>
      <c r="F615">
        <v>2014091</v>
      </c>
      <c r="G615">
        <v>2014147</v>
      </c>
      <c r="H615">
        <v>3774</v>
      </c>
      <c r="I615">
        <v>367</v>
      </c>
      <c r="J615">
        <v>0</v>
      </c>
      <c r="K615">
        <v>284</v>
      </c>
      <c r="L615">
        <v>289</v>
      </c>
      <c r="M615">
        <v>75</v>
      </c>
      <c r="N615">
        <v>30.547720000000002</v>
      </c>
      <c r="O615">
        <v>15.26802</v>
      </c>
      <c r="P615">
        <v>24.18224</v>
      </c>
      <c r="Q615">
        <v>14304</v>
      </c>
    </row>
    <row r="616" spans="1:17" x14ac:dyDescent="0.25">
      <c r="A616" t="s">
        <v>20</v>
      </c>
      <c r="B616">
        <v>31</v>
      </c>
      <c r="C616">
        <v>1.1599999999999999</v>
      </c>
      <c r="D616">
        <v>2015</v>
      </c>
      <c r="E616" t="s">
        <v>18</v>
      </c>
      <c r="F616">
        <v>2015091</v>
      </c>
      <c r="G616">
        <v>2015148</v>
      </c>
      <c r="H616">
        <v>2578</v>
      </c>
      <c r="I616">
        <v>414</v>
      </c>
      <c r="J616">
        <v>0</v>
      </c>
      <c r="K616">
        <v>150</v>
      </c>
      <c r="L616">
        <v>213</v>
      </c>
      <c r="M616">
        <v>75</v>
      </c>
      <c r="N616">
        <v>32.174610000000001</v>
      </c>
      <c r="O616">
        <v>15.55584</v>
      </c>
      <c r="P616">
        <v>23.552790000000002</v>
      </c>
      <c r="Q616">
        <v>16146</v>
      </c>
    </row>
    <row r="617" spans="1:17" x14ac:dyDescent="0.25">
      <c r="A617" t="s">
        <v>20</v>
      </c>
      <c r="B617">
        <v>31</v>
      </c>
      <c r="C617">
        <v>1.1599999999999999</v>
      </c>
      <c r="D617">
        <v>2016</v>
      </c>
      <c r="E617" t="s">
        <v>18</v>
      </c>
      <c r="F617">
        <v>2016091</v>
      </c>
      <c r="G617">
        <v>2016154</v>
      </c>
      <c r="H617">
        <v>7515</v>
      </c>
      <c r="I617">
        <v>1216</v>
      </c>
      <c r="J617">
        <v>0</v>
      </c>
      <c r="K617">
        <v>352</v>
      </c>
      <c r="L617">
        <v>256</v>
      </c>
      <c r="M617">
        <v>75</v>
      </c>
      <c r="N617">
        <v>31.643149999999999</v>
      </c>
      <c r="O617">
        <v>15.461930000000001</v>
      </c>
      <c r="P617">
        <v>22.711670000000002</v>
      </c>
      <c r="Q617">
        <v>47443</v>
      </c>
    </row>
    <row r="618" spans="1:17" x14ac:dyDescent="0.25">
      <c r="A618" t="s">
        <v>20</v>
      </c>
      <c r="B618">
        <v>31</v>
      </c>
      <c r="C618">
        <v>1.1599999999999999</v>
      </c>
      <c r="D618">
        <v>2017</v>
      </c>
      <c r="E618" t="s">
        <v>18</v>
      </c>
      <c r="F618">
        <v>2017091</v>
      </c>
      <c r="G618">
        <v>2017147</v>
      </c>
      <c r="H618">
        <v>7543</v>
      </c>
      <c r="I618">
        <v>1310</v>
      </c>
      <c r="J618">
        <v>0</v>
      </c>
      <c r="K618">
        <v>245</v>
      </c>
      <c r="L618">
        <v>379</v>
      </c>
      <c r="M618">
        <v>75</v>
      </c>
      <c r="N618">
        <v>33.278669999999998</v>
      </c>
      <c r="O618">
        <v>15.49493</v>
      </c>
      <c r="P618">
        <v>24.393899999999999</v>
      </c>
      <c r="Q618">
        <v>51079</v>
      </c>
    </row>
    <row r="619" spans="1:17" x14ac:dyDescent="0.25">
      <c r="A619" t="s">
        <v>20</v>
      </c>
      <c r="B619">
        <v>31</v>
      </c>
      <c r="C619">
        <v>1.1599999999999999</v>
      </c>
      <c r="D619">
        <v>2018</v>
      </c>
      <c r="E619" t="s">
        <v>18</v>
      </c>
      <c r="F619">
        <v>2018091</v>
      </c>
      <c r="G619">
        <v>2018151</v>
      </c>
      <c r="H619">
        <v>4913</v>
      </c>
      <c r="I619">
        <v>711</v>
      </c>
      <c r="J619">
        <v>0</v>
      </c>
      <c r="K619">
        <v>465</v>
      </c>
      <c r="L619">
        <v>200</v>
      </c>
      <c r="M619">
        <v>75</v>
      </c>
      <c r="N619">
        <v>30.86092</v>
      </c>
      <c r="O619">
        <v>15.37208</v>
      </c>
      <c r="P619">
        <v>24.278690000000001</v>
      </c>
      <c r="Q619">
        <v>27734</v>
      </c>
    </row>
    <row r="620" spans="1:17" x14ac:dyDescent="0.25">
      <c r="A620" t="s">
        <v>20</v>
      </c>
      <c r="B620">
        <v>31</v>
      </c>
      <c r="C620">
        <v>1.1599999999999999</v>
      </c>
      <c r="D620">
        <v>2019</v>
      </c>
      <c r="E620" t="s">
        <v>18</v>
      </c>
      <c r="F620">
        <v>2019091</v>
      </c>
      <c r="G620">
        <v>2019152</v>
      </c>
      <c r="H620">
        <v>3114</v>
      </c>
      <c r="I620">
        <v>342</v>
      </c>
      <c r="J620">
        <v>0</v>
      </c>
      <c r="K620">
        <v>99</v>
      </c>
      <c r="L620">
        <v>284</v>
      </c>
      <c r="M620">
        <v>75</v>
      </c>
      <c r="N620">
        <v>31.67258</v>
      </c>
      <c r="O620">
        <v>15.10305</v>
      </c>
      <c r="P620">
        <v>25.39087</v>
      </c>
      <c r="Q620">
        <v>13352</v>
      </c>
    </row>
    <row r="621" spans="1:17" x14ac:dyDescent="0.25">
      <c r="A621" t="s">
        <v>20</v>
      </c>
      <c r="B621">
        <v>31</v>
      </c>
      <c r="C621">
        <v>1.1599999999999999</v>
      </c>
      <c r="D621">
        <v>2020</v>
      </c>
      <c r="E621" t="s">
        <v>18</v>
      </c>
      <c r="F621">
        <v>2020091</v>
      </c>
      <c r="G621">
        <v>2020149</v>
      </c>
      <c r="H621">
        <v>4319</v>
      </c>
      <c r="I621">
        <v>636</v>
      </c>
      <c r="J621">
        <v>0</v>
      </c>
      <c r="K621">
        <v>244</v>
      </c>
      <c r="L621">
        <v>307</v>
      </c>
      <c r="M621">
        <v>75</v>
      </c>
      <c r="N621">
        <v>31.77056</v>
      </c>
      <c r="O621">
        <v>15.998480000000001</v>
      </c>
      <c r="P621">
        <v>24.886800000000001</v>
      </c>
      <c r="Q621">
        <v>24809</v>
      </c>
    </row>
    <row r="622" spans="1:17" x14ac:dyDescent="0.25">
      <c r="A622" t="s">
        <v>20</v>
      </c>
      <c r="B622">
        <v>32</v>
      </c>
      <c r="C622">
        <v>1.1200000000000001</v>
      </c>
      <c r="D622">
        <v>2001</v>
      </c>
      <c r="E622" t="s">
        <v>17</v>
      </c>
      <c r="F622">
        <v>2001059</v>
      </c>
      <c r="G622">
        <v>2001135</v>
      </c>
      <c r="H622">
        <v>7428</v>
      </c>
      <c r="I622">
        <v>1287</v>
      </c>
      <c r="J622">
        <v>0</v>
      </c>
      <c r="K622">
        <v>283</v>
      </c>
      <c r="L622">
        <v>235</v>
      </c>
      <c r="M622">
        <v>125</v>
      </c>
      <c r="N622">
        <v>30.304369999999999</v>
      </c>
      <c r="O622">
        <v>15.655900000000001</v>
      </c>
      <c r="P622">
        <v>21.42445</v>
      </c>
      <c r="Q622">
        <v>52772</v>
      </c>
    </row>
    <row r="623" spans="1:17" x14ac:dyDescent="0.25">
      <c r="A623" t="s">
        <v>20</v>
      </c>
      <c r="B623">
        <v>32</v>
      </c>
      <c r="C623">
        <v>1.1200000000000001</v>
      </c>
      <c r="D623">
        <v>2002</v>
      </c>
      <c r="E623" t="s">
        <v>17</v>
      </c>
      <c r="F623">
        <v>2002059</v>
      </c>
      <c r="G623">
        <v>2002139</v>
      </c>
      <c r="H623">
        <v>5973</v>
      </c>
      <c r="I623">
        <v>828</v>
      </c>
      <c r="J623">
        <v>0</v>
      </c>
      <c r="K623">
        <v>370</v>
      </c>
      <c r="L623">
        <v>292</v>
      </c>
      <c r="M623">
        <v>125</v>
      </c>
      <c r="N623">
        <v>27.89039</v>
      </c>
      <c r="O623">
        <v>13.55546</v>
      </c>
      <c r="P623">
        <v>18.961120000000001</v>
      </c>
      <c r="Q623">
        <v>33943</v>
      </c>
    </row>
    <row r="624" spans="1:17" x14ac:dyDescent="0.25">
      <c r="A624" t="s">
        <v>20</v>
      </c>
      <c r="B624">
        <v>32</v>
      </c>
      <c r="C624">
        <v>1.1200000000000001</v>
      </c>
      <c r="D624">
        <v>2003</v>
      </c>
      <c r="E624" t="s">
        <v>17</v>
      </c>
      <c r="F624">
        <v>2003059</v>
      </c>
      <c r="G624">
        <v>2003138</v>
      </c>
      <c r="H624">
        <v>8044</v>
      </c>
      <c r="I624">
        <v>1460</v>
      </c>
      <c r="J624">
        <v>0</v>
      </c>
      <c r="K624">
        <v>233</v>
      </c>
      <c r="L624">
        <v>462</v>
      </c>
      <c r="M624">
        <v>125</v>
      </c>
      <c r="N624">
        <v>30.037109999999998</v>
      </c>
      <c r="O624">
        <v>14.62359</v>
      </c>
      <c r="P624">
        <v>20.686019999999999</v>
      </c>
      <c r="Q624">
        <v>59858</v>
      </c>
    </row>
    <row r="625" spans="1:17" x14ac:dyDescent="0.25">
      <c r="A625" t="s">
        <v>20</v>
      </c>
      <c r="B625">
        <v>32</v>
      </c>
      <c r="C625">
        <v>1.1200000000000001</v>
      </c>
      <c r="D625">
        <v>2004</v>
      </c>
      <c r="E625" t="s">
        <v>17</v>
      </c>
      <c r="F625">
        <v>2004059</v>
      </c>
      <c r="G625">
        <v>2004146</v>
      </c>
      <c r="H625">
        <v>10429</v>
      </c>
      <c r="I625">
        <v>2755</v>
      </c>
      <c r="J625">
        <v>0</v>
      </c>
      <c r="K625">
        <v>298</v>
      </c>
      <c r="L625">
        <v>405</v>
      </c>
      <c r="M625">
        <v>125</v>
      </c>
      <c r="N625">
        <v>29.151530000000001</v>
      </c>
      <c r="O625">
        <v>13.76463</v>
      </c>
      <c r="P625">
        <v>18.958939999999998</v>
      </c>
      <c r="Q625">
        <v>112960</v>
      </c>
    </row>
    <row r="626" spans="1:17" x14ac:dyDescent="0.25">
      <c r="A626" t="s">
        <v>20</v>
      </c>
      <c r="B626">
        <v>32</v>
      </c>
      <c r="C626">
        <v>1.1200000000000001</v>
      </c>
      <c r="D626">
        <v>2005</v>
      </c>
      <c r="E626" t="s">
        <v>17</v>
      </c>
      <c r="F626">
        <v>2005059</v>
      </c>
      <c r="G626">
        <v>2005138</v>
      </c>
      <c r="H626">
        <v>4564</v>
      </c>
      <c r="I626">
        <v>506</v>
      </c>
      <c r="J626">
        <v>0</v>
      </c>
      <c r="K626">
        <v>333</v>
      </c>
      <c r="L626">
        <v>204</v>
      </c>
      <c r="M626">
        <v>125</v>
      </c>
      <c r="N626">
        <v>29.697379999999999</v>
      </c>
      <c r="O626">
        <v>13.444100000000001</v>
      </c>
      <c r="P626">
        <v>20.934930000000001</v>
      </c>
      <c r="Q626">
        <v>20765</v>
      </c>
    </row>
    <row r="627" spans="1:17" x14ac:dyDescent="0.25">
      <c r="A627" t="s">
        <v>20</v>
      </c>
      <c r="B627">
        <v>32</v>
      </c>
      <c r="C627">
        <v>1.1200000000000001</v>
      </c>
      <c r="D627">
        <v>2006</v>
      </c>
      <c r="E627" t="s">
        <v>17</v>
      </c>
      <c r="F627">
        <v>2006059</v>
      </c>
      <c r="G627">
        <v>2006137</v>
      </c>
      <c r="H627">
        <v>6412</v>
      </c>
      <c r="I627">
        <v>747</v>
      </c>
      <c r="J627">
        <v>0</v>
      </c>
      <c r="K627">
        <v>281</v>
      </c>
      <c r="L627">
        <v>263</v>
      </c>
      <c r="M627">
        <v>125</v>
      </c>
      <c r="N627">
        <v>29.78558</v>
      </c>
      <c r="O627">
        <v>14.442360000000001</v>
      </c>
      <c r="P627">
        <v>18.966809999999999</v>
      </c>
      <c r="Q627">
        <v>30634</v>
      </c>
    </row>
    <row r="628" spans="1:17" x14ac:dyDescent="0.25">
      <c r="A628" t="s">
        <v>20</v>
      </c>
      <c r="B628">
        <v>32</v>
      </c>
      <c r="C628">
        <v>1.1200000000000001</v>
      </c>
      <c r="D628">
        <v>2007</v>
      </c>
      <c r="E628" t="s">
        <v>17</v>
      </c>
      <c r="F628">
        <v>2007059</v>
      </c>
      <c r="G628">
        <v>2007144</v>
      </c>
      <c r="H628">
        <v>9744</v>
      </c>
      <c r="I628">
        <v>2083</v>
      </c>
      <c r="J628">
        <v>0</v>
      </c>
      <c r="K628">
        <v>259</v>
      </c>
      <c r="L628">
        <v>354</v>
      </c>
      <c r="M628">
        <v>125</v>
      </c>
      <c r="N628">
        <v>28.350650000000002</v>
      </c>
      <c r="O628">
        <v>13.614420000000001</v>
      </c>
      <c r="P628">
        <v>21.151959999999999</v>
      </c>
      <c r="Q628">
        <v>85402</v>
      </c>
    </row>
    <row r="629" spans="1:17" x14ac:dyDescent="0.25">
      <c r="A629" t="s">
        <v>20</v>
      </c>
      <c r="B629">
        <v>32</v>
      </c>
      <c r="C629">
        <v>1.1200000000000001</v>
      </c>
      <c r="D629">
        <v>2008</v>
      </c>
      <c r="E629" t="s">
        <v>17</v>
      </c>
      <c r="F629">
        <v>2008059</v>
      </c>
      <c r="G629">
        <v>2008142</v>
      </c>
      <c r="H629">
        <v>9349</v>
      </c>
      <c r="I629">
        <v>1958</v>
      </c>
      <c r="J629">
        <v>0</v>
      </c>
      <c r="K629">
        <v>362</v>
      </c>
      <c r="L629">
        <v>319</v>
      </c>
      <c r="M629">
        <v>125</v>
      </c>
      <c r="N629">
        <v>28.67773</v>
      </c>
      <c r="O629">
        <v>13.022270000000001</v>
      </c>
      <c r="P629">
        <v>21.703499999999998</v>
      </c>
      <c r="Q629">
        <v>80287</v>
      </c>
    </row>
    <row r="630" spans="1:17" x14ac:dyDescent="0.25">
      <c r="A630" t="s">
        <v>20</v>
      </c>
      <c r="B630">
        <v>32</v>
      </c>
      <c r="C630">
        <v>1.1200000000000001</v>
      </c>
      <c r="D630">
        <v>2009</v>
      </c>
      <c r="E630" t="s">
        <v>17</v>
      </c>
      <c r="F630">
        <v>2009059</v>
      </c>
      <c r="G630">
        <v>2009141</v>
      </c>
      <c r="H630">
        <v>4208</v>
      </c>
      <c r="I630">
        <v>369</v>
      </c>
      <c r="J630">
        <v>0</v>
      </c>
      <c r="K630">
        <v>150</v>
      </c>
      <c r="L630">
        <v>293</v>
      </c>
      <c r="M630">
        <v>125</v>
      </c>
      <c r="N630">
        <v>29.812660000000001</v>
      </c>
      <c r="O630">
        <v>13.74803</v>
      </c>
      <c r="P630">
        <v>21.552399999999999</v>
      </c>
      <c r="Q630">
        <v>15142</v>
      </c>
    </row>
    <row r="631" spans="1:17" x14ac:dyDescent="0.25">
      <c r="A631" t="s">
        <v>20</v>
      </c>
      <c r="B631">
        <v>32</v>
      </c>
      <c r="C631">
        <v>1.1200000000000001</v>
      </c>
      <c r="D631">
        <v>2010</v>
      </c>
      <c r="E631" t="s">
        <v>18</v>
      </c>
      <c r="F631">
        <v>2010059</v>
      </c>
      <c r="G631">
        <v>2010135</v>
      </c>
      <c r="H631">
        <v>11156</v>
      </c>
      <c r="I631">
        <v>2802</v>
      </c>
      <c r="J631">
        <v>0</v>
      </c>
      <c r="K631">
        <v>316</v>
      </c>
      <c r="L631">
        <v>726</v>
      </c>
      <c r="M631">
        <v>125</v>
      </c>
      <c r="N631">
        <v>29.093879999999999</v>
      </c>
      <c r="O631">
        <v>14.128819999999999</v>
      </c>
      <c r="P631">
        <v>21.529250000000001</v>
      </c>
      <c r="Q631">
        <v>114890</v>
      </c>
    </row>
    <row r="632" spans="1:17" x14ac:dyDescent="0.25">
      <c r="A632" t="s">
        <v>20</v>
      </c>
      <c r="B632">
        <v>32</v>
      </c>
      <c r="C632">
        <v>1.1200000000000001</v>
      </c>
      <c r="D632">
        <v>2011</v>
      </c>
      <c r="E632" t="s">
        <v>18</v>
      </c>
      <c r="F632">
        <v>2011059</v>
      </c>
      <c r="G632">
        <v>2011131</v>
      </c>
      <c r="H632">
        <v>11508</v>
      </c>
      <c r="I632">
        <v>3383</v>
      </c>
      <c r="J632">
        <v>0</v>
      </c>
      <c r="K632">
        <v>171</v>
      </c>
      <c r="L632">
        <v>591</v>
      </c>
      <c r="M632">
        <v>125</v>
      </c>
      <c r="N632">
        <v>30.213090000000001</v>
      </c>
      <c r="O632">
        <v>14.58821</v>
      </c>
      <c r="P632">
        <v>22.010919999999999</v>
      </c>
      <c r="Q632">
        <v>138689</v>
      </c>
    </row>
    <row r="633" spans="1:17" x14ac:dyDescent="0.25">
      <c r="A633" t="s">
        <v>20</v>
      </c>
      <c r="B633">
        <v>32</v>
      </c>
      <c r="C633">
        <v>1.1200000000000001</v>
      </c>
      <c r="D633">
        <v>2012</v>
      </c>
      <c r="E633" t="s">
        <v>18</v>
      </c>
      <c r="F633">
        <v>2012059</v>
      </c>
      <c r="G633">
        <v>2012154</v>
      </c>
      <c r="H633">
        <v>2625</v>
      </c>
      <c r="I633">
        <v>730</v>
      </c>
      <c r="J633">
        <v>0</v>
      </c>
      <c r="K633">
        <v>284</v>
      </c>
      <c r="L633">
        <v>139</v>
      </c>
      <c r="M633">
        <v>125</v>
      </c>
      <c r="N633">
        <v>30.087769999999999</v>
      </c>
      <c r="O633">
        <v>13.49869</v>
      </c>
      <c r="P633">
        <v>22.329260000000001</v>
      </c>
      <c r="Q633">
        <v>29937</v>
      </c>
    </row>
    <row r="634" spans="1:17" x14ac:dyDescent="0.25">
      <c r="A634" t="s">
        <v>20</v>
      </c>
      <c r="B634">
        <v>32</v>
      </c>
      <c r="C634">
        <v>1.1200000000000001</v>
      </c>
      <c r="D634">
        <v>2013</v>
      </c>
      <c r="E634" t="s">
        <v>18</v>
      </c>
      <c r="F634">
        <v>2013059</v>
      </c>
      <c r="G634">
        <v>2013133</v>
      </c>
      <c r="H634">
        <v>8468</v>
      </c>
      <c r="I634">
        <v>1962</v>
      </c>
      <c r="J634">
        <v>0</v>
      </c>
      <c r="K634">
        <v>380</v>
      </c>
      <c r="L634">
        <v>443</v>
      </c>
      <c r="M634">
        <v>125</v>
      </c>
      <c r="N634">
        <v>28.73057</v>
      </c>
      <c r="O634">
        <v>13.66419</v>
      </c>
      <c r="P634">
        <v>21.820080000000001</v>
      </c>
      <c r="Q634">
        <v>80437</v>
      </c>
    </row>
    <row r="635" spans="1:17" x14ac:dyDescent="0.25">
      <c r="A635" t="s">
        <v>20</v>
      </c>
      <c r="B635">
        <v>32</v>
      </c>
      <c r="C635">
        <v>1.1200000000000001</v>
      </c>
      <c r="D635">
        <v>2014</v>
      </c>
      <c r="E635" t="s">
        <v>18</v>
      </c>
      <c r="F635">
        <v>2014059</v>
      </c>
      <c r="G635">
        <v>2014131</v>
      </c>
      <c r="H635">
        <v>4947</v>
      </c>
      <c r="I635">
        <v>827</v>
      </c>
      <c r="J635">
        <v>0</v>
      </c>
      <c r="K635">
        <v>284</v>
      </c>
      <c r="L635">
        <v>289</v>
      </c>
      <c r="M635">
        <v>125</v>
      </c>
      <c r="N635">
        <v>29.070309999999999</v>
      </c>
      <c r="O635">
        <v>13.98996</v>
      </c>
      <c r="P635">
        <v>23.211359999999999</v>
      </c>
      <c r="Q635">
        <v>33901</v>
      </c>
    </row>
    <row r="636" spans="1:17" x14ac:dyDescent="0.25">
      <c r="A636" t="s">
        <v>20</v>
      </c>
      <c r="B636">
        <v>32</v>
      </c>
      <c r="C636">
        <v>1.1200000000000001</v>
      </c>
      <c r="D636">
        <v>2015</v>
      </c>
      <c r="E636" t="s">
        <v>18</v>
      </c>
      <c r="F636">
        <v>2015059</v>
      </c>
      <c r="G636">
        <v>2015140</v>
      </c>
      <c r="H636">
        <v>3332</v>
      </c>
      <c r="I636">
        <v>704</v>
      </c>
      <c r="J636">
        <v>0</v>
      </c>
      <c r="K636">
        <v>150</v>
      </c>
      <c r="L636">
        <v>213</v>
      </c>
      <c r="M636">
        <v>125</v>
      </c>
      <c r="N636">
        <v>30.714849999999998</v>
      </c>
      <c r="O636">
        <v>14.063319999999999</v>
      </c>
      <c r="P636">
        <v>22.776420000000002</v>
      </c>
      <c r="Q636">
        <v>28872</v>
      </c>
    </row>
    <row r="637" spans="1:17" x14ac:dyDescent="0.25">
      <c r="A637" t="s">
        <v>20</v>
      </c>
      <c r="B637">
        <v>32</v>
      </c>
      <c r="C637">
        <v>1.1200000000000001</v>
      </c>
      <c r="D637">
        <v>2016</v>
      </c>
      <c r="E637" t="s">
        <v>18</v>
      </c>
      <c r="F637">
        <v>2016059</v>
      </c>
      <c r="G637">
        <v>2016139</v>
      </c>
      <c r="H637">
        <v>11923</v>
      </c>
      <c r="I637">
        <v>3825</v>
      </c>
      <c r="J637">
        <v>0</v>
      </c>
      <c r="K637">
        <v>352</v>
      </c>
      <c r="L637">
        <v>256</v>
      </c>
      <c r="M637">
        <v>125</v>
      </c>
      <c r="N637">
        <v>29.869</v>
      </c>
      <c r="O637">
        <v>13.90175</v>
      </c>
      <c r="P637">
        <v>21.99213</v>
      </c>
      <c r="Q637">
        <v>156822</v>
      </c>
    </row>
    <row r="638" spans="1:17" x14ac:dyDescent="0.25">
      <c r="A638" t="s">
        <v>20</v>
      </c>
      <c r="B638">
        <v>32</v>
      </c>
      <c r="C638">
        <v>1.1200000000000001</v>
      </c>
      <c r="D638">
        <v>2017</v>
      </c>
      <c r="E638" t="s">
        <v>18</v>
      </c>
      <c r="F638">
        <v>2017059</v>
      </c>
      <c r="G638">
        <v>2017130</v>
      </c>
      <c r="H638">
        <v>10489</v>
      </c>
      <c r="I638">
        <v>2180</v>
      </c>
      <c r="J638">
        <v>0</v>
      </c>
      <c r="K638">
        <v>245</v>
      </c>
      <c r="L638">
        <v>379</v>
      </c>
      <c r="M638">
        <v>125</v>
      </c>
      <c r="N638">
        <v>31.523579999999999</v>
      </c>
      <c r="O638">
        <v>14.26201</v>
      </c>
      <c r="P638">
        <v>23.358519999999999</v>
      </c>
      <c r="Q638">
        <v>89385</v>
      </c>
    </row>
    <row r="639" spans="1:17" x14ac:dyDescent="0.25">
      <c r="A639" t="s">
        <v>20</v>
      </c>
      <c r="B639">
        <v>32</v>
      </c>
      <c r="C639">
        <v>1.1200000000000001</v>
      </c>
      <c r="D639">
        <v>2018</v>
      </c>
      <c r="E639" t="s">
        <v>18</v>
      </c>
      <c r="F639">
        <v>2018059</v>
      </c>
      <c r="G639">
        <v>2018135</v>
      </c>
      <c r="H639">
        <v>7857</v>
      </c>
      <c r="I639">
        <v>1460</v>
      </c>
      <c r="J639">
        <v>0</v>
      </c>
      <c r="K639">
        <v>465</v>
      </c>
      <c r="L639">
        <v>200</v>
      </c>
      <c r="M639">
        <v>125</v>
      </c>
      <c r="N639">
        <v>28.944120000000002</v>
      </c>
      <c r="O639">
        <v>14.286899999999999</v>
      </c>
      <c r="P639">
        <v>22.76071</v>
      </c>
      <c r="Q639">
        <v>59853</v>
      </c>
    </row>
    <row r="640" spans="1:17" x14ac:dyDescent="0.25">
      <c r="A640" t="s">
        <v>20</v>
      </c>
      <c r="B640">
        <v>32</v>
      </c>
      <c r="C640">
        <v>1.1200000000000001</v>
      </c>
      <c r="D640">
        <v>2019</v>
      </c>
      <c r="E640" t="s">
        <v>18</v>
      </c>
      <c r="F640">
        <v>2019059</v>
      </c>
      <c r="G640">
        <v>2019135</v>
      </c>
      <c r="H640">
        <v>3858</v>
      </c>
      <c r="I640">
        <v>679</v>
      </c>
      <c r="J640">
        <v>0</v>
      </c>
      <c r="K640">
        <v>99</v>
      </c>
      <c r="L640">
        <v>284</v>
      </c>
      <c r="M640">
        <v>125</v>
      </c>
      <c r="N640">
        <v>30.387329999999999</v>
      </c>
      <c r="O640">
        <v>13.719659999999999</v>
      </c>
      <c r="P640">
        <v>24.60961</v>
      </c>
      <c r="Q640">
        <v>27823</v>
      </c>
    </row>
    <row r="641" spans="1:17" x14ac:dyDescent="0.25">
      <c r="A641" t="s">
        <v>20</v>
      </c>
      <c r="B641">
        <v>32</v>
      </c>
      <c r="C641">
        <v>1.1200000000000001</v>
      </c>
      <c r="D641">
        <v>2020</v>
      </c>
      <c r="E641" t="s">
        <v>18</v>
      </c>
      <c r="F641">
        <v>2020059</v>
      </c>
      <c r="G641">
        <v>2020143</v>
      </c>
      <c r="H641">
        <v>4996</v>
      </c>
      <c r="I641">
        <v>781</v>
      </c>
      <c r="J641">
        <v>0</v>
      </c>
      <c r="K641">
        <v>244</v>
      </c>
      <c r="L641">
        <v>307</v>
      </c>
      <c r="M641">
        <v>125</v>
      </c>
      <c r="N641">
        <v>30.297820000000002</v>
      </c>
      <c r="O641">
        <v>14.832319999999999</v>
      </c>
      <c r="P641">
        <v>23.80349</v>
      </c>
      <c r="Q641">
        <v>32022</v>
      </c>
    </row>
    <row r="642" spans="1:17" x14ac:dyDescent="0.25">
      <c r="A642" t="s">
        <v>20</v>
      </c>
      <c r="B642">
        <v>33</v>
      </c>
      <c r="C642">
        <v>1.5</v>
      </c>
      <c r="D642">
        <v>2001</v>
      </c>
      <c r="E642" t="s">
        <v>17</v>
      </c>
      <c r="F642">
        <v>2001074</v>
      </c>
      <c r="G642">
        <v>2001144</v>
      </c>
      <c r="H642">
        <v>6581</v>
      </c>
      <c r="I642">
        <v>1013</v>
      </c>
      <c r="J642">
        <v>0</v>
      </c>
      <c r="K642">
        <v>283</v>
      </c>
      <c r="L642">
        <v>235</v>
      </c>
      <c r="M642">
        <v>125</v>
      </c>
      <c r="N642">
        <v>31.06963</v>
      </c>
      <c r="O642">
        <v>15.927099999999999</v>
      </c>
      <c r="P642">
        <v>22.26962</v>
      </c>
      <c r="Q642">
        <v>37465</v>
      </c>
    </row>
    <row r="643" spans="1:17" x14ac:dyDescent="0.25">
      <c r="A643" t="s">
        <v>20</v>
      </c>
      <c r="B643">
        <v>33</v>
      </c>
      <c r="C643">
        <v>1.5</v>
      </c>
      <c r="D643">
        <v>2002</v>
      </c>
      <c r="E643" t="s">
        <v>17</v>
      </c>
      <c r="F643">
        <v>2002074</v>
      </c>
      <c r="G643">
        <v>2002149</v>
      </c>
      <c r="H643">
        <v>5251</v>
      </c>
      <c r="I643">
        <v>646</v>
      </c>
      <c r="J643">
        <v>0</v>
      </c>
      <c r="K643">
        <v>370</v>
      </c>
      <c r="L643">
        <v>292</v>
      </c>
      <c r="M643">
        <v>125</v>
      </c>
      <c r="N643">
        <v>28.6313</v>
      </c>
      <c r="O643">
        <v>14.017289999999999</v>
      </c>
      <c r="P643">
        <v>19.482240000000001</v>
      </c>
      <c r="Q643">
        <v>23894</v>
      </c>
    </row>
    <row r="644" spans="1:17" x14ac:dyDescent="0.25">
      <c r="A644" t="s">
        <v>20</v>
      </c>
      <c r="B644">
        <v>33</v>
      </c>
      <c r="C644">
        <v>1.5</v>
      </c>
      <c r="D644">
        <v>2003</v>
      </c>
      <c r="E644" t="s">
        <v>17</v>
      </c>
      <c r="F644">
        <v>2003074</v>
      </c>
      <c r="G644">
        <v>2003146</v>
      </c>
      <c r="H644">
        <v>6435</v>
      </c>
      <c r="I644">
        <v>1109</v>
      </c>
      <c r="J644">
        <v>0</v>
      </c>
      <c r="K644">
        <v>233</v>
      </c>
      <c r="L644">
        <v>462</v>
      </c>
      <c r="M644">
        <v>125</v>
      </c>
      <c r="N644">
        <v>30.571020000000001</v>
      </c>
      <c r="O644">
        <v>15.18085</v>
      </c>
      <c r="P644">
        <v>21.02289</v>
      </c>
      <c r="Q644">
        <v>41035</v>
      </c>
    </row>
    <row r="645" spans="1:17" x14ac:dyDescent="0.25">
      <c r="A645" t="s">
        <v>20</v>
      </c>
      <c r="B645">
        <v>33</v>
      </c>
      <c r="C645">
        <v>1.5</v>
      </c>
      <c r="D645">
        <v>2004</v>
      </c>
      <c r="E645" t="s">
        <v>17</v>
      </c>
      <c r="F645">
        <v>2004074</v>
      </c>
      <c r="G645">
        <v>2004153</v>
      </c>
      <c r="H645">
        <v>9278</v>
      </c>
      <c r="I645">
        <v>2318</v>
      </c>
      <c r="J645">
        <v>0</v>
      </c>
      <c r="K645">
        <v>298</v>
      </c>
      <c r="L645">
        <v>405</v>
      </c>
      <c r="M645">
        <v>125</v>
      </c>
      <c r="N645">
        <v>29.95234</v>
      </c>
      <c r="O645">
        <v>14.379440000000001</v>
      </c>
      <c r="P645">
        <v>19.440639999999998</v>
      </c>
      <c r="Q645">
        <v>85758</v>
      </c>
    </row>
    <row r="646" spans="1:17" x14ac:dyDescent="0.25">
      <c r="A646" t="s">
        <v>20</v>
      </c>
      <c r="B646">
        <v>33</v>
      </c>
      <c r="C646">
        <v>1.5</v>
      </c>
      <c r="D646">
        <v>2005</v>
      </c>
      <c r="E646" t="s">
        <v>17</v>
      </c>
      <c r="F646">
        <v>2005074</v>
      </c>
      <c r="G646">
        <v>2005150</v>
      </c>
      <c r="H646">
        <v>3978</v>
      </c>
      <c r="I646">
        <v>445</v>
      </c>
      <c r="J646">
        <v>0</v>
      </c>
      <c r="K646">
        <v>333</v>
      </c>
      <c r="L646">
        <v>204</v>
      </c>
      <c r="M646">
        <v>125</v>
      </c>
      <c r="N646">
        <v>30.699059999999999</v>
      </c>
      <c r="O646">
        <v>14.20327</v>
      </c>
      <c r="P646">
        <v>21.599989999999998</v>
      </c>
      <c r="Q646">
        <v>16450</v>
      </c>
    </row>
    <row r="647" spans="1:17" x14ac:dyDescent="0.25">
      <c r="A647" t="s">
        <v>20</v>
      </c>
      <c r="B647">
        <v>33</v>
      </c>
      <c r="C647">
        <v>1.5</v>
      </c>
      <c r="D647">
        <v>2006</v>
      </c>
      <c r="E647" t="s">
        <v>17</v>
      </c>
      <c r="F647">
        <v>2006074</v>
      </c>
      <c r="G647">
        <v>2006143</v>
      </c>
      <c r="H647">
        <v>5365</v>
      </c>
      <c r="I647">
        <v>655</v>
      </c>
      <c r="J647">
        <v>0</v>
      </c>
      <c r="K647">
        <v>281</v>
      </c>
      <c r="L647">
        <v>263</v>
      </c>
      <c r="M647">
        <v>125</v>
      </c>
      <c r="N647">
        <v>30.602329999999998</v>
      </c>
      <c r="O647">
        <v>15.16169</v>
      </c>
      <c r="P647">
        <v>19.266359999999999</v>
      </c>
      <c r="Q647">
        <v>24229</v>
      </c>
    </row>
    <row r="648" spans="1:17" x14ac:dyDescent="0.25">
      <c r="A648" t="s">
        <v>20</v>
      </c>
      <c r="B648">
        <v>33</v>
      </c>
      <c r="C648">
        <v>1.5</v>
      </c>
      <c r="D648">
        <v>2007</v>
      </c>
      <c r="E648" t="s">
        <v>17</v>
      </c>
      <c r="F648">
        <v>2007074</v>
      </c>
      <c r="G648">
        <v>2007155</v>
      </c>
      <c r="H648">
        <v>7737</v>
      </c>
      <c r="I648">
        <v>1290</v>
      </c>
      <c r="J648">
        <v>0</v>
      </c>
      <c r="K648">
        <v>259</v>
      </c>
      <c r="L648">
        <v>354</v>
      </c>
      <c r="M648">
        <v>125</v>
      </c>
      <c r="N648">
        <v>28.857479999999999</v>
      </c>
      <c r="O648">
        <v>14.222429999999999</v>
      </c>
      <c r="P648">
        <v>21.4757</v>
      </c>
      <c r="Q648">
        <v>47748</v>
      </c>
    </row>
    <row r="649" spans="1:17" x14ac:dyDescent="0.25">
      <c r="A649" t="s">
        <v>20</v>
      </c>
      <c r="B649">
        <v>33</v>
      </c>
      <c r="C649">
        <v>1.5</v>
      </c>
      <c r="D649">
        <v>2008</v>
      </c>
      <c r="E649" t="s">
        <v>17</v>
      </c>
      <c r="F649">
        <v>2008074</v>
      </c>
      <c r="G649">
        <v>2008154</v>
      </c>
      <c r="H649">
        <v>8019</v>
      </c>
      <c r="I649">
        <v>1256</v>
      </c>
      <c r="J649">
        <v>0</v>
      </c>
      <c r="K649">
        <v>362</v>
      </c>
      <c r="L649">
        <v>319</v>
      </c>
      <c r="M649">
        <v>125</v>
      </c>
      <c r="N649">
        <v>29.236910000000002</v>
      </c>
      <c r="O649">
        <v>13.58972</v>
      </c>
      <c r="P649">
        <v>22.102340000000002</v>
      </c>
      <c r="Q649">
        <v>46481</v>
      </c>
    </row>
    <row r="650" spans="1:17" x14ac:dyDescent="0.25">
      <c r="A650" t="s">
        <v>20</v>
      </c>
      <c r="B650">
        <v>33</v>
      </c>
      <c r="C650">
        <v>1.5</v>
      </c>
      <c r="D650">
        <v>2009</v>
      </c>
      <c r="E650" t="s">
        <v>17</v>
      </c>
      <c r="F650">
        <v>2009074</v>
      </c>
      <c r="G650">
        <v>2009150</v>
      </c>
      <c r="H650">
        <v>3781</v>
      </c>
      <c r="I650">
        <v>366</v>
      </c>
      <c r="J650">
        <v>0</v>
      </c>
      <c r="K650">
        <v>150</v>
      </c>
      <c r="L650">
        <v>293</v>
      </c>
      <c r="M650">
        <v>125</v>
      </c>
      <c r="N650">
        <v>30.52196</v>
      </c>
      <c r="O650">
        <v>14.16962</v>
      </c>
      <c r="P650">
        <v>22.20654</v>
      </c>
      <c r="Q650">
        <v>13540</v>
      </c>
    </row>
    <row r="651" spans="1:17" x14ac:dyDescent="0.25">
      <c r="A651" t="s">
        <v>20</v>
      </c>
      <c r="B651">
        <v>33</v>
      </c>
      <c r="C651">
        <v>1.5</v>
      </c>
      <c r="D651">
        <v>2010</v>
      </c>
      <c r="E651" t="s">
        <v>17</v>
      </c>
      <c r="F651">
        <v>2010074</v>
      </c>
      <c r="G651">
        <v>2010148</v>
      </c>
      <c r="H651">
        <v>9135</v>
      </c>
      <c r="I651">
        <v>2064</v>
      </c>
      <c r="J651">
        <v>0</v>
      </c>
      <c r="K651">
        <v>316</v>
      </c>
      <c r="L651">
        <v>726</v>
      </c>
      <c r="M651">
        <v>125</v>
      </c>
      <c r="N651">
        <v>30.038309999999999</v>
      </c>
      <c r="O651">
        <v>14.676170000000001</v>
      </c>
      <c r="P651">
        <v>22.18364</v>
      </c>
      <c r="Q651">
        <v>76368</v>
      </c>
    </row>
    <row r="652" spans="1:17" x14ac:dyDescent="0.25">
      <c r="A652" t="s">
        <v>20</v>
      </c>
      <c r="B652">
        <v>33</v>
      </c>
      <c r="C652">
        <v>1.5</v>
      </c>
      <c r="D652">
        <v>2011</v>
      </c>
      <c r="E652" t="s">
        <v>17</v>
      </c>
      <c r="F652">
        <v>2011074</v>
      </c>
      <c r="G652">
        <v>2011142</v>
      </c>
      <c r="H652">
        <v>9553</v>
      </c>
      <c r="I652">
        <v>2320</v>
      </c>
      <c r="J652">
        <v>0</v>
      </c>
      <c r="K652">
        <v>171</v>
      </c>
      <c r="L652">
        <v>591</v>
      </c>
      <c r="M652">
        <v>125</v>
      </c>
      <c r="N652">
        <v>31.206060000000001</v>
      </c>
      <c r="O652">
        <v>15.176640000000001</v>
      </c>
      <c r="P652">
        <v>22.789249999999999</v>
      </c>
      <c r="Q652">
        <v>85835</v>
      </c>
    </row>
    <row r="653" spans="1:17" x14ac:dyDescent="0.25">
      <c r="A653" t="s">
        <v>20</v>
      </c>
      <c r="B653">
        <v>33</v>
      </c>
      <c r="C653">
        <v>1.5</v>
      </c>
      <c r="D653">
        <v>2012</v>
      </c>
      <c r="E653" t="s">
        <v>18</v>
      </c>
      <c r="F653">
        <v>2012074</v>
      </c>
      <c r="G653">
        <v>2012154</v>
      </c>
      <c r="H653">
        <v>2584</v>
      </c>
      <c r="I653">
        <v>717</v>
      </c>
      <c r="J653">
        <v>0</v>
      </c>
      <c r="K653">
        <v>284</v>
      </c>
      <c r="L653">
        <v>139</v>
      </c>
      <c r="M653">
        <v>125</v>
      </c>
      <c r="N653">
        <v>30.698139999999999</v>
      </c>
      <c r="O653">
        <v>14.224299999999999</v>
      </c>
      <c r="P653">
        <v>22.68084</v>
      </c>
      <c r="Q653">
        <v>26519</v>
      </c>
    </row>
    <row r="654" spans="1:17" x14ac:dyDescent="0.25">
      <c r="A654" t="s">
        <v>20</v>
      </c>
      <c r="B654">
        <v>33</v>
      </c>
      <c r="C654">
        <v>1.5</v>
      </c>
      <c r="D654">
        <v>2013</v>
      </c>
      <c r="E654" t="s">
        <v>18</v>
      </c>
      <c r="F654">
        <v>2013074</v>
      </c>
      <c r="G654">
        <v>2013145</v>
      </c>
      <c r="H654">
        <v>7717</v>
      </c>
      <c r="I654">
        <v>1299</v>
      </c>
      <c r="J654">
        <v>0</v>
      </c>
      <c r="K654">
        <v>380</v>
      </c>
      <c r="L654">
        <v>443</v>
      </c>
      <c r="M654">
        <v>125</v>
      </c>
      <c r="N654">
        <v>29.651399999999999</v>
      </c>
      <c r="O654">
        <v>14.071490000000001</v>
      </c>
      <c r="P654">
        <v>22.647189999999998</v>
      </c>
      <c r="Q654">
        <v>48051</v>
      </c>
    </row>
    <row r="655" spans="1:17" x14ac:dyDescent="0.25">
      <c r="A655" t="s">
        <v>20</v>
      </c>
      <c r="B655">
        <v>33</v>
      </c>
      <c r="C655">
        <v>1.5</v>
      </c>
      <c r="D655">
        <v>2014</v>
      </c>
      <c r="E655" t="s">
        <v>18</v>
      </c>
      <c r="F655">
        <v>2014074</v>
      </c>
      <c r="G655">
        <v>2014137</v>
      </c>
      <c r="H655">
        <v>4030</v>
      </c>
      <c r="I655">
        <v>557</v>
      </c>
      <c r="J655">
        <v>0</v>
      </c>
      <c r="K655">
        <v>284</v>
      </c>
      <c r="L655">
        <v>289</v>
      </c>
      <c r="M655">
        <v>125</v>
      </c>
      <c r="N655">
        <v>29.733180000000001</v>
      </c>
      <c r="O655">
        <v>14.53318</v>
      </c>
      <c r="P655">
        <v>23.715890000000002</v>
      </c>
      <c r="Q655">
        <v>20611</v>
      </c>
    </row>
    <row r="656" spans="1:17" x14ac:dyDescent="0.25">
      <c r="A656" t="s">
        <v>20</v>
      </c>
      <c r="B656">
        <v>33</v>
      </c>
      <c r="C656">
        <v>1.5</v>
      </c>
      <c r="D656">
        <v>2015</v>
      </c>
      <c r="E656" t="s">
        <v>18</v>
      </c>
      <c r="F656">
        <v>2015074</v>
      </c>
      <c r="G656">
        <v>2015140</v>
      </c>
      <c r="H656">
        <v>3193</v>
      </c>
      <c r="I656">
        <v>604</v>
      </c>
      <c r="J656">
        <v>0</v>
      </c>
      <c r="K656">
        <v>150</v>
      </c>
      <c r="L656">
        <v>213</v>
      </c>
      <c r="M656">
        <v>125</v>
      </c>
      <c r="N656">
        <v>31.259810000000002</v>
      </c>
      <c r="O656">
        <v>14.78552</v>
      </c>
      <c r="P656">
        <v>23.029440000000001</v>
      </c>
      <c r="Q656">
        <v>22345</v>
      </c>
    </row>
    <row r="657" spans="1:17" x14ac:dyDescent="0.25">
      <c r="A657" t="s">
        <v>20</v>
      </c>
      <c r="B657">
        <v>33</v>
      </c>
      <c r="C657">
        <v>1.5</v>
      </c>
      <c r="D657">
        <v>2016</v>
      </c>
      <c r="E657" t="s">
        <v>18</v>
      </c>
      <c r="F657">
        <v>2016074</v>
      </c>
      <c r="G657">
        <v>2016147</v>
      </c>
      <c r="H657">
        <v>9463</v>
      </c>
      <c r="I657">
        <v>2321</v>
      </c>
      <c r="J657">
        <v>0</v>
      </c>
      <c r="K657">
        <v>352</v>
      </c>
      <c r="L657">
        <v>256</v>
      </c>
      <c r="M657">
        <v>125</v>
      </c>
      <c r="N657">
        <v>30.675709999999999</v>
      </c>
      <c r="O657">
        <v>14.730370000000001</v>
      </c>
      <c r="P657">
        <v>22.217749999999999</v>
      </c>
      <c r="Q657">
        <v>85882</v>
      </c>
    </row>
    <row r="658" spans="1:17" x14ac:dyDescent="0.25">
      <c r="A658" t="s">
        <v>20</v>
      </c>
      <c r="B658">
        <v>33</v>
      </c>
      <c r="C658">
        <v>1.5</v>
      </c>
      <c r="D658">
        <v>2017</v>
      </c>
      <c r="E658" t="s">
        <v>18</v>
      </c>
      <c r="F658">
        <v>2017074</v>
      </c>
      <c r="G658">
        <v>2017140</v>
      </c>
      <c r="H658">
        <v>9316</v>
      </c>
      <c r="I658">
        <v>1955</v>
      </c>
      <c r="J658">
        <v>0</v>
      </c>
      <c r="K658">
        <v>245</v>
      </c>
      <c r="L658">
        <v>379</v>
      </c>
      <c r="M658">
        <v>125</v>
      </c>
      <c r="N658">
        <v>32.290179999999999</v>
      </c>
      <c r="O658">
        <v>14.770099999999999</v>
      </c>
      <c r="P658">
        <v>24.0014</v>
      </c>
      <c r="Q658">
        <v>72317</v>
      </c>
    </row>
    <row r="659" spans="1:17" x14ac:dyDescent="0.25">
      <c r="A659" t="s">
        <v>20</v>
      </c>
      <c r="B659">
        <v>33</v>
      </c>
      <c r="C659">
        <v>1.5</v>
      </c>
      <c r="D659">
        <v>2018</v>
      </c>
      <c r="E659" t="s">
        <v>18</v>
      </c>
      <c r="F659">
        <v>2018074</v>
      </c>
      <c r="G659">
        <v>2018146</v>
      </c>
      <c r="H659">
        <v>6170</v>
      </c>
      <c r="I659">
        <v>834</v>
      </c>
      <c r="J659">
        <v>0</v>
      </c>
      <c r="K659">
        <v>465</v>
      </c>
      <c r="L659">
        <v>200</v>
      </c>
      <c r="M659">
        <v>125</v>
      </c>
      <c r="N659">
        <v>29.77711</v>
      </c>
      <c r="O659">
        <v>14.571490000000001</v>
      </c>
      <c r="P659">
        <v>23.717770000000002</v>
      </c>
      <c r="Q659">
        <v>30872</v>
      </c>
    </row>
    <row r="660" spans="1:17" x14ac:dyDescent="0.25">
      <c r="A660" t="s">
        <v>20</v>
      </c>
      <c r="B660">
        <v>33</v>
      </c>
      <c r="C660">
        <v>1.5</v>
      </c>
      <c r="D660">
        <v>2019</v>
      </c>
      <c r="E660" t="s">
        <v>18</v>
      </c>
      <c r="F660">
        <v>2019074</v>
      </c>
      <c r="G660">
        <v>2019152</v>
      </c>
      <c r="H660">
        <v>3095</v>
      </c>
      <c r="I660">
        <v>520</v>
      </c>
      <c r="J660">
        <v>0</v>
      </c>
      <c r="K660">
        <v>99</v>
      </c>
      <c r="L660">
        <v>284</v>
      </c>
      <c r="M660">
        <v>125</v>
      </c>
      <c r="N660">
        <v>30.988309999999998</v>
      </c>
      <c r="O660">
        <v>14.28505</v>
      </c>
      <c r="P660">
        <v>25.11777</v>
      </c>
      <c r="Q660">
        <v>19230</v>
      </c>
    </row>
    <row r="661" spans="1:17" x14ac:dyDescent="0.25">
      <c r="A661" t="s">
        <v>20</v>
      </c>
      <c r="B661">
        <v>33</v>
      </c>
      <c r="C661">
        <v>1.5</v>
      </c>
      <c r="D661">
        <v>2020</v>
      </c>
      <c r="E661" t="s">
        <v>18</v>
      </c>
      <c r="F661">
        <v>2020074</v>
      </c>
      <c r="G661">
        <v>2020143</v>
      </c>
      <c r="H661">
        <v>5012</v>
      </c>
      <c r="I661">
        <v>760</v>
      </c>
      <c r="J661">
        <v>0</v>
      </c>
      <c r="K661">
        <v>244</v>
      </c>
      <c r="L661">
        <v>307</v>
      </c>
      <c r="M661">
        <v>125</v>
      </c>
      <c r="N661">
        <v>30.872890000000002</v>
      </c>
      <c r="O661">
        <v>15.42337</v>
      </c>
      <c r="P661">
        <v>24.29813</v>
      </c>
      <c r="Q661">
        <v>28120</v>
      </c>
    </row>
    <row r="662" spans="1:17" x14ac:dyDescent="0.25">
      <c r="A662" t="s">
        <v>20</v>
      </c>
      <c r="B662">
        <v>34</v>
      </c>
      <c r="C662">
        <v>1.47</v>
      </c>
      <c r="D662">
        <v>2001</v>
      </c>
      <c r="E662" t="s">
        <v>17</v>
      </c>
      <c r="F662">
        <v>2001074</v>
      </c>
      <c r="G662">
        <v>2001144</v>
      </c>
      <c r="H662">
        <v>7872</v>
      </c>
      <c r="I662">
        <v>1599</v>
      </c>
      <c r="J662">
        <v>0</v>
      </c>
      <c r="K662">
        <v>283</v>
      </c>
      <c r="L662">
        <v>235</v>
      </c>
      <c r="M662">
        <v>100</v>
      </c>
      <c r="N662">
        <v>31.06963</v>
      </c>
      <c r="O662">
        <v>15.927099999999999</v>
      </c>
      <c r="P662">
        <v>22.26962</v>
      </c>
      <c r="Q662">
        <v>59173</v>
      </c>
    </row>
    <row r="663" spans="1:17" x14ac:dyDescent="0.25">
      <c r="A663" t="s">
        <v>20</v>
      </c>
      <c r="B663">
        <v>34</v>
      </c>
      <c r="C663">
        <v>1.47</v>
      </c>
      <c r="D663">
        <v>2002</v>
      </c>
      <c r="E663" t="s">
        <v>17</v>
      </c>
      <c r="F663">
        <v>2002074</v>
      </c>
      <c r="G663">
        <v>2002149</v>
      </c>
      <c r="H663">
        <v>5972</v>
      </c>
      <c r="I663">
        <v>875</v>
      </c>
      <c r="J663">
        <v>0</v>
      </c>
      <c r="K663">
        <v>370</v>
      </c>
      <c r="L663">
        <v>292</v>
      </c>
      <c r="M663">
        <v>100</v>
      </c>
      <c r="N663">
        <v>28.6313</v>
      </c>
      <c r="O663">
        <v>14.017289999999999</v>
      </c>
      <c r="P663">
        <v>19.482240000000001</v>
      </c>
      <c r="Q663">
        <v>32379</v>
      </c>
    </row>
    <row r="664" spans="1:17" x14ac:dyDescent="0.25">
      <c r="A664" t="s">
        <v>20</v>
      </c>
      <c r="B664">
        <v>34</v>
      </c>
      <c r="C664">
        <v>1.47</v>
      </c>
      <c r="D664">
        <v>2003</v>
      </c>
      <c r="E664" t="s">
        <v>17</v>
      </c>
      <c r="F664">
        <v>2003074</v>
      </c>
      <c r="G664">
        <v>2003146</v>
      </c>
      <c r="H664">
        <v>8619</v>
      </c>
      <c r="I664">
        <v>1976</v>
      </c>
      <c r="J664">
        <v>0</v>
      </c>
      <c r="K664">
        <v>233</v>
      </c>
      <c r="L664">
        <v>462</v>
      </c>
      <c r="M664">
        <v>100</v>
      </c>
      <c r="N664">
        <v>30.571020000000001</v>
      </c>
      <c r="O664">
        <v>15.18085</v>
      </c>
      <c r="P664">
        <v>21.02289</v>
      </c>
      <c r="Q664">
        <v>73123</v>
      </c>
    </row>
    <row r="665" spans="1:17" x14ac:dyDescent="0.25">
      <c r="A665" t="s">
        <v>20</v>
      </c>
      <c r="B665">
        <v>34</v>
      </c>
      <c r="C665">
        <v>1.47</v>
      </c>
      <c r="D665">
        <v>2004</v>
      </c>
      <c r="E665" t="s">
        <v>17</v>
      </c>
      <c r="F665">
        <v>2004074</v>
      </c>
      <c r="G665">
        <v>2004153</v>
      </c>
      <c r="H665">
        <v>10401</v>
      </c>
      <c r="I665">
        <v>3143</v>
      </c>
      <c r="J665">
        <v>0</v>
      </c>
      <c r="K665">
        <v>298</v>
      </c>
      <c r="L665">
        <v>405</v>
      </c>
      <c r="M665">
        <v>100</v>
      </c>
      <c r="N665">
        <v>29.95234</v>
      </c>
      <c r="O665">
        <v>14.379440000000001</v>
      </c>
      <c r="P665">
        <v>19.440639999999998</v>
      </c>
      <c r="Q665">
        <v>116277</v>
      </c>
    </row>
    <row r="666" spans="1:17" x14ac:dyDescent="0.25">
      <c r="A666" t="s">
        <v>20</v>
      </c>
      <c r="B666">
        <v>34</v>
      </c>
      <c r="C666">
        <v>1.47</v>
      </c>
      <c r="D666">
        <v>2005</v>
      </c>
      <c r="E666" t="s">
        <v>17</v>
      </c>
      <c r="F666">
        <v>2005074</v>
      </c>
      <c r="G666">
        <v>2005150</v>
      </c>
      <c r="H666">
        <v>4104</v>
      </c>
      <c r="I666">
        <v>576</v>
      </c>
      <c r="J666">
        <v>0</v>
      </c>
      <c r="K666">
        <v>333</v>
      </c>
      <c r="L666">
        <v>204</v>
      </c>
      <c r="M666">
        <v>100</v>
      </c>
      <c r="N666">
        <v>30.699059999999999</v>
      </c>
      <c r="O666">
        <v>14.20327</v>
      </c>
      <c r="P666">
        <v>21.599989999999998</v>
      </c>
      <c r="Q666">
        <v>21309</v>
      </c>
    </row>
    <row r="667" spans="1:17" x14ac:dyDescent="0.25">
      <c r="A667" t="s">
        <v>20</v>
      </c>
      <c r="B667">
        <v>34</v>
      </c>
      <c r="C667">
        <v>1.47</v>
      </c>
      <c r="D667">
        <v>2006</v>
      </c>
      <c r="E667" t="s">
        <v>17</v>
      </c>
      <c r="F667">
        <v>2006074</v>
      </c>
      <c r="G667">
        <v>2006143</v>
      </c>
      <c r="H667">
        <v>5561</v>
      </c>
      <c r="I667">
        <v>808</v>
      </c>
      <c r="J667">
        <v>0</v>
      </c>
      <c r="K667">
        <v>281</v>
      </c>
      <c r="L667">
        <v>263</v>
      </c>
      <c r="M667">
        <v>100</v>
      </c>
      <c r="N667">
        <v>30.602329999999998</v>
      </c>
      <c r="O667">
        <v>15.16169</v>
      </c>
      <c r="P667">
        <v>19.266359999999999</v>
      </c>
      <c r="Q667">
        <v>29903</v>
      </c>
    </row>
    <row r="668" spans="1:17" x14ac:dyDescent="0.25">
      <c r="A668" t="s">
        <v>20</v>
      </c>
      <c r="B668">
        <v>34</v>
      </c>
      <c r="C668">
        <v>1.47</v>
      </c>
      <c r="D668">
        <v>2007</v>
      </c>
      <c r="E668" t="s">
        <v>17</v>
      </c>
      <c r="F668">
        <v>2007074</v>
      </c>
      <c r="G668">
        <v>2007155</v>
      </c>
      <c r="H668">
        <v>8123</v>
      </c>
      <c r="I668">
        <v>1531</v>
      </c>
      <c r="J668">
        <v>0</v>
      </c>
      <c r="K668">
        <v>259</v>
      </c>
      <c r="L668">
        <v>354</v>
      </c>
      <c r="M668">
        <v>100</v>
      </c>
      <c r="N668">
        <v>28.857479999999999</v>
      </c>
      <c r="O668">
        <v>14.222429999999999</v>
      </c>
      <c r="P668">
        <v>21.4757</v>
      </c>
      <c r="Q668">
        <v>56657</v>
      </c>
    </row>
    <row r="669" spans="1:17" x14ac:dyDescent="0.25">
      <c r="A669" t="s">
        <v>20</v>
      </c>
      <c r="B669">
        <v>34</v>
      </c>
      <c r="C669">
        <v>1.47</v>
      </c>
      <c r="D669">
        <v>2008</v>
      </c>
      <c r="E669" t="s">
        <v>17</v>
      </c>
      <c r="F669">
        <v>2008074</v>
      </c>
      <c r="G669">
        <v>2008154</v>
      </c>
      <c r="H669">
        <v>8589</v>
      </c>
      <c r="I669">
        <v>1657</v>
      </c>
      <c r="J669">
        <v>0</v>
      </c>
      <c r="K669">
        <v>362</v>
      </c>
      <c r="L669">
        <v>319</v>
      </c>
      <c r="M669">
        <v>100</v>
      </c>
      <c r="N669">
        <v>29.236910000000002</v>
      </c>
      <c r="O669">
        <v>13.58972</v>
      </c>
      <c r="P669">
        <v>22.102340000000002</v>
      </c>
      <c r="Q669">
        <v>61296</v>
      </c>
    </row>
    <row r="670" spans="1:17" x14ac:dyDescent="0.25">
      <c r="A670" t="s">
        <v>20</v>
      </c>
      <c r="B670">
        <v>34</v>
      </c>
      <c r="C670">
        <v>1.47</v>
      </c>
      <c r="D670">
        <v>2009</v>
      </c>
      <c r="E670" t="s">
        <v>17</v>
      </c>
      <c r="F670">
        <v>2009074</v>
      </c>
      <c r="G670">
        <v>2009150</v>
      </c>
      <c r="H670">
        <v>3949</v>
      </c>
      <c r="I670">
        <v>479</v>
      </c>
      <c r="J670">
        <v>0</v>
      </c>
      <c r="K670">
        <v>150</v>
      </c>
      <c r="L670">
        <v>293</v>
      </c>
      <c r="M670">
        <v>100</v>
      </c>
      <c r="N670">
        <v>30.52196</v>
      </c>
      <c r="O670">
        <v>14.16962</v>
      </c>
      <c r="P670">
        <v>22.20654</v>
      </c>
      <c r="Q670">
        <v>17736</v>
      </c>
    </row>
    <row r="671" spans="1:17" x14ac:dyDescent="0.25">
      <c r="A671" t="s">
        <v>20</v>
      </c>
      <c r="B671">
        <v>34</v>
      </c>
      <c r="C671">
        <v>1.47</v>
      </c>
      <c r="D671">
        <v>2010</v>
      </c>
      <c r="E671" t="s">
        <v>18</v>
      </c>
      <c r="F671">
        <v>2010074</v>
      </c>
      <c r="G671">
        <v>2010142</v>
      </c>
      <c r="H671">
        <v>11739</v>
      </c>
      <c r="I671">
        <v>3340</v>
      </c>
      <c r="J671">
        <v>0</v>
      </c>
      <c r="K671">
        <v>316</v>
      </c>
      <c r="L671">
        <v>726</v>
      </c>
      <c r="M671">
        <v>100</v>
      </c>
      <c r="N671">
        <v>30.038309999999999</v>
      </c>
      <c r="O671">
        <v>14.676170000000001</v>
      </c>
      <c r="P671">
        <v>22.18364</v>
      </c>
      <c r="Q671">
        <v>123584</v>
      </c>
    </row>
    <row r="672" spans="1:17" x14ac:dyDescent="0.25">
      <c r="A672" t="s">
        <v>20</v>
      </c>
      <c r="B672">
        <v>34</v>
      </c>
      <c r="C672">
        <v>1.47</v>
      </c>
      <c r="D672">
        <v>2011</v>
      </c>
      <c r="E672" t="s">
        <v>18</v>
      </c>
      <c r="F672">
        <v>2011074</v>
      </c>
      <c r="G672">
        <v>2011136</v>
      </c>
      <c r="H672">
        <v>11771</v>
      </c>
      <c r="I672">
        <v>4001</v>
      </c>
      <c r="J672">
        <v>0</v>
      </c>
      <c r="K672">
        <v>171</v>
      </c>
      <c r="L672">
        <v>591</v>
      </c>
      <c r="M672">
        <v>100</v>
      </c>
      <c r="N672">
        <v>31.206060000000001</v>
      </c>
      <c r="O672">
        <v>15.176640000000001</v>
      </c>
      <c r="P672">
        <v>22.789249999999999</v>
      </c>
      <c r="Q672">
        <v>148043</v>
      </c>
    </row>
    <row r="673" spans="1:17" x14ac:dyDescent="0.25">
      <c r="A673" t="s">
        <v>20</v>
      </c>
      <c r="B673">
        <v>34</v>
      </c>
      <c r="C673">
        <v>1.47</v>
      </c>
      <c r="D673">
        <v>2012</v>
      </c>
      <c r="E673" t="s">
        <v>18</v>
      </c>
      <c r="F673">
        <v>2012074</v>
      </c>
      <c r="G673">
        <v>2012154</v>
      </c>
      <c r="H673">
        <v>2630</v>
      </c>
      <c r="I673">
        <v>756</v>
      </c>
      <c r="J673">
        <v>0</v>
      </c>
      <c r="K673">
        <v>284</v>
      </c>
      <c r="L673">
        <v>139</v>
      </c>
      <c r="M673">
        <v>100</v>
      </c>
      <c r="N673">
        <v>30.698139999999999</v>
      </c>
      <c r="O673">
        <v>14.224299999999999</v>
      </c>
      <c r="P673">
        <v>22.68084</v>
      </c>
      <c r="Q673">
        <v>27959</v>
      </c>
    </row>
    <row r="674" spans="1:17" x14ac:dyDescent="0.25">
      <c r="A674" t="s">
        <v>20</v>
      </c>
      <c r="B674">
        <v>34</v>
      </c>
      <c r="C674">
        <v>1.47</v>
      </c>
      <c r="D674">
        <v>2013</v>
      </c>
      <c r="E674" t="s">
        <v>18</v>
      </c>
      <c r="F674">
        <v>2013074</v>
      </c>
      <c r="G674">
        <v>2013145</v>
      </c>
      <c r="H674">
        <v>10413</v>
      </c>
      <c r="I674">
        <v>2465</v>
      </c>
      <c r="J674">
        <v>0</v>
      </c>
      <c r="K674">
        <v>380</v>
      </c>
      <c r="L674">
        <v>443</v>
      </c>
      <c r="M674">
        <v>100</v>
      </c>
      <c r="N674">
        <v>29.651399999999999</v>
      </c>
      <c r="O674">
        <v>14.071490000000001</v>
      </c>
      <c r="P674">
        <v>22.647189999999998</v>
      </c>
      <c r="Q674">
        <v>91218</v>
      </c>
    </row>
    <row r="675" spans="1:17" x14ac:dyDescent="0.25">
      <c r="A675" t="s">
        <v>20</v>
      </c>
      <c r="B675">
        <v>34</v>
      </c>
      <c r="C675">
        <v>1.47</v>
      </c>
      <c r="D675">
        <v>2014</v>
      </c>
      <c r="E675" t="s">
        <v>18</v>
      </c>
      <c r="F675">
        <v>2014074</v>
      </c>
      <c r="G675">
        <v>2014137</v>
      </c>
      <c r="H675">
        <v>4095</v>
      </c>
      <c r="I675">
        <v>685</v>
      </c>
      <c r="J675">
        <v>0</v>
      </c>
      <c r="K675">
        <v>284</v>
      </c>
      <c r="L675">
        <v>289</v>
      </c>
      <c r="M675">
        <v>100</v>
      </c>
      <c r="N675">
        <v>29.733180000000001</v>
      </c>
      <c r="O675">
        <v>14.53318</v>
      </c>
      <c r="P675">
        <v>23.715890000000002</v>
      </c>
      <c r="Q675">
        <v>25334</v>
      </c>
    </row>
    <row r="676" spans="1:17" x14ac:dyDescent="0.25">
      <c r="A676" t="s">
        <v>20</v>
      </c>
      <c r="B676">
        <v>34</v>
      </c>
      <c r="C676">
        <v>1.47</v>
      </c>
      <c r="D676">
        <v>2015</v>
      </c>
      <c r="E676" t="s">
        <v>18</v>
      </c>
      <c r="F676">
        <v>2015074</v>
      </c>
      <c r="G676">
        <v>2015140</v>
      </c>
      <c r="H676">
        <v>3265</v>
      </c>
      <c r="I676">
        <v>793</v>
      </c>
      <c r="J676">
        <v>0</v>
      </c>
      <c r="K676">
        <v>150</v>
      </c>
      <c r="L676">
        <v>213</v>
      </c>
      <c r="M676">
        <v>100</v>
      </c>
      <c r="N676">
        <v>31.259810000000002</v>
      </c>
      <c r="O676">
        <v>14.78552</v>
      </c>
      <c r="P676">
        <v>23.029440000000001</v>
      </c>
      <c r="Q676">
        <v>29331</v>
      </c>
    </row>
    <row r="677" spans="1:17" x14ac:dyDescent="0.25">
      <c r="A677" t="s">
        <v>20</v>
      </c>
      <c r="B677">
        <v>34</v>
      </c>
      <c r="C677">
        <v>1.47</v>
      </c>
      <c r="D677">
        <v>2016</v>
      </c>
      <c r="E677" t="s">
        <v>18</v>
      </c>
      <c r="F677">
        <v>2016074</v>
      </c>
      <c r="G677">
        <v>2016147</v>
      </c>
      <c r="H677">
        <v>9592</v>
      </c>
      <c r="I677">
        <v>2418</v>
      </c>
      <c r="J677">
        <v>0</v>
      </c>
      <c r="K677">
        <v>352</v>
      </c>
      <c r="L677">
        <v>256</v>
      </c>
      <c r="M677">
        <v>100</v>
      </c>
      <c r="N677">
        <v>30.675709999999999</v>
      </c>
      <c r="O677">
        <v>14.730370000000001</v>
      </c>
      <c r="P677">
        <v>22.217749999999999</v>
      </c>
      <c r="Q677">
        <v>89464</v>
      </c>
    </row>
    <row r="678" spans="1:17" x14ac:dyDescent="0.25">
      <c r="A678" t="s">
        <v>20</v>
      </c>
      <c r="B678">
        <v>34</v>
      </c>
      <c r="C678">
        <v>1.47</v>
      </c>
      <c r="D678">
        <v>2017</v>
      </c>
      <c r="E678" t="s">
        <v>18</v>
      </c>
      <c r="F678">
        <v>2017074</v>
      </c>
      <c r="G678">
        <v>2017140</v>
      </c>
      <c r="H678">
        <v>9675</v>
      </c>
      <c r="I678">
        <v>2184</v>
      </c>
      <c r="J678">
        <v>0</v>
      </c>
      <c r="K678">
        <v>245</v>
      </c>
      <c r="L678">
        <v>379</v>
      </c>
      <c r="M678">
        <v>100</v>
      </c>
      <c r="N678">
        <v>32.290179999999999</v>
      </c>
      <c r="O678">
        <v>14.770099999999999</v>
      </c>
      <c r="P678">
        <v>24.0014</v>
      </c>
      <c r="Q678">
        <v>80804</v>
      </c>
    </row>
    <row r="679" spans="1:17" x14ac:dyDescent="0.25">
      <c r="A679" t="s">
        <v>20</v>
      </c>
      <c r="B679">
        <v>34</v>
      </c>
      <c r="C679">
        <v>1.47</v>
      </c>
      <c r="D679">
        <v>2018</v>
      </c>
      <c r="E679" t="s">
        <v>18</v>
      </c>
      <c r="F679">
        <v>2018074</v>
      </c>
      <c r="G679">
        <v>2018146</v>
      </c>
      <c r="H679">
        <v>7647</v>
      </c>
      <c r="I679">
        <v>1338</v>
      </c>
      <c r="J679">
        <v>0</v>
      </c>
      <c r="K679">
        <v>465</v>
      </c>
      <c r="L679">
        <v>200</v>
      </c>
      <c r="M679">
        <v>100</v>
      </c>
      <c r="N679">
        <v>29.77711</v>
      </c>
      <c r="O679">
        <v>14.571490000000001</v>
      </c>
      <c r="P679">
        <v>23.717770000000002</v>
      </c>
      <c r="Q679">
        <v>49488</v>
      </c>
    </row>
    <row r="680" spans="1:17" x14ac:dyDescent="0.25">
      <c r="A680" t="s">
        <v>20</v>
      </c>
      <c r="B680">
        <v>34</v>
      </c>
      <c r="C680">
        <v>1.47</v>
      </c>
      <c r="D680">
        <v>2019</v>
      </c>
      <c r="E680" t="s">
        <v>18</v>
      </c>
      <c r="F680">
        <v>2019074</v>
      </c>
      <c r="G680">
        <v>2019152</v>
      </c>
      <c r="H680">
        <v>3165</v>
      </c>
      <c r="I680">
        <v>735</v>
      </c>
      <c r="J680">
        <v>0</v>
      </c>
      <c r="K680">
        <v>99</v>
      </c>
      <c r="L680">
        <v>284</v>
      </c>
      <c r="M680">
        <v>100</v>
      </c>
      <c r="N680">
        <v>30.988309999999998</v>
      </c>
      <c r="O680">
        <v>14.28505</v>
      </c>
      <c r="P680">
        <v>25.11777</v>
      </c>
      <c r="Q680">
        <v>27187</v>
      </c>
    </row>
    <row r="681" spans="1:17" x14ac:dyDescent="0.25">
      <c r="A681" t="s">
        <v>20</v>
      </c>
      <c r="B681">
        <v>34</v>
      </c>
      <c r="C681">
        <v>1.47</v>
      </c>
      <c r="D681">
        <v>2020</v>
      </c>
      <c r="E681" t="s">
        <v>18</v>
      </c>
      <c r="F681">
        <v>2020074</v>
      </c>
      <c r="G681">
        <v>2020143</v>
      </c>
      <c r="H681">
        <v>5051</v>
      </c>
      <c r="I681">
        <v>904</v>
      </c>
      <c r="J681">
        <v>0</v>
      </c>
      <c r="K681">
        <v>244</v>
      </c>
      <c r="L681">
        <v>307</v>
      </c>
      <c r="M681">
        <v>100</v>
      </c>
      <c r="N681">
        <v>30.872890000000002</v>
      </c>
      <c r="O681">
        <v>15.42337</v>
      </c>
      <c r="P681">
        <v>24.29813</v>
      </c>
      <c r="Q681">
        <v>33463</v>
      </c>
    </row>
    <row r="682" spans="1:17" x14ac:dyDescent="0.25">
      <c r="A682" t="s">
        <v>20</v>
      </c>
      <c r="B682">
        <v>35</v>
      </c>
      <c r="C682">
        <v>0.91</v>
      </c>
      <c r="D682">
        <v>2001</v>
      </c>
      <c r="E682" t="s">
        <v>17</v>
      </c>
      <c r="F682">
        <v>2001074</v>
      </c>
      <c r="G682">
        <v>2001144</v>
      </c>
      <c r="H682">
        <v>7905</v>
      </c>
      <c r="I682">
        <v>1589</v>
      </c>
      <c r="J682">
        <v>0</v>
      </c>
      <c r="K682">
        <v>283</v>
      </c>
      <c r="L682">
        <v>235</v>
      </c>
      <c r="M682">
        <v>125</v>
      </c>
      <c r="N682">
        <v>31.06963</v>
      </c>
      <c r="O682">
        <v>15.927099999999999</v>
      </c>
      <c r="P682">
        <v>22.26962</v>
      </c>
      <c r="Q682">
        <v>68311</v>
      </c>
    </row>
    <row r="683" spans="1:17" x14ac:dyDescent="0.25">
      <c r="A683" t="s">
        <v>20</v>
      </c>
      <c r="B683">
        <v>35</v>
      </c>
      <c r="C683">
        <v>0.91</v>
      </c>
      <c r="D683">
        <v>2002</v>
      </c>
      <c r="E683" t="s">
        <v>17</v>
      </c>
      <c r="F683">
        <v>2002074</v>
      </c>
      <c r="G683">
        <v>2002149</v>
      </c>
      <c r="H683">
        <v>5885</v>
      </c>
      <c r="I683">
        <v>894</v>
      </c>
      <c r="J683">
        <v>0</v>
      </c>
      <c r="K683">
        <v>370</v>
      </c>
      <c r="L683">
        <v>292</v>
      </c>
      <c r="M683">
        <v>125</v>
      </c>
      <c r="N683">
        <v>28.6313</v>
      </c>
      <c r="O683">
        <v>14.017289999999999</v>
      </c>
      <c r="P683">
        <v>19.482240000000001</v>
      </c>
      <c r="Q683">
        <v>38439</v>
      </c>
    </row>
    <row r="684" spans="1:17" x14ac:dyDescent="0.25">
      <c r="A684" t="s">
        <v>20</v>
      </c>
      <c r="B684">
        <v>35</v>
      </c>
      <c r="C684">
        <v>0.91</v>
      </c>
      <c r="D684">
        <v>2003</v>
      </c>
      <c r="E684" t="s">
        <v>17</v>
      </c>
      <c r="F684">
        <v>2003074</v>
      </c>
      <c r="G684">
        <v>2003146</v>
      </c>
      <c r="H684">
        <v>8434</v>
      </c>
      <c r="I684">
        <v>1894</v>
      </c>
      <c r="J684">
        <v>0</v>
      </c>
      <c r="K684">
        <v>233</v>
      </c>
      <c r="L684">
        <v>462</v>
      </c>
      <c r="M684">
        <v>125</v>
      </c>
      <c r="N684">
        <v>30.571020000000001</v>
      </c>
      <c r="O684">
        <v>15.18085</v>
      </c>
      <c r="P684">
        <v>21.02289</v>
      </c>
      <c r="Q684">
        <v>81430</v>
      </c>
    </row>
    <row r="685" spans="1:17" x14ac:dyDescent="0.25">
      <c r="A685" t="s">
        <v>20</v>
      </c>
      <c r="B685">
        <v>35</v>
      </c>
      <c r="C685">
        <v>0.91</v>
      </c>
      <c r="D685">
        <v>2004</v>
      </c>
      <c r="E685" t="s">
        <v>17</v>
      </c>
      <c r="F685">
        <v>2004074</v>
      </c>
      <c r="G685">
        <v>2004153</v>
      </c>
      <c r="H685">
        <v>10261</v>
      </c>
      <c r="I685">
        <v>3036</v>
      </c>
      <c r="J685">
        <v>0</v>
      </c>
      <c r="K685">
        <v>298</v>
      </c>
      <c r="L685">
        <v>405</v>
      </c>
      <c r="M685">
        <v>125</v>
      </c>
      <c r="N685">
        <v>29.95234</v>
      </c>
      <c r="O685">
        <v>14.379440000000001</v>
      </c>
      <c r="P685">
        <v>19.440639999999998</v>
      </c>
      <c r="Q685">
        <v>130562</v>
      </c>
    </row>
    <row r="686" spans="1:17" x14ac:dyDescent="0.25">
      <c r="A686" t="s">
        <v>20</v>
      </c>
      <c r="B686">
        <v>35</v>
      </c>
      <c r="C686">
        <v>0.91</v>
      </c>
      <c r="D686">
        <v>2005</v>
      </c>
      <c r="E686" t="s">
        <v>17</v>
      </c>
      <c r="F686">
        <v>2005074</v>
      </c>
      <c r="G686">
        <v>2005150</v>
      </c>
      <c r="H686">
        <v>4099</v>
      </c>
      <c r="I686">
        <v>584</v>
      </c>
      <c r="J686">
        <v>0</v>
      </c>
      <c r="K686">
        <v>333</v>
      </c>
      <c r="L686">
        <v>204</v>
      </c>
      <c r="M686">
        <v>125</v>
      </c>
      <c r="N686">
        <v>30.699059999999999</v>
      </c>
      <c r="O686">
        <v>14.20327</v>
      </c>
      <c r="P686">
        <v>21.599989999999998</v>
      </c>
      <c r="Q686">
        <v>25123</v>
      </c>
    </row>
    <row r="687" spans="1:17" x14ac:dyDescent="0.25">
      <c r="A687" t="s">
        <v>20</v>
      </c>
      <c r="B687">
        <v>35</v>
      </c>
      <c r="C687">
        <v>0.91</v>
      </c>
      <c r="D687">
        <v>2006</v>
      </c>
      <c r="E687" t="s">
        <v>17</v>
      </c>
      <c r="F687">
        <v>2006074</v>
      </c>
      <c r="G687">
        <v>2006143</v>
      </c>
      <c r="H687">
        <v>5576</v>
      </c>
      <c r="I687">
        <v>814</v>
      </c>
      <c r="J687">
        <v>0</v>
      </c>
      <c r="K687">
        <v>281</v>
      </c>
      <c r="L687">
        <v>263</v>
      </c>
      <c r="M687">
        <v>125</v>
      </c>
      <c r="N687">
        <v>30.602329999999998</v>
      </c>
      <c r="O687">
        <v>15.16169</v>
      </c>
      <c r="P687">
        <v>19.266359999999999</v>
      </c>
      <c r="Q687">
        <v>34999</v>
      </c>
    </row>
    <row r="688" spans="1:17" x14ac:dyDescent="0.25">
      <c r="A688" t="s">
        <v>20</v>
      </c>
      <c r="B688">
        <v>35</v>
      </c>
      <c r="C688">
        <v>0.91</v>
      </c>
      <c r="D688">
        <v>2007</v>
      </c>
      <c r="E688" t="s">
        <v>17</v>
      </c>
      <c r="F688">
        <v>2007074</v>
      </c>
      <c r="G688">
        <v>2007155</v>
      </c>
      <c r="H688">
        <v>8099</v>
      </c>
      <c r="I688">
        <v>1524</v>
      </c>
      <c r="J688">
        <v>0</v>
      </c>
      <c r="K688">
        <v>259</v>
      </c>
      <c r="L688">
        <v>354</v>
      </c>
      <c r="M688">
        <v>125</v>
      </c>
      <c r="N688">
        <v>28.857479999999999</v>
      </c>
      <c r="O688">
        <v>14.222429999999999</v>
      </c>
      <c r="P688">
        <v>21.4757</v>
      </c>
      <c r="Q688">
        <v>65524</v>
      </c>
    </row>
    <row r="689" spans="1:17" x14ac:dyDescent="0.25">
      <c r="A689" t="s">
        <v>20</v>
      </c>
      <c r="B689">
        <v>35</v>
      </c>
      <c r="C689">
        <v>0.91</v>
      </c>
      <c r="D689">
        <v>2008</v>
      </c>
      <c r="E689" t="s">
        <v>17</v>
      </c>
      <c r="F689">
        <v>2008074</v>
      </c>
      <c r="G689">
        <v>2008154</v>
      </c>
      <c r="H689">
        <v>8487</v>
      </c>
      <c r="I689">
        <v>1591</v>
      </c>
      <c r="J689">
        <v>0</v>
      </c>
      <c r="K689">
        <v>362</v>
      </c>
      <c r="L689">
        <v>319</v>
      </c>
      <c r="M689">
        <v>125</v>
      </c>
      <c r="N689">
        <v>29.236910000000002</v>
      </c>
      <c r="O689">
        <v>13.58972</v>
      </c>
      <c r="P689">
        <v>22.102340000000002</v>
      </c>
      <c r="Q689">
        <v>68410</v>
      </c>
    </row>
    <row r="690" spans="1:17" x14ac:dyDescent="0.25">
      <c r="A690" t="s">
        <v>20</v>
      </c>
      <c r="B690">
        <v>35</v>
      </c>
      <c r="C690">
        <v>0.91</v>
      </c>
      <c r="D690">
        <v>2009</v>
      </c>
      <c r="E690" t="s">
        <v>17</v>
      </c>
      <c r="F690">
        <v>2009074</v>
      </c>
      <c r="G690">
        <v>2009150</v>
      </c>
      <c r="H690">
        <v>4048</v>
      </c>
      <c r="I690">
        <v>550</v>
      </c>
      <c r="J690">
        <v>0</v>
      </c>
      <c r="K690">
        <v>150</v>
      </c>
      <c r="L690">
        <v>293</v>
      </c>
      <c r="M690">
        <v>125</v>
      </c>
      <c r="N690">
        <v>30.52196</v>
      </c>
      <c r="O690">
        <v>14.16962</v>
      </c>
      <c r="P690">
        <v>22.20654</v>
      </c>
      <c r="Q690">
        <v>23645</v>
      </c>
    </row>
    <row r="691" spans="1:17" x14ac:dyDescent="0.25">
      <c r="A691" t="s">
        <v>20</v>
      </c>
      <c r="B691">
        <v>35</v>
      </c>
      <c r="C691">
        <v>0.91</v>
      </c>
      <c r="D691">
        <v>2010</v>
      </c>
      <c r="E691" t="s">
        <v>18</v>
      </c>
      <c r="F691">
        <v>2010074</v>
      </c>
      <c r="G691">
        <v>2010142</v>
      </c>
      <c r="H691">
        <v>11849</v>
      </c>
      <c r="I691">
        <v>3276</v>
      </c>
      <c r="J691">
        <v>0</v>
      </c>
      <c r="K691">
        <v>316</v>
      </c>
      <c r="L691">
        <v>726</v>
      </c>
      <c r="M691">
        <v>125</v>
      </c>
      <c r="N691">
        <v>30.038309999999999</v>
      </c>
      <c r="O691">
        <v>14.676170000000001</v>
      </c>
      <c r="P691">
        <v>22.18364</v>
      </c>
      <c r="Q691">
        <v>140879</v>
      </c>
    </row>
    <row r="692" spans="1:17" x14ac:dyDescent="0.25">
      <c r="A692" t="s">
        <v>20</v>
      </c>
      <c r="B692">
        <v>35</v>
      </c>
      <c r="C692">
        <v>0.91</v>
      </c>
      <c r="D692">
        <v>2011</v>
      </c>
      <c r="E692" t="s">
        <v>18</v>
      </c>
      <c r="F692">
        <v>2011074</v>
      </c>
      <c r="G692">
        <v>2011136</v>
      </c>
      <c r="H692">
        <v>11760</v>
      </c>
      <c r="I692">
        <v>3996</v>
      </c>
      <c r="J692">
        <v>0</v>
      </c>
      <c r="K692">
        <v>171</v>
      </c>
      <c r="L692">
        <v>591</v>
      </c>
      <c r="M692">
        <v>125</v>
      </c>
      <c r="N692">
        <v>31.206060000000001</v>
      </c>
      <c r="O692">
        <v>15.176640000000001</v>
      </c>
      <c r="P692">
        <v>22.789249999999999</v>
      </c>
      <c r="Q692">
        <v>171823</v>
      </c>
    </row>
    <row r="693" spans="1:17" x14ac:dyDescent="0.25">
      <c r="A693" t="s">
        <v>20</v>
      </c>
      <c r="B693">
        <v>35</v>
      </c>
      <c r="C693">
        <v>0.91</v>
      </c>
      <c r="D693">
        <v>2012</v>
      </c>
      <c r="E693" t="s">
        <v>18</v>
      </c>
      <c r="F693">
        <v>2012074</v>
      </c>
      <c r="G693">
        <v>2012154</v>
      </c>
      <c r="H693">
        <v>2612</v>
      </c>
      <c r="I693">
        <v>745</v>
      </c>
      <c r="J693">
        <v>0</v>
      </c>
      <c r="K693">
        <v>284</v>
      </c>
      <c r="L693">
        <v>139</v>
      </c>
      <c r="M693">
        <v>125</v>
      </c>
      <c r="N693">
        <v>30.698139999999999</v>
      </c>
      <c r="O693">
        <v>14.224299999999999</v>
      </c>
      <c r="P693">
        <v>22.68084</v>
      </c>
      <c r="Q693">
        <v>32030</v>
      </c>
    </row>
    <row r="694" spans="1:17" x14ac:dyDescent="0.25">
      <c r="A694" t="s">
        <v>20</v>
      </c>
      <c r="B694">
        <v>35</v>
      </c>
      <c r="C694">
        <v>0.91</v>
      </c>
      <c r="D694">
        <v>2013</v>
      </c>
      <c r="E694" t="s">
        <v>18</v>
      </c>
      <c r="F694">
        <v>2013074</v>
      </c>
      <c r="G694">
        <v>2013145</v>
      </c>
      <c r="H694">
        <v>10276</v>
      </c>
      <c r="I694">
        <v>2378</v>
      </c>
      <c r="J694">
        <v>0</v>
      </c>
      <c r="K694">
        <v>380</v>
      </c>
      <c r="L694">
        <v>443</v>
      </c>
      <c r="M694">
        <v>125</v>
      </c>
      <c r="N694">
        <v>29.651399999999999</v>
      </c>
      <c r="O694">
        <v>14.071490000000001</v>
      </c>
      <c r="P694">
        <v>22.647189999999998</v>
      </c>
      <c r="Q694">
        <v>102239</v>
      </c>
    </row>
    <row r="695" spans="1:17" x14ac:dyDescent="0.25">
      <c r="A695" t="s">
        <v>20</v>
      </c>
      <c r="B695">
        <v>35</v>
      </c>
      <c r="C695">
        <v>0.91</v>
      </c>
      <c r="D695">
        <v>2014</v>
      </c>
      <c r="E695" t="s">
        <v>18</v>
      </c>
      <c r="F695">
        <v>2014074</v>
      </c>
      <c r="G695">
        <v>2014137</v>
      </c>
      <c r="H695">
        <v>4217</v>
      </c>
      <c r="I695">
        <v>816</v>
      </c>
      <c r="J695">
        <v>0</v>
      </c>
      <c r="K695">
        <v>284</v>
      </c>
      <c r="L695">
        <v>289</v>
      </c>
      <c r="M695">
        <v>125</v>
      </c>
      <c r="N695">
        <v>29.733180000000001</v>
      </c>
      <c r="O695">
        <v>14.53318</v>
      </c>
      <c r="P695">
        <v>23.715890000000002</v>
      </c>
      <c r="Q695">
        <v>35085</v>
      </c>
    </row>
    <row r="696" spans="1:17" x14ac:dyDescent="0.25">
      <c r="A696" t="s">
        <v>20</v>
      </c>
      <c r="B696">
        <v>35</v>
      </c>
      <c r="C696">
        <v>0.91</v>
      </c>
      <c r="D696">
        <v>2015</v>
      </c>
      <c r="E696" t="s">
        <v>18</v>
      </c>
      <c r="F696">
        <v>2015074</v>
      </c>
      <c r="G696">
        <v>2015140</v>
      </c>
      <c r="H696">
        <v>3294</v>
      </c>
      <c r="I696">
        <v>788</v>
      </c>
      <c r="J696">
        <v>0</v>
      </c>
      <c r="K696">
        <v>150</v>
      </c>
      <c r="L696">
        <v>213</v>
      </c>
      <c r="M696">
        <v>125</v>
      </c>
      <c r="N696">
        <v>31.259810000000002</v>
      </c>
      <c r="O696">
        <v>14.78552</v>
      </c>
      <c r="P696">
        <v>23.029440000000001</v>
      </c>
      <c r="Q696">
        <v>33890</v>
      </c>
    </row>
    <row r="697" spans="1:17" x14ac:dyDescent="0.25">
      <c r="A697" t="s">
        <v>20</v>
      </c>
      <c r="B697">
        <v>35</v>
      </c>
      <c r="C697">
        <v>0.91</v>
      </c>
      <c r="D697">
        <v>2016</v>
      </c>
      <c r="E697" t="s">
        <v>18</v>
      </c>
      <c r="F697">
        <v>2016074</v>
      </c>
      <c r="G697">
        <v>2016147</v>
      </c>
      <c r="H697">
        <v>9580</v>
      </c>
      <c r="I697">
        <v>2411</v>
      </c>
      <c r="J697">
        <v>0</v>
      </c>
      <c r="K697">
        <v>352</v>
      </c>
      <c r="L697">
        <v>256</v>
      </c>
      <c r="M697">
        <v>125</v>
      </c>
      <c r="N697">
        <v>30.675709999999999</v>
      </c>
      <c r="O697">
        <v>14.730370000000001</v>
      </c>
      <c r="P697">
        <v>22.217749999999999</v>
      </c>
      <c r="Q697">
        <v>103694</v>
      </c>
    </row>
    <row r="698" spans="1:17" x14ac:dyDescent="0.25">
      <c r="A698" t="s">
        <v>20</v>
      </c>
      <c r="B698">
        <v>35</v>
      </c>
      <c r="C698">
        <v>0.91</v>
      </c>
      <c r="D698">
        <v>2017</v>
      </c>
      <c r="E698" t="s">
        <v>18</v>
      </c>
      <c r="F698">
        <v>2017074</v>
      </c>
      <c r="G698">
        <v>2017140</v>
      </c>
      <c r="H698">
        <v>9567</v>
      </c>
      <c r="I698">
        <v>2152</v>
      </c>
      <c r="J698">
        <v>0</v>
      </c>
      <c r="K698">
        <v>245</v>
      </c>
      <c r="L698">
        <v>379</v>
      </c>
      <c r="M698">
        <v>125</v>
      </c>
      <c r="N698">
        <v>32.290179999999999</v>
      </c>
      <c r="O698">
        <v>14.770099999999999</v>
      </c>
      <c r="P698">
        <v>24.0014</v>
      </c>
      <c r="Q698">
        <v>92554</v>
      </c>
    </row>
    <row r="699" spans="1:17" x14ac:dyDescent="0.25">
      <c r="A699" t="s">
        <v>20</v>
      </c>
      <c r="B699">
        <v>35</v>
      </c>
      <c r="C699">
        <v>0.91</v>
      </c>
      <c r="D699">
        <v>2018</v>
      </c>
      <c r="E699" t="s">
        <v>18</v>
      </c>
      <c r="F699">
        <v>2018074</v>
      </c>
      <c r="G699">
        <v>2018146</v>
      </c>
      <c r="H699">
        <v>7542</v>
      </c>
      <c r="I699">
        <v>1298</v>
      </c>
      <c r="J699">
        <v>0</v>
      </c>
      <c r="K699">
        <v>465</v>
      </c>
      <c r="L699">
        <v>200</v>
      </c>
      <c r="M699">
        <v>125</v>
      </c>
      <c r="N699">
        <v>29.77711</v>
      </c>
      <c r="O699">
        <v>14.571490000000001</v>
      </c>
      <c r="P699">
        <v>23.717770000000002</v>
      </c>
      <c r="Q699">
        <v>55810</v>
      </c>
    </row>
    <row r="700" spans="1:17" x14ac:dyDescent="0.25">
      <c r="A700" t="s">
        <v>20</v>
      </c>
      <c r="B700">
        <v>35</v>
      </c>
      <c r="C700">
        <v>0.91</v>
      </c>
      <c r="D700">
        <v>2019</v>
      </c>
      <c r="E700" t="s">
        <v>18</v>
      </c>
      <c r="F700">
        <v>2019074</v>
      </c>
      <c r="G700">
        <v>2019152</v>
      </c>
      <c r="H700">
        <v>3162</v>
      </c>
      <c r="I700">
        <v>716</v>
      </c>
      <c r="J700">
        <v>0</v>
      </c>
      <c r="K700">
        <v>99</v>
      </c>
      <c r="L700">
        <v>284</v>
      </c>
      <c r="M700">
        <v>125</v>
      </c>
      <c r="N700">
        <v>30.988309999999998</v>
      </c>
      <c r="O700">
        <v>14.28505</v>
      </c>
      <c r="P700">
        <v>25.11777</v>
      </c>
      <c r="Q700">
        <v>30769</v>
      </c>
    </row>
    <row r="701" spans="1:17" x14ac:dyDescent="0.25">
      <c r="A701" t="s">
        <v>20</v>
      </c>
      <c r="B701">
        <v>35</v>
      </c>
      <c r="C701">
        <v>0.91</v>
      </c>
      <c r="D701">
        <v>2020</v>
      </c>
      <c r="E701" t="s">
        <v>18</v>
      </c>
      <c r="F701">
        <v>2020074</v>
      </c>
      <c r="G701">
        <v>2020143</v>
      </c>
      <c r="H701">
        <v>5048</v>
      </c>
      <c r="I701">
        <v>890</v>
      </c>
      <c r="J701">
        <v>0</v>
      </c>
      <c r="K701">
        <v>244</v>
      </c>
      <c r="L701">
        <v>307</v>
      </c>
      <c r="M701">
        <v>125</v>
      </c>
      <c r="N701">
        <v>30.872890000000002</v>
      </c>
      <c r="O701">
        <v>15.42337</v>
      </c>
      <c r="P701">
        <v>24.29813</v>
      </c>
      <c r="Q701">
        <v>38279</v>
      </c>
    </row>
    <row r="702" spans="1:17" x14ac:dyDescent="0.25">
      <c r="A702" t="s">
        <v>20</v>
      </c>
      <c r="B702">
        <v>36</v>
      </c>
      <c r="C702">
        <v>1.34</v>
      </c>
      <c r="D702">
        <v>2001</v>
      </c>
      <c r="E702" t="s">
        <v>17</v>
      </c>
      <c r="F702">
        <v>2001059</v>
      </c>
      <c r="G702">
        <v>2001135</v>
      </c>
      <c r="H702">
        <v>5055</v>
      </c>
      <c r="I702">
        <v>656</v>
      </c>
      <c r="J702">
        <v>0</v>
      </c>
      <c r="K702">
        <v>283</v>
      </c>
      <c r="L702">
        <v>235</v>
      </c>
      <c r="M702">
        <v>75</v>
      </c>
      <c r="N702">
        <v>30.304369999999999</v>
      </c>
      <c r="O702">
        <v>15.655900000000001</v>
      </c>
      <c r="P702">
        <v>21.42445</v>
      </c>
      <c r="Q702">
        <v>24944</v>
      </c>
    </row>
    <row r="703" spans="1:17" x14ac:dyDescent="0.25">
      <c r="A703" t="s">
        <v>20</v>
      </c>
      <c r="B703">
        <v>36</v>
      </c>
      <c r="C703">
        <v>1.34</v>
      </c>
      <c r="D703">
        <v>2002</v>
      </c>
      <c r="E703" t="s">
        <v>17</v>
      </c>
      <c r="F703">
        <v>2002059</v>
      </c>
      <c r="G703">
        <v>2002139</v>
      </c>
      <c r="H703">
        <v>5454</v>
      </c>
      <c r="I703">
        <v>566</v>
      </c>
      <c r="J703">
        <v>0</v>
      </c>
      <c r="K703">
        <v>370</v>
      </c>
      <c r="L703">
        <v>292</v>
      </c>
      <c r="M703">
        <v>75</v>
      </c>
      <c r="N703">
        <v>27.89039</v>
      </c>
      <c r="O703">
        <v>13.55546</v>
      </c>
      <c r="P703">
        <v>18.961120000000001</v>
      </c>
      <c r="Q703">
        <v>21517</v>
      </c>
    </row>
    <row r="704" spans="1:17" x14ac:dyDescent="0.25">
      <c r="A704" t="s">
        <v>20</v>
      </c>
      <c r="B704">
        <v>36</v>
      </c>
      <c r="C704">
        <v>1.34</v>
      </c>
      <c r="D704">
        <v>2003</v>
      </c>
      <c r="E704" t="s">
        <v>17</v>
      </c>
      <c r="F704">
        <v>2003059</v>
      </c>
      <c r="G704">
        <v>2003138</v>
      </c>
      <c r="H704">
        <v>6099</v>
      </c>
      <c r="I704">
        <v>672</v>
      </c>
      <c r="J704">
        <v>0</v>
      </c>
      <c r="K704">
        <v>233</v>
      </c>
      <c r="L704">
        <v>462</v>
      </c>
      <c r="M704">
        <v>75</v>
      </c>
      <c r="N704">
        <v>30.037109999999998</v>
      </c>
      <c r="O704">
        <v>14.62359</v>
      </c>
      <c r="P704">
        <v>20.686019999999999</v>
      </c>
      <c r="Q704">
        <v>25521</v>
      </c>
    </row>
    <row r="705" spans="1:17" x14ac:dyDescent="0.25">
      <c r="A705" t="s">
        <v>20</v>
      </c>
      <c r="B705">
        <v>36</v>
      </c>
      <c r="C705">
        <v>1.34</v>
      </c>
      <c r="D705">
        <v>2004</v>
      </c>
      <c r="E705" t="s">
        <v>17</v>
      </c>
      <c r="F705">
        <v>2004059</v>
      </c>
      <c r="G705">
        <v>2004146</v>
      </c>
      <c r="H705">
        <v>9302</v>
      </c>
      <c r="I705">
        <v>2043</v>
      </c>
      <c r="J705">
        <v>0</v>
      </c>
      <c r="K705">
        <v>298</v>
      </c>
      <c r="L705">
        <v>405</v>
      </c>
      <c r="M705">
        <v>75</v>
      </c>
      <c r="N705">
        <v>29.151530000000001</v>
      </c>
      <c r="O705">
        <v>13.76463</v>
      </c>
      <c r="P705">
        <v>18.958939999999998</v>
      </c>
      <c r="Q705">
        <v>77646</v>
      </c>
    </row>
    <row r="706" spans="1:17" x14ac:dyDescent="0.25">
      <c r="A706" t="s">
        <v>20</v>
      </c>
      <c r="B706">
        <v>36</v>
      </c>
      <c r="C706">
        <v>1.34</v>
      </c>
      <c r="D706">
        <v>2005</v>
      </c>
      <c r="E706" t="s">
        <v>17</v>
      </c>
      <c r="F706">
        <v>2005059</v>
      </c>
      <c r="G706">
        <v>2005138</v>
      </c>
      <c r="H706">
        <v>4394</v>
      </c>
      <c r="I706">
        <v>373</v>
      </c>
      <c r="J706">
        <v>0</v>
      </c>
      <c r="K706">
        <v>333</v>
      </c>
      <c r="L706">
        <v>204</v>
      </c>
      <c r="M706">
        <v>75</v>
      </c>
      <c r="N706">
        <v>29.697379999999999</v>
      </c>
      <c r="O706">
        <v>13.444100000000001</v>
      </c>
      <c r="P706">
        <v>20.934930000000001</v>
      </c>
      <c r="Q706">
        <v>14169</v>
      </c>
    </row>
    <row r="707" spans="1:17" x14ac:dyDescent="0.25">
      <c r="A707" t="s">
        <v>20</v>
      </c>
      <c r="B707">
        <v>36</v>
      </c>
      <c r="C707">
        <v>1.34</v>
      </c>
      <c r="D707">
        <v>2006</v>
      </c>
      <c r="E707" t="s">
        <v>17</v>
      </c>
      <c r="F707">
        <v>2006059</v>
      </c>
      <c r="G707">
        <v>2006137</v>
      </c>
      <c r="H707">
        <v>6143</v>
      </c>
      <c r="I707">
        <v>502</v>
      </c>
      <c r="J707">
        <v>0</v>
      </c>
      <c r="K707">
        <v>281</v>
      </c>
      <c r="L707">
        <v>263</v>
      </c>
      <c r="M707">
        <v>75</v>
      </c>
      <c r="N707">
        <v>29.78558</v>
      </c>
      <c r="O707">
        <v>14.442360000000001</v>
      </c>
      <c r="P707">
        <v>18.966809999999999</v>
      </c>
      <c r="Q707">
        <v>19081</v>
      </c>
    </row>
    <row r="708" spans="1:17" x14ac:dyDescent="0.25">
      <c r="A708" t="s">
        <v>20</v>
      </c>
      <c r="B708">
        <v>36</v>
      </c>
      <c r="C708">
        <v>1.34</v>
      </c>
      <c r="D708">
        <v>2007</v>
      </c>
      <c r="E708" t="s">
        <v>17</v>
      </c>
      <c r="F708">
        <v>2007059</v>
      </c>
      <c r="G708">
        <v>2007144</v>
      </c>
      <c r="H708">
        <v>9522</v>
      </c>
      <c r="I708">
        <v>1876</v>
      </c>
      <c r="J708">
        <v>0</v>
      </c>
      <c r="K708">
        <v>259</v>
      </c>
      <c r="L708">
        <v>354</v>
      </c>
      <c r="M708">
        <v>75</v>
      </c>
      <c r="N708">
        <v>28.350650000000002</v>
      </c>
      <c r="O708">
        <v>13.614420000000001</v>
      </c>
      <c r="P708">
        <v>21.151959999999999</v>
      </c>
      <c r="Q708">
        <v>71274</v>
      </c>
    </row>
    <row r="709" spans="1:17" x14ac:dyDescent="0.25">
      <c r="A709" t="s">
        <v>20</v>
      </c>
      <c r="B709">
        <v>36</v>
      </c>
      <c r="C709">
        <v>1.34</v>
      </c>
      <c r="D709">
        <v>2008</v>
      </c>
      <c r="E709" t="s">
        <v>17</v>
      </c>
      <c r="F709">
        <v>2008059</v>
      </c>
      <c r="G709">
        <v>2008142</v>
      </c>
      <c r="H709">
        <v>8680</v>
      </c>
      <c r="I709">
        <v>1563</v>
      </c>
      <c r="J709">
        <v>0</v>
      </c>
      <c r="K709">
        <v>362</v>
      </c>
      <c r="L709">
        <v>319</v>
      </c>
      <c r="M709">
        <v>75</v>
      </c>
      <c r="N709">
        <v>28.67773</v>
      </c>
      <c r="O709">
        <v>13.022270000000001</v>
      </c>
      <c r="P709">
        <v>21.703499999999998</v>
      </c>
      <c r="Q709">
        <v>59392</v>
      </c>
    </row>
    <row r="710" spans="1:17" x14ac:dyDescent="0.25">
      <c r="A710" t="s">
        <v>20</v>
      </c>
      <c r="B710">
        <v>36</v>
      </c>
      <c r="C710">
        <v>1.34</v>
      </c>
      <c r="D710">
        <v>2009</v>
      </c>
      <c r="E710" t="s">
        <v>17</v>
      </c>
      <c r="F710">
        <v>2009059</v>
      </c>
      <c r="G710">
        <v>2009141</v>
      </c>
      <c r="H710">
        <v>3864</v>
      </c>
      <c r="I710">
        <v>160</v>
      </c>
      <c r="J710">
        <v>0</v>
      </c>
      <c r="K710">
        <v>150</v>
      </c>
      <c r="L710">
        <v>293</v>
      </c>
      <c r="M710">
        <v>75</v>
      </c>
      <c r="N710">
        <v>29.812660000000001</v>
      </c>
      <c r="O710">
        <v>13.74803</v>
      </c>
      <c r="P710">
        <v>21.552399999999999</v>
      </c>
      <c r="Q710">
        <v>6092</v>
      </c>
    </row>
    <row r="711" spans="1:17" x14ac:dyDescent="0.25">
      <c r="A711" t="s">
        <v>20</v>
      </c>
      <c r="B711">
        <v>36</v>
      </c>
      <c r="C711">
        <v>1.34</v>
      </c>
      <c r="D711">
        <v>2010</v>
      </c>
      <c r="E711" t="s">
        <v>17</v>
      </c>
      <c r="F711">
        <v>2010059</v>
      </c>
      <c r="G711">
        <v>2010142</v>
      </c>
      <c r="H711">
        <v>7903</v>
      </c>
      <c r="I711">
        <v>1197</v>
      </c>
      <c r="J711">
        <v>0</v>
      </c>
      <c r="K711">
        <v>316</v>
      </c>
      <c r="L711">
        <v>726</v>
      </c>
      <c r="M711">
        <v>75</v>
      </c>
      <c r="N711">
        <v>29.093879999999999</v>
      </c>
      <c r="O711">
        <v>14.128819999999999</v>
      </c>
      <c r="P711">
        <v>21.529250000000001</v>
      </c>
      <c r="Q711">
        <v>45478</v>
      </c>
    </row>
    <row r="712" spans="1:17" x14ac:dyDescent="0.25">
      <c r="A712" t="s">
        <v>20</v>
      </c>
      <c r="B712">
        <v>36</v>
      </c>
      <c r="C712">
        <v>1.34</v>
      </c>
      <c r="D712">
        <v>2011</v>
      </c>
      <c r="E712" t="s">
        <v>18</v>
      </c>
      <c r="F712">
        <v>2011059</v>
      </c>
      <c r="G712">
        <v>2011131</v>
      </c>
      <c r="H712">
        <v>9003</v>
      </c>
      <c r="I712">
        <v>2196</v>
      </c>
      <c r="J712">
        <v>0</v>
      </c>
      <c r="K712">
        <v>171</v>
      </c>
      <c r="L712">
        <v>591</v>
      </c>
      <c r="M712">
        <v>75</v>
      </c>
      <c r="N712">
        <v>30.213090000000001</v>
      </c>
      <c r="O712">
        <v>14.58821</v>
      </c>
      <c r="P712">
        <v>22.010919999999999</v>
      </c>
      <c r="Q712">
        <v>83463</v>
      </c>
    </row>
    <row r="713" spans="1:17" x14ac:dyDescent="0.25">
      <c r="A713" t="s">
        <v>20</v>
      </c>
      <c r="B713">
        <v>36</v>
      </c>
      <c r="C713">
        <v>1.34</v>
      </c>
      <c r="D713">
        <v>2012</v>
      </c>
      <c r="E713" t="s">
        <v>18</v>
      </c>
      <c r="F713">
        <v>2012059</v>
      </c>
      <c r="G713">
        <v>2012154</v>
      </c>
      <c r="H713">
        <v>2579</v>
      </c>
      <c r="I713">
        <v>692</v>
      </c>
      <c r="J713">
        <v>0</v>
      </c>
      <c r="K713">
        <v>284</v>
      </c>
      <c r="L713">
        <v>139</v>
      </c>
      <c r="M713">
        <v>75</v>
      </c>
      <c r="N713">
        <v>30.087769999999999</v>
      </c>
      <c r="O713">
        <v>13.49869</v>
      </c>
      <c r="P713">
        <v>22.329260000000001</v>
      </c>
      <c r="Q713">
        <v>26282</v>
      </c>
    </row>
    <row r="714" spans="1:17" x14ac:dyDescent="0.25">
      <c r="A714" t="s">
        <v>20</v>
      </c>
      <c r="B714">
        <v>36</v>
      </c>
      <c r="C714">
        <v>1.34</v>
      </c>
      <c r="D714">
        <v>2013</v>
      </c>
      <c r="E714" t="s">
        <v>18</v>
      </c>
      <c r="F714">
        <v>2013059</v>
      </c>
      <c r="G714">
        <v>2013133</v>
      </c>
      <c r="H714">
        <v>5922</v>
      </c>
      <c r="I714">
        <v>1054</v>
      </c>
      <c r="J714">
        <v>0</v>
      </c>
      <c r="K714">
        <v>380</v>
      </c>
      <c r="L714">
        <v>443</v>
      </c>
      <c r="M714">
        <v>75</v>
      </c>
      <c r="N714">
        <v>28.73057</v>
      </c>
      <c r="O714">
        <v>13.66419</v>
      </c>
      <c r="P714">
        <v>21.820080000000001</v>
      </c>
      <c r="Q714">
        <v>40057</v>
      </c>
    </row>
    <row r="715" spans="1:17" x14ac:dyDescent="0.25">
      <c r="A715" t="s">
        <v>20</v>
      </c>
      <c r="B715">
        <v>36</v>
      </c>
      <c r="C715">
        <v>1.34</v>
      </c>
      <c r="D715">
        <v>2014</v>
      </c>
      <c r="E715" t="s">
        <v>18</v>
      </c>
      <c r="F715">
        <v>2014059</v>
      </c>
      <c r="G715">
        <v>2014131</v>
      </c>
      <c r="H715">
        <v>4526</v>
      </c>
      <c r="I715">
        <v>362</v>
      </c>
      <c r="J715">
        <v>0</v>
      </c>
      <c r="K715">
        <v>284</v>
      </c>
      <c r="L715">
        <v>289</v>
      </c>
      <c r="M715">
        <v>75</v>
      </c>
      <c r="N715">
        <v>29.070309999999999</v>
      </c>
      <c r="O715">
        <v>13.98996</v>
      </c>
      <c r="P715">
        <v>23.211359999999999</v>
      </c>
      <c r="Q715">
        <v>13756</v>
      </c>
    </row>
    <row r="716" spans="1:17" x14ac:dyDescent="0.25">
      <c r="A716" t="s">
        <v>20</v>
      </c>
      <c r="B716">
        <v>36</v>
      </c>
      <c r="C716">
        <v>1.34</v>
      </c>
      <c r="D716">
        <v>2015</v>
      </c>
      <c r="E716" t="s">
        <v>18</v>
      </c>
      <c r="F716">
        <v>2015059</v>
      </c>
      <c r="G716">
        <v>2015140</v>
      </c>
      <c r="H716">
        <v>3116</v>
      </c>
      <c r="I716">
        <v>461</v>
      </c>
      <c r="J716">
        <v>0</v>
      </c>
      <c r="K716">
        <v>150</v>
      </c>
      <c r="L716">
        <v>213</v>
      </c>
      <c r="M716">
        <v>75</v>
      </c>
      <c r="N716">
        <v>30.714849999999998</v>
      </c>
      <c r="O716">
        <v>14.063319999999999</v>
      </c>
      <c r="P716">
        <v>22.776420000000002</v>
      </c>
      <c r="Q716">
        <v>17501</v>
      </c>
    </row>
    <row r="717" spans="1:17" x14ac:dyDescent="0.25">
      <c r="A717" t="s">
        <v>20</v>
      </c>
      <c r="B717">
        <v>36</v>
      </c>
      <c r="C717">
        <v>1.34</v>
      </c>
      <c r="D717">
        <v>2016</v>
      </c>
      <c r="E717" t="s">
        <v>18</v>
      </c>
      <c r="F717">
        <v>2016059</v>
      </c>
      <c r="G717">
        <v>2016139</v>
      </c>
      <c r="H717">
        <v>11960</v>
      </c>
      <c r="I717">
        <v>3836</v>
      </c>
      <c r="J717">
        <v>0</v>
      </c>
      <c r="K717">
        <v>352</v>
      </c>
      <c r="L717">
        <v>256</v>
      </c>
      <c r="M717">
        <v>75</v>
      </c>
      <c r="N717">
        <v>29.869</v>
      </c>
      <c r="O717">
        <v>13.90175</v>
      </c>
      <c r="P717">
        <v>21.99213</v>
      </c>
      <c r="Q717">
        <v>145765</v>
      </c>
    </row>
    <row r="718" spans="1:17" x14ac:dyDescent="0.25">
      <c r="A718" t="s">
        <v>20</v>
      </c>
      <c r="B718">
        <v>36</v>
      </c>
      <c r="C718">
        <v>1.34</v>
      </c>
      <c r="D718">
        <v>2017</v>
      </c>
      <c r="E718" t="s">
        <v>18</v>
      </c>
      <c r="F718">
        <v>2017059</v>
      </c>
      <c r="G718">
        <v>2017130</v>
      </c>
      <c r="H718">
        <v>8940</v>
      </c>
      <c r="I718">
        <v>1542</v>
      </c>
      <c r="J718">
        <v>0</v>
      </c>
      <c r="K718">
        <v>245</v>
      </c>
      <c r="L718">
        <v>379</v>
      </c>
      <c r="M718">
        <v>75</v>
      </c>
      <c r="N718">
        <v>31.523579999999999</v>
      </c>
      <c r="O718">
        <v>14.26201</v>
      </c>
      <c r="P718">
        <v>23.358519999999999</v>
      </c>
      <c r="Q718">
        <v>58588</v>
      </c>
    </row>
    <row r="719" spans="1:17" x14ac:dyDescent="0.25">
      <c r="A719" t="s">
        <v>20</v>
      </c>
      <c r="B719">
        <v>36</v>
      </c>
      <c r="C719">
        <v>1.34</v>
      </c>
      <c r="D719">
        <v>2018</v>
      </c>
      <c r="E719" t="s">
        <v>18</v>
      </c>
      <c r="F719">
        <v>2018059</v>
      </c>
      <c r="G719">
        <v>2018135</v>
      </c>
      <c r="H719">
        <v>6058</v>
      </c>
      <c r="I719">
        <v>719</v>
      </c>
      <c r="J719">
        <v>0</v>
      </c>
      <c r="K719">
        <v>465</v>
      </c>
      <c r="L719">
        <v>200</v>
      </c>
      <c r="M719">
        <v>75</v>
      </c>
      <c r="N719">
        <v>28.944120000000002</v>
      </c>
      <c r="O719">
        <v>14.286899999999999</v>
      </c>
      <c r="P719">
        <v>22.76071</v>
      </c>
      <c r="Q719">
        <v>27329</v>
      </c>
    </row>
    <row r="720" spans="1:17" x14ac:dyDescent="0.25">
      <c r="A720" t="s">
        <v>20</v>
      </c>
      <c r="B720">
        <v>36</v>
      </c>
      <c r="C720">
        <v>1.34</v>
      </c>
      <c r="D720">
        <v>2019</v>
      </c>
      <c r="E720" t="s">
        <v>18</v>
      </c>
      <c r="F720">
        <v>2019059</v>
      </c>
      <c r="G720">
        <v>2019135</v>
      </c>
      <c r="H720">
        <v>3659</v>
      </c>
      <c r="I720">
        <v>371</v>
      </c>
      <c r="J720">
        <v>0</v>
      </c>
      <c r="K720">
        <v>99</v>
      </c>
      <c r="L720">
        <v>284</v>
      </c>
      <c r="M720">
        <v>75</v>
      </c>
      <c r="N720">
        <v>30.387329999999999</v>
      </c>
      <c r="O720">
        <v>13.719659999999999</v>
      </c>
      <c r="P720">
        <v>24.60961</v>
      </c>
      <c r="Q720">
        <v>14114</v>
      </c>
    </row>
    <row r="721" spans="1:17" x14ac:dyDescent="0.25">
      <c r="A721" t="s">
        <v>20</v>
      </c>
      <c r="B721">
        <v>36</v>
      </c>
      <c r="C721">
        <v>1.34</v>
      </c>
      <c r="D721">
        <v>2020</v>
      </c>
      <c r="E721" t="s">
        <v>18</v>
      </c>
      <c r="F721">
        <v>2020059</v>
      </c>
      <c r="G721">
        <v>2020143</v>
      </c>
      <c r="H721">
        <v>4965</v>
      </c>
      <c r="I721">
        <v>646</v>
      </c>
      <c r="J721">
        <v>0</v>
      </c>
      <c r="K721">
        <v>244</v>
      </c>
      <c r="L721">
        <v>307</v>
      </c>
      <c r="M721">
        <v>75</v>
      </c>
      <c r="N721">
        <v>30.297820000000002</v>
      </c>
      <c r="O721">
        <v>14.832319999999999</v>
      </c>
      <c r="P721">
        <v>23.80349</v>
      </c>
      <c r="Q721">
        <v>24555</v>
      </c>
    </row>
    <row r="722" spans="1:17" x14ac:dyDescent="0.25">
      <c r="A722" t="s">
        <v>20</v>
      </c>
      <c r="B722">
        <v>37</v>
      </c>
      <c r="C722">
        <v>0.89</v>
      </c>
      <c r="D722">
        <v>2001</v>
      </c>
      <c r="E722" t="s">
        <v>17</v>
      </c>
      <c r="F722">
        <v>2001074</v>
      </c>
      <c r="G722">
        <v>2001144</v>
      </c>
      <c r="H722">
        <v>7274</v>
      </c>
      <c r="I722">
        <v>1332</v>
      </c>
      <c r="J722">
        <v>0</v>
      </c>
      <c r="K722">
        <v>283</v>
      </c>
      <c r="L722">
        <v>235</v>
      </c>
      <c r="M722">
        <v>75</v>
      </c>
      <c r="N722">
        <v>31.06963</v>
      </c>
      <c r="O722">
        <v>15.927099999999999</v>
      </c>
      <c r="P722">
        <v>22.26962</v>
      </c>
      <c r="Q722">
        <v>58626</v>
      </c>
    </row>
    <row r="723" spans="1:17" x14ac:dyDescent="0.25">
      <c r="A723" t="s">
        <v>20</v>
      </c>
      <c r="B723">
        <v>37</v>
      </c>
      <c r="C723">
        <v>0.89</v>
      </c>
      <c r="D723">
        <v>2002</v>
      </c>
      <c r="E723" t="s">
        <v>17</v>
      </c>
      <c r="F723">
        <v>2002074</v>
      </c>
      <c r="G723">
        <v>2002149</v>
      </c>
      <c r="H723">
        <v>5694</v>
      </c>
      <c r="I723">
        <v>745</v>
      </c>
      <c r="J723">
        <v>0</v>
      </c>
      <c r="K723">
        <v>370</v>
      </c>
      <c r="L723">
        <v>292</v>
      </c>
      <c r="M723">
        <v>75</v>
      </c>
      <c r="N723">
        <v>28.6313</v>
      </c>
      <c r="O723">
        <v>14.017289999999999</v>
      </c>
      <c r="P723">
        <v>19.482240000000001</v>
      </c>
      <c r="Q723">
        <v>32801</v>
      </c>
    </row>
    <row r="724" spans="1:17" x14ac:dyDescent="0.25">
      <c r="A724" t="s">
        <v>20</v>
      </c>
      <c r="B724">
        <v>37</v>
      </c>
      <c r="C724">
        <v>0.89</v>
      </c>
      <c r="D724">
        <v>2003</v>
      </c>
      <c r="E724" t="s">
        <v>17</v>
      </c>
      <c r="F724">
        <v>2003074</v>
      </c>
      <c r="G724">
        <v>2003146</v>
      </c>
      <c r="H724">
        <v>7665</v>
      </c>
      <c r="I724">
        <v>1622</v>
      </c>
      <c r="J724">
        <v>0</v>
      </c>
      <c r="K724">
        <v>233</v>
      </c>
      <c r="L724">
        <v>462</v>
      </c>
      <c r="M724">
        <v>75</v>
      </c>
      <c r="N724">
        <v>30.571020000000001</v>
      </c>
      <c r="O724">
        <v>15.18085</v>
      </c>
      <c r="P724">
        <v>21.02289</v>
      </c>
      <c r="Q724">
        <v>71354</v>
      </c>
    </row>
    <row r="725" spans="1:17" x14ac:dyDescent="0.25">
      <c r="A725" t="s">
        <v>20</v>
      </c>
      <c r="B725">
        <v>37</v>
      </c>
      <c r="C725">
        <v>0.89</v>
      </c>
      <c r="D725">
        <v>2004</v>
      </c>
      <c r="E725" t="s">
        <v>17</v>
      </c>
      <c r="F725">
        <v>2004074</v>
      </c>
      <c r="G725">
        <v>2004153</v>
      </c>
      <c r="H725">
        <v>9893</v>
      </c>
      <c r="I725">
        <v>2789</v>
      </c>
      <c r="J725">
        <v>0</v>
      </c>
      <c r="K725">
        <v>298</v>
      </c>
      <c r="L725">
        <v>405</v>
      </c>
      <c r="M725">
        <v>75</v>
      </c>
      <c r="N725">
        <v>29.95234</v>
      </c>
      <c r="O725">
        <v>14.379440000000001</v>
      </c>
      <c r="P725">
        <v>19.440639999999998</v>
      </c>
      <c r="Q725">
        <v>122712</v>
      </c>
    </row>
    <row r="726" spans="1:17" x14ac:dyDescent="0.25">
      <c r="A726" t="s">
        <v>20</v>
      </c>
      <c r="B726">
        <v>37</v>
      </c>
      <c r="C726">
        <v>0.89</v>
      </c>
      <c r="D726">
        <v>2005</v>
      </c>
      <c r="E726" t="s">
        <v>17</v>
      </c>
      <c r="F726">
        <v>2005074</v>
      </c>
      <c r="G726">
        <v>2005150</v>
      </c>
      <c r="H726">
        <v>4124</v>
      </c>
      <c r="I726">
        <v>554</v>
      </c>
      <c r="J726">
        <v>0</v>
      </c>
      <c r="K726">
        <v>333</v>
      </c>
      <c r="L726">
        <v>204</v>
      </c>
      <c r="M726">
        <v>75</v>
      </c>
      <c r="N726">
        <v>30.699059999999999</v>
      </c>
      <c r="O726">
        <v>14.20327</v>
      </c>
      <c r="P726">
        <v>21.599989999999998</v>
      </c>
      <c r="Q726">
        <v>24393</v>
      </c>
    </row>
    <row r="727" spans="1:17" x14ac:dyDescent="0.25">
      <c r="A727" t="s">
        <v>20</v>
      </c>
      <c r="B727">
        <v>37</v>
      </c>
      <c r="C727">
        <v>0.89</v>
      </c>
      <c r="D727">
        <v>2006</v>
      </c>
      <c r="E727" t="s">
        <v>17</v>
      </c>
      <c r="F727">
        <v>2006074</v>
      </c>
      <c r="G727">
        <v>2006143</v>
      </c>
      <c r="H727">
        <v>5551</v>
      </c>
      <c r="I727">
        <v>744</v>
      </c>
      <c r="J727">
        <v>0</v>
      </c>
      <c r="K727">
        <v>281</v>
      </c>
      <c r="L727">
        <v>263</v>
      </c>
      <c r="M727">
        <v>75</v>
      </c>
      <c r="N727">
        <v>30.602329999999998</v>
      </c>
      <c r="O727">
        <v>15.16169</v>
      </c>
      <c r="P727">
        <v>19.266359999999999</v>
      </c>
      <c r="Q727">
        <v>32749</v>
      </c>
    </row>
    <row r="728" spans="1:17" x14ac:dyDescent="0.25">
      <c r="A728" t="s">
        <v>20</v>
      </c>
      <c r="B728">
        <v>37</v>
      </c>
      <c r="C728">
        <v>0.89</v>
      </c>
      <c r="D728">
        <v>2007</v>
      </c>
      <c r="E728" t="s">
        <v>17</v>
      </c>
      <c r="F728">
        <v>2007074</v>
      </c>
      <c r="G728">
        <v>2007155</v>
      </c>
      <c r="H728">
        <v>7997</v>
      </c>
      <c r="I728">
        <v>1448</v>
      </c>
      <c r="J728">
        <v>0</v>
      </c>
      <c r="K728">
        <v>259</v>
      </c>
      <c r="L728">
        <v>354</v>
      </c>
      <c r="M728">
        <v>75</v>
      </c>
      <c r="N728">
        <v>28.857479999999999</v>
      </c>
      <c r="O728">
        <v>14.222429999999999</v>
      </c>
      <c r="P728">
        <v>21.4757</v>
      </c>
      <c r="Q728">
        <v>63723</v>
      </c>
    </row>
    <row r="729" spans="1:17" x14ac:dyDescent="0.25">
      <c r="A729" t="s">
        <v>20</v>
      </c>
      <c r="B729">
        <v>37</v>
      </c>
      <c r="C729">
        <v>0.89</v>
      </c>
      <c r="D729">
        <v>2008</v>
      </c>
      <c r="E729" t="s">
        <v>17</v>
      </c>
      <c r="F729">
        <v>2008074</v>
      </c>
      <c r="G729">
        <v>2008154</v>
      </c>
      <c r="H729">
        <v>8230</v>
      </c>
      <c r="I729">
        <v>1424</v>
      </c>
      <c r="J729">
        <v>0</v>
      </c>
      <c r="K729">
        <v>362</v>
      </c>
      <c r="L729">
        <v>319</v>
      </c>
      <c r="M729">
        <v>75</v>
      </c>
      <c r="N729">
        <v>29.236910000000002</v>
      </c>
      <c r="O729">
        <v>13.58972</v>
      </c>
      <c r="P729">
        <v>22.102340000000002</v>
      </c>
      <c r="Q729">
        <v>62637</v>
      </c>
    </row>
    <row r="730" spans="1:17" x14ac:dyDescent="0.25">
      <c r="A730" t="s">
        <v>20</v>
      </c>
      <c r="B730">
        <v>37</v>
      </c>
      <c r="C730">
        <v>0.89</v>
      </c>
      <c r="D730">
        <v>2009</v>
      </c>
      <c r="E730" t="s">
        <v>17</v>
      </c>
      <c r="F730">
        <v>2009074</v>
      </c>
      <c r="G730">
        <v>2009150</v>
      </c>
      <c r="H730">
        <v>3767</v>
      </c>
      <c r="I730">
        <v>306</v>
      </c>
      <c r="J730">
        <v>0</v>
      </c>
      <c r="K730">
        <v>150</v>
      </c>
      <c r="L730">
        <v>293</v>
      </c>
      <c r="M730">
        <v>75</v>
      </c>
      <c r="N730">
        <v>30.52196</v>
      </c>
      <c r="O730">
        <v>14.16962</v>
      </c>
      <c r="P730">
        <v>22.20654</v>
      </c>
      <c r="Q730">
        <v>13460</v>
      </c>
    </row>
    <row r="731" spans="1:17" x14ac:dyDescent="0.25">
      <c r="A731" t="s">
        <v>20</v>
      </c>
      <c r="B731">
        <v>37</v>
      </c>
      <c r="C731">
        <v>0.89</v>
      </c>
      <c r="D731">
        <v>2010</v>
      </c>
      <c r="E731" t="s">
        <v>17</v>
      </c>
      <c r="F731">
        <v>2010074</v>
      </c>
      <c r="G731">
        <v>2010148</v>
      </c>
      <c r="H731">
        <v>10194</v>
      </c>
      <c r="I731">
        <v>2602</v>
      </c>
      <c r="J731">
        <v>0</v>
      </c>
      <c r="K731">
        <v>316</v>
      </c>
      <c r="L731">
        <v>726</v>
      </c>
      <c r="M731">
        <v>75</v>
      </c>
      <c r="N731">
        <v>30.038309999999999</v>
      </c>
      <c r="O731">
        <v>14.676170000000001</v>
      </c>
      <c r="P731">
        <v>22.18364</v>
      </c>
      <c r="Q731">
        <v>114506</v>
      </c>
    </row>
    <row r="732" spans="1:17" x14ac:dyDescent="0.25">
      <c r="A732" t="s">
        <v>20</v>
      </c>
      <c r="B732">
        <v>37</v>
      </c>
      <c r="C732">
        <v>0.89</v>
      </c>
      <c r="D732">
        <v>2011</v>
      </c>
      <c r="E732" t="s">
        <v>17</v>
      </c>
      <c r="F732">
        <v>2011074</v>
      </c>
      <c r="G732">
        <v>2011142</v>
      </c>
      <c r="H732">
        <v>10361</v>
      </c>
      <c r="I732">
        <v>2867</v>
      </c>
      <c r="J732">
        <v>0</v>
      </c>
      <c r="K732">
        <v>171</v>
      </c>
      <c r="L732">
        <v>591</v>
      </c>
      <c r="M732">
        <v>75</v>
      </c>
      <c r="N732">
        <v>31.206060000000001</v>
      </c>
      <c r="O732">
        <v>15.176640000000001</v>
      </c>
      <c r="P732">
        <v>22.789249999999999</v>
      </c>
      <c r="Q732">
        <v>126133</v>
      </c>
    </row>
    <row r="733" spans="1:17" x14ac:dyDescent="0.25">
      <c r="A733" t="s">
        <v>20</v>
      </c>
      <c r="B733">
        <v>37</v>
      </c>
      <c r="C733">
        <v>0.89</v>
      </c>
      <c r="D733">
        <v>2012</v>
      </c>
      <c r="E733" t="s">
        <v>18</v>
      </c>
      <c r="F733">
        <v>2012074</v>
      </c>
      <c r="G733">
        <v>2012154</v>
      </c>
      <c r="H733">
        <v>2615</v>
      </c>
      <c r="I733">
        <v>744</v>
      </c>
      <c r="J733">
        <v>0</v>
      </c>
      <c r="K733">
        <v>284</v>
      </c>
      <c r="L733">
        <v>139</v>
      </c>
      <c r="M733">
        <v>75</v>
      </c>
      <c r="N733">
        <v>30.698139999999999</v>
      </c>
      <c r="O733">
        <v>14.224299999999999</v>
      </c>
      <c r="P733">
        <v>22.68084</v>
      </c>
      <c r="Q733">
        <v>32725</v>
      </c>
    </row>
    <row r="734" spans="1:17" x14ac:dyDescent="0.25">
      <c r="A734" t="s">
        <v>20</v>
      </c>
      <c r="B734">
        <v>37</v>
      </c>
      <c r="C734">
        <v>0.89</v>
      </c>
      <c r="D734">
        <v>2013</v>
      </c>
      <c r="E734" t="s">
        <v>18</v>
      </c>
      <c r="F734">
        <v>2013074</v>
      </c>
      <c r="G734">
        <v>2013145</v>
      </c>
      <c r="H734">
        <v>8789</v>
      </c>
      <c r="I734">
        <v>2080</v>
      </c>
      <c r="J734">
        <v>0</v>
      </c>
      <c r="K734">
        <v>380</v>
      </c>
      <c r="L734">
        <v>443</v>
      </c>
      <c r="M734">
        <v>75</v>
      </c>
      <c r="N734">
        <v>29.651399999999999</v>
      </c>
      <c r="O734">
        <v>14.071490000000001</v>
      </c>
      <c r="P734">
        <v>22.647189999999998</v>
      </c>
      <c r="Q734">
        <v>91501</v>
      </c>
    </row>
    <row r="735" spans="1:17" x14ac:dyDescent="0.25">
      <c r="A735" t="s">
        <v>20</v>
      </c>
      <c r="B735">
        <v>37</v>
      </c>
      <c r="C735">
        <v>0.89</v>
      </c>
      <c r="D735">
        <v>2014</v>
      </c>
      <c r="E735" t="s">
        <v>18</v>
      </c>
      <c r="F735">
        <v>2014074</v>
      </c>
      <c r="G735">
        <v>2014137</v>
      </c>
      <c r="H735">
        <v>3886</v>
      </c>
      <c r="I735">
        <v>484</v>
      </c>
      <c r="J735">
        <v>0</v>
      </c>
      <c r="K735">
        <v>284</v>
      </c>
      <c r="L735">
        <v>289</v>
      </c>
      <c r="M735">
        <v>75</v>
      </c>
      <c r="N735">
        <v>29.733180000000001</v>
      </c>
      <c r="O735">
        <v>14.53318</v>
      </c>
      <c r="P735">
        <v>23.715890000000002</v>
      </c>
      <c r="Q735">
        <v>21308</v>
      </c>
    </row>
    <row r="736" spans="1:17" x14ac:dyDescent="0.25">
      <c r="A736" t="s">
        <v>20</v>
      </c>
      <c r="B736">
        <v>37</v>
      </c>
      <c r="C736">
        <v>0.89</v>
      </c>
      <c r="D736">
        <v>2015</v>
      </c>
      <c r="E736" t="s">
        <v>18</v>
      </c>
      <c r="F736">
        <v>2015074</v>
      </c>
      <c r="G736">
        <v>2015140</v>
      </c>
      <c r="H736">
        <v>3261</v>
      </c>
      <c r="I736">
        <v>703</v>
      </c>
      <c r="J736">
        <v>0</v>
      </c>
      <c r="K736">
        <v>150</v>
      </c>
      <c r="L736">
        <v>213</v>
      </c>
      <c r="M736">
        <v>75</v>
      </c>
      <c r="N736">
        <v>31.259810000000002</v>
      </c>
      <c r="O736">
        <v>14.78552</v>
      </c>
      <c r="P736">
        <v>23.029440000000001</v>
      </c>
      <c r="Q736">
        <v>30927</v>
      </c>
    </row>
    <row r="737" spans="1:17" x14ac:dyDescent="0.25">
      <c r="A737" t="s">
        <v>20</v>
      </c>
      <c r="B737">
        <v>37</v>
      </c>
      <c r="C737">
        <v>0.89</v>
      </c>
      <c r="D737">
        <v>2016</v>
      </c>
      <c r="E737" t="s">
        <v>18</v>
      </c>
      <c r="F737">
        <v>2016074</v>
      </c>
      <c r="G737">
        <v>2016147</v>
      </c>
      <c r="H737">
        <v>9553</v>
      </c>
      <c r="I737">
        <v>2375</v>
      </c>
      <c r="J737">
        <v>0</v>
      </c>
      <c r="K737">
        <v>352</v>
      </c>
      <c r="L737">
        <v>256</v>
      </c>
      <c r="M737">
        <v>75</v>
      </c>
      <c r="N737">
        <v>30.675709999999999</v>
      </c>
      <c r="O737">
        <v>14.730370000000001</v>
      </c>
      <c r="P737">
        <v>22.217749999999999</v>
      </c>
      <c r="Q737">
        <v>104481</v>
      </c>
    </row>
    <row r="738" spans="1:17" x14ac:dyDescent="0.25">
      <c r="A738" t="s">
        <v>20</v>
      </c>
      <c r="B738">
        <v>37</v>
      </c>
      <c r="C738">
        <v>0.89</v>
      </c>
      <c r="D738">
        <v>2017</v>
      </c>
      <c r="E738" t="s">
        <v>18</v>
      </c>
      <c r="F738">
        <v>2017074</v>
      </c>
      <c r="G738">
        <v>2017140</v>
      </c>
      <c r="H738">
        <v>9295</v>
      </c>
      <c r="I738">
        <v>1983</v>
      </c>
      <c r="J738">
        <v>0</v>
      </c>
      <c r="K738">
        <v>245</v>
      </c>
      <c r="L738">
        <v>379</v>
      </c>
      <c r="M738">
        <v>75</v>
      </c>
      <c r="N738">
        <v>32.290179999999999</v>
      </c>
      <c r="O738">
        <v>14.770099999999999</v>
      </c>
      <c r="P738">
        <v>24.0014</v>
      </c>
      <c r="Q738">
        <v>87240</v>
      </c>
    </row>
    <row r="739" spans="1:17" x14ac:dyDescent="0.25">
      <c r="A739" t="s">
        <v>20</v>
      </c>
      <c r="B739">
        <v>37</v>
      </c>
      <c r="C739">
        <v>0.89</v>
      </c>
      <c r="D739">
        <v>2018</v>
      </c>
      <c r="E739" t="s">
        <v>18</v>
      </c>
      <c r="F739">
        <v>2018074</v>
      </c>
      <c r="G739">
        <v>2018146</v>
      </c>
      <c r="H739">
        <v>6764</v>
      </c>
      <c r="I739">
        <v>1102</v>
      </c>
      <c r="J739">
        <v>0</v>
      </c>
      <c r="K739">
        <v>465</v>
      </c>
      <c r="L739">
        <v>200</v>
      </c>
      <c r="M739">
        <v>75</v>
      </c>
      <c r="N739">
        <v>29.77711</v>
      </c>
      <c r="O739">
        <v>14.571490000000001</v>
      </c>
      <c r="P739">
        <v>23.717770000000002</v>
      </c>
      <c r="Q739">
        <v>48467</v>
      </c>
    </row>
    <row r="740" spans="1:17" x14ac:dyDescent="0.25">
      <c r="A740" t="s">
        <v>20</v>
      </c>
      <c r="B740">
        <v>37</v>
      </c>
      <c r="C740">
        <v>0.89</v>
      </c>
      <c r="D740">
        <v>2019</v>
      </c>
      <c r="E740" t="s">
        <v>18</v>
      </c>
      <c r="F740">
        <v>2019074</v>
      </c>
      <c r="G740">
        <v>2019152</v>
      </c>
      <c r="H740">
        <v>3125</v>
      </c>
      <c r="I740">
        <v>623</v>
      </c>
      <c r="J740">
        <v>0</v>
      </c>
      <c r="K740">
        <v>99</v>
      </c>
      <c r="L740">
        <v>284</v>
      </c>
      <c r="M740">
        <v>75</v>
      </c>
      <c r="N740">
        <v>30.988309999999998</v>
      </c>
      <c r="O740">
        <v>14.28505</v>
      </c>
      <c r="P740">
        <v>25.11777</v>
      </c>
      <c r="Q740">
        <v>27406</v>
      </c>
    </row>
    <row r="741" spans="1:17" x14ac:dyDescent="0.25">
      <c r="A741" t="s">
        <v>20</v>
      </c>
      <c r="B741">
        <v>37</v>
      </c>
      <c r="C741">
        <v>0.89</v>
      </c>
      <c r="D741">
        <v>2020</v>
      </c>
      <c r="E741" t="s">
        <v>18</v>
      </c>
      <c r="F741">
        <v>2020074</v>
      </c>
      <c r="G741">
        <v>2020143</v>
      </c>
      <c r="H741">
        <v>4987</v>
      </c>
      <c r="I741">
        <v>791</v>
      </c>
      <c r="J741">
        <v>0</v>
      </c>
      <c r="K741">
        <v>244</v>
      </c>
      <c r="L741">
        <v>307</v>
      </c>
      <c r="M741">
        <v>75</v>
      </c>
      <c r="N741">
        <v>30.872890000000002</v>
      </c>
      <c r="O741">
        <v>15.42337</v>
      </c>
      <c r="P741">
        <v>24.29813</v>
      </c>
      <c r="Q741">
        <v>34822</v>
      </c>
    </row>
    <row r="742" spans="1:17" x14ac:dyDescent="0.25">
      <c r="A742" t="s">
        <v>20</v>
      </c>
      <c r="B742">
        <v>38</v>
      </c>
      <c r="C742">
        <v>0.64</v>
      </c>
      <c r="D742">
        <v>2001</v>
      </c>
      <c r="E742" t="s">
        <v>17</v>
      </c>
      <c r="F742">
        <v>2001059</v>
      </c>
      <c r="G742">
        <v>2001135</v>
      </c>
      <c r="H742">
        <v>5418</v>
      </c>
      <c r="I742">
        <v>681</v>
      </c>
      <c r="J742">
        <v>0</v>
      </c>
      <c r="K742">
        <v>283</v>
      </c>
      <c r="L742">
        <v>235</v>
      </c>
      <c r="M742">
        <v>100</v>
      </c>
      <c r="N742">
        <v>30.304369999999999</v>
      </c>
      <c r="O742">
        <v>15.655900000000001</v>
      </c>
      <c r="P742">
        <v>21.42445</v>
      </c>
      <c r="Q742">
        <v>25206</v>
      </c>
    </row>
    <row r="743" spans="1:17" x14ac:dyDescent="0.25">
      <c r="A743" t="s">
        <v>20</v>
      </c>
      <c r="B743">
        <v>38</v>
      </c>
      <c r="C743">
        <v>0.64</v>
      </c>
      <c r="D743">
        <v>2002</v>
      </c>
      <c r="E743" t="s">
        <v>17</v>
      </c>
      <c r="F743">
        <v>2002059</v>
      </c>
      <c r="G743">
        <v>2002139</v>
      </c>
      <c r="H743">
        <v>5495</v>
      </c>
      <c r="I743">
        <v>612</v>
      </c>
      <c r="J743">
        <v>0</v>
      </c>
      <c r="K743">
        <v>370</v>
      </c>
      <c r="L743">
        <v>292</v>
      </c>
      <c r="M743">
        <v>100</v>
      </c>
      <c r="N743">
        <v>27.89039</v>
      </c>
      <c r="O743">
        <v>13.55546</v>
      </c>
      <c r="P743">
        <v>18.961120000000001</v>
      </c>
      <c r="Q743">
        <v>22650</v>
      </c>
    </row>
    <row r="744" spans="1:17" x14ac:dyDescent="0.25">
      <c r="A744" t="s">
        <v>20</v>
      </c>
      <c r="B744">
        <v>38</v>
      </c>
      <c r="C744">
        <v>0.64</v>
      </c>
      <c r="D744">
        <v>2003</v>
      </c>
      <c r="E744" t="s">
        <v>17</v>
      </c>
      <c r="F744">
        <v>2003059</v>
      </c>
      <c r="G744">
        <v>2003138</v>
      </c>
      <c r="H744">
        <v>6121</v>
      </c>
      <c r="I744">
        <v>649</v>
      </c>
      <c r="J744">
        <v>0</v>
      </c>
      <c r="K744">
        <v>233</v>
      </c>
      <c r="L744">
        <v>462</v>
      </c>
      <c r="M744">
        <v>100</v>
      </c>
      <c r="N744">
        <v>30.037109999999998</v>
      </c>
      <c r="O744">
        <v>14.62359</v>
      </c>
      <c r="P744">
        <v>20.686019999999999</v>
      </c>
      <c r="Q744">
        <v>24006</v>
      </c>
    </row>
    <row r="745" spans="1:17" x14ac:dyDescent="0.25">
      <c r="A745" t="s">
        <v>20</v>
      </c>
      <c r="B745">
        <v>38</v>
      </c>
      <c r="C745">
        <v>0.64</v>
      </c>
      <c r="D745">
        <v>2004</v>
      </c>
      <c r="E745" t="s">
        <v>17</v>
      </c>
      <c r="F745">
        <v>2004059</v>
      </c>
      <c r="G745">
        <v>2004146</v>
      </c>
      <c r="H745">
        <v>9576</v>
      </c>
      <c r="I745">
        <v>2096</v>
      </c>
      <c r="J745">
        <v>0</v>
      </c>
      <c r="K745">
        <v>298</v>
      </c>
      <c r="L745">
        <v>405</v>
      </c>
      <c r="M745">
        <v>100</v>
      </c>
      <c r="N745">
        <v>29.151530000000001</v>
      </c>
      <c r="O745">
        <v>13.76463</v>
      </c>
      <c r="P745">
        <v>18.958939999999998</v>
      </c>
      <c r="Q745">
        <v>77535</v>
      </c>
    </row>
    <row r="746" spans="1:17" x14ac:dyDescent="0.25">
      <c r="A746" t="s">
        <v>20</v>
      </c>
      <c r="B746">
        <v>38</v>
      </c>
      <c r="C746">
        <v>0.64</v>
      </c>
      <c r="D746">
        <v>2005</v>
      </c>
      <c r="E746" t="s">
        <v>17</v>
      </c>
      <c r="F746">
        <v>2005059</v>
      </c>
      <c r="G746">
        <v>2005138</v>
      </c>
      <c r="H746">
        <v>4533</v>
      </c>
      <c r="I746">
        <v>446</v>
      </c>
      <c r="J746">
        <v>0</v>
      </c>
      <c r="K746">
        <v>333</v>
      </c>
      <c r="L746">
        <v>204</v>
      </c>
      <c r="M746">
        <v>100</v>
      </c>
      <c r="N746">
        <v>29.697379999999999</v>
      </c>
      <c r="O746">
        <v>13.444100000000001</v>
      </c>
      <c r="P746">
        <v>20.934930000000001</v>
      </c>
      <c r="Q746">
        <v>16491</v>
      </c>
    </row>
    <row r="747" spans="1:17" x14ac:dyDescent="0.25">
      <c r="A747" t="s">
        <v>20</v>
      </c>
      <c r="B747">
        <v>38</v>
      </c>
      <c r="C747">
        <v>0.64</v>
      </c>
      <c r="D747">
        <v>2006</v>
      </c>
      <c r="E747" t="s">
        <v>17</v>
      </c>
      <c r="F747">
        <v>2006059</v>
      </c>
      <c r="G747">
        <v>2006137</v>
      </c>
      <c r="H747">
        <v>6118</v>
      </c>
      <c r="I747">
        <v>528</v>
      </c>
      <c r="J747">
        <v>0</v>
      </c>
      <c r="K747">
        <v>281</v>
      </c>
      <c r="L747">
        <v>263</v>
      </c>
      <c r="M747">
        <v>100</v>
      </c>
      <c r="N747">
        <v>29.78558</v>
      </c>
      <c r="O747">
        <v>14.442360000000001</v>
      </c>
      <c r="P747">
        <v>18.966809999999999</v>
      </c>
      <c r="Q747">
        <v>19532</v>
      </c>
    </row>
    <row r="748" spans="1:17" x14ac:dyDescent="0.25">
      <c r="A748" t="s">
        <v>20</v>
      </c>
      <c r="B748">
        <v>38</v>
      </c>
      <c r="C748">
        <v>0.64</v>
      </c>
      <c r="D748">
        <v>2007</v>
      </c>
      <c r="E748" t="s">
        <v>17</v>
      </c>
      <c r="F748">
        <v>2007059</v>
      </c>
      <c r="G748">
        <v>2007144</v>
      </c>
      <c r="H748">
        <v>9511</v>
      </c>
      <c r="I748">
        <v>1873</v>
      </c>
      <c r="J748">
        <v>0</v>
      </c>
      <c r="K748">
        <v>259</v>
      </c>
      <c r="L748">
        <v>354</v>
      </c>
      <c r="M748">
        <v>100</v>
      </c>
      <c r="N748">
        <v>28.350650000000002</v>
      </c>
      <c r="O748">
        <v>13.614420000000001</v>
      </c>
      <c r="P748">
        <v>21.151959999999999</v>
      </c>
      <c r="Q748">
        <v>69300</v>
      </c>
    </row>
    <row r="749" spans="1:17" x14ac:dyDescent="0.25">
      <c r="A749" t="s">
        <v>20</v>
      </c>
      <c r="B749">
        <v>38</v>
      </c>
      <c r="C749">
        <v>0.64</v>
      </c>
      <c r="D749">
        <v>2008</v>
      </c>
      <c r="E749" t="s">
        <v>17</v>
      </c>
      <c r="F749">
        <v>2008059</v>
      </c>
      <c r="G749">
        <v>2008142</v>
      </c>
      <c r="H749">
        <v>9057</v>
      </c>
      <c r="I749">
        <v>1684</v>
      </c>
      <c r="J749">
        <v>0</v>
      </c>
      <c r="K749">
        <v>362</v>
      </c>
      <c r="L749">
        <v>319</v>
      </c>
      <c r="M749">
        <v>100</v>
      </c>
      <c r="N749">
        <v>28.67773</v>
      </c>
      <c r="O749">
        <v>13.022270000000001</v>
      </c>
      <c r="P749">
        <v>21.703499999999998</v>
      </c>
      <c r="Q749">
        <v>62297</v>
      </c>
    </row>
    <row r="750" spans="1:17" x14ac:dyDescent="0.25">
      <c r="A750" t="s">
        <v>20</v>
      </c>
      <c r="B750">
        <v>38</v>
      </c>
      <c r="C750">
        <v>0.64</v>
      </c>
      <c r="D750">
        <v>2009</v>
      </c>
      <c r="E750" t="s">
        <v>18</v>
      </c>
      <c r="F750">
        <v>2009059</v>
      </c>
      <c r="G750">
        <v>2009135</v>
      </c>
      <c r="H750">
        <v>4671</v>
      </c>
      <c r="I750">
        <v>320</v>
      </c>
      <c r="J750">
        <v>0</v>
      </c>
      <c r="K750">
        <v>150</v>
      </c>
      <c r="L750">
        <v>293</v>
      </c>
      <c r="M750">
        <v>100</v>
      </c>
      <c r="N750">
        <v>29.812660000000001</v>
      </c>
      <c r="O750">
        <v>13.74803</v>
      </c>
      <c r="P750">
        <v>21.552399999999999</v>
      </c>
      <c r="Q750">
        <v>11849</v>
      </c>
    </row>
    <row r="751" spans="1:17" x14ac:dyDescent="0.25">
      <c r="A751" t="s">
        <v>20</v>
      </c>
      <c r="B751">
        <v>38</v>
      </c>
      <c r="C751">
        <v>0.64</v>
      </c>
      <c r="D751">
        <v>2010</v>
      </c>
      <c r="E751" t="s">
        <v>18</v>
      </c>
      <c r="F751">
        <v>2010059</v>
      </c>
      <c r="G751">
        <v>2010135</v>
      </c>
      <c r="H751">
        <v>9141</v>
      </c>
      <c r="I751">
        <v>1952</v>
      </c>
      <c r="J751">
        <v>0</v>
      </c>
      <c r="K751">
        <v>316</v>
      </c>
      <c r="L751">
        <v>726</v>
      </c>
      <c r="M751">
        <v>100</v>
      </c>
      <c r="N751">
        <v>29.093879999999999</v>
      </c>
      <c r="O751">
        <v>14.128819999999999</v>
      </c>
      <c r="P751">
        <v>21.529250000000001</v>
      </c>
      <c r="Q751">
        <v>72218</v>
      </c>
    </row>
    <row r="752" spans="1:17" x14ac:dyDescent="0.25">
      <c r="A752" t="s">
        <v>20</v>
      </c>
      <c r="B752">
        <v>38</v>
      </c>
      <c r="C752">
        <v>0.64</v>
      </c>
      <c r="D752">
        <v>2011</v>
      </c>
      <c r="E752" t="s">
        <v>18</v>
      </c>
      <c r="F752">
        <v>2011059</v>
      </c>
      <c r="G752">
        <v>2011131</v>
      </c>
      <c r="H752">
        <v>9674</v>
      </c>
      <c r="I752">
        <v>2230</v>
      </c>
      <c r="J752">
        <v>0</v>
      </c>
      <c r="K752">
        <v>171</v>
      </c>
      <c r="L752">
        <v>591</v>
      </c>
      <c r="M752">
        <v>100</v>
      </c>
      <c r="N752">
        <v>30.213090000000001</v>
      </c>
      <c r="O752">
        <v>14.58821</v>
      </c>
      <c r="P752">
        <v>22.010919999999999</v>
      </c>
      <c r="Q752">
        <v>82521</v>
      </c>
    </row>
    <row r="753" spans="1:17" x14ac:dyDescent="0.25">
      <c r="A753" t="s">
        <v>20</v>
      </c>
      <c r="B753">
        <v>38</v>
      </c>
      <c r="C753">
        <v>0.64</v>
      </c>
      <c r="D753">
        <v>2012</v>
      </c>
      <c r="E753" t="s">
        <v>18</v>
      </c>
      <c r="F753">
        <v>2012059</v>
      </c>
      <c r="G753">
        <v>2012154</v>
      </c>
      <c r="H753">
        <v>2579</v>
      </c>
      <c r="I753">
        <v>684</v>
      </c>
      <c r="J753">
        <v>0</v>
      </c>
      <c r="K753">
        <v>284</v>
      </c>
      <c r="L753">
        <v>139</v>
      </c>
      <c r="M753">
        <v>100</v>
      </c>
      <c r="N753">
        <v>30.087769999999999</v>
      </c>
      <c r="O753">
        <v>13.49869</v>
      </c>
      <c r="P753">
        <v>22.329260000000001</v>
      </c>
      <c r="Q753">
        <v>25306</v>
      </c>
    </row>
    <row r="754" spans="1:17" x14ac:dyDescent="0.25">
      <c r="A754" t="s">
        <v>20</v>
      </c>
      <c r="B754">
        <v>38</v>
      </c>
      <c r="C754">
        <v>0.64</v>
      </c>
      <c r="D754">
        <v>2013</v>
      </c>
      <c r="E754" t="s">
        <v>18</v>
      </c>
      <c r="F754">
        <v>2013059</v>
      </c>
      <c r="G754">
        <v>2013133</v>
      </c>
      <c r="H754">
        <v>6206</v>
      </c>
      <c r="I754">
        <v>993</v>
      </c>
      <c r="J754">
        <v>0</v>
      </c>
      <c r="K754">
        <v>380</v>
      </c>
      <c r="L754">
        <v>443</v>
      </c>
      <c r="M754">
        <v>100</v>
      </c>
      <c r="N754">
        <v>28.73057</v>
      </c>
      <c r="O754">
        <v>13.66419</v>
      </c>
      <c r="P754">
        <v>21.820080000000001</v>
      </c>
      <c r="Q754">
        <v>36739</v>
      </c>
    </row>
    <row r="755" spans="1:17" x14ac:dyDescent="0.25">
      <c r="A755" t="s">
        <v>20</v>
      </c>
      <c r="B755">
        <v>38</v>
      </c>
      <c r="C755">
        <v>0.64</v>
      </c>
      <c r="D755">
        <v>2014</v>
      </c>
      <c r="E755" t="s">
        <v>18</v>
      </c>
      <c r="F755">
        <v>2014059</v>
      </c>
      <c r="G755">
        <v>2014131</v>
      </c>
      <c r="H755">
        <v>4649</v>
      </c>
      <c r="I755">
        <v>398</v>
      </c>
      <c r="J755">
        <v>0</v>
      </c>
      <c r="K755">
        <v>284</v>
      </c>
      <c r="L755">
        <v>289</v>
      </c>
      <c r="M755">
        <v>100</v>
      </c>
      <c r="N755">
        <v>29.070309999999999</v>
      </c>
      <c r="O755">
        <v>13.98996</v>
      </c>
      <c r="P755">
        <v>23.211359999999999</v>
      </c>
      <c r="Q755">
        <v>14722</v>
      </c>
    </row>
    <row r="756" spans="1:17" x14ac:dyDescent="0.25">
      <c r="A756" t="s">
        <v>20</v>
      </c>
      <c r="B756">
        <v>38</v>
      </c>
      <c r="C756">
        <v>0.64</v>
      </c>
      <c r="D756">
        <v>2015</v>
      </c>
      <c r="E756" t="s">
        <v>18</v>
      </c>
      <c r="F756">
        <v>2015059</v>
      </c>
      <c r="G756">
        <v>2015140</v>
      </c>
      <c r="H756">
        <v>3140</v>
      </c>
      <c r="I756">
        <v>452</v>
      </c>
      <c r="J756">
        <v>0</v>
      </c>
      <c r="K756">
        <v>150</v>
      </c>
      <c r="L756">
        <v>213</v>
      </c>
      <c r="M756">
        <v>100</v>
      </c>
      <c r="N756">
        <v>30.714849999999998</v>
      </c>
      <c r="O756">
        <v>14.063319999999999</v>
      </c>
      <c r="P756">
        <v>22.776420000000002</v>
      </c>
      <c r="Q756">
        <v>16728</v>
      </c>
    </row>
    <row r="757" spans="1:17" x14ac:dyDescent="0.25">
      <c r="A757" t="s">
        <v>20</v>
      </c>
      <c r="B757">
        <v>38</v>
      </c>
      <c r="C757">
        <v>0.64</v>
      </c>
      <c r="D757">
        <v>2016</v>
      </c>
      <c r="E757" t="s">
        <v>18</v>
      </c>
      <c r="F757">
        <v>2016059</v>
      </c>
      <c r="G757">
        <v>2016139</v>
      </c>
      <c r="H757">
        <v>11958</v>
      </c>
      <c r="I757">
        <v>3848</v>
      </c>
      <c r="J757">
        <v>0</v>
      </c>
      <c r="K757">
        <v>352</v>
      </c>
      <c r="L757">
        <v>256</v>
      </c>
      <c r="M757">
        <v>100</v>
      </c>
      <c r="N757">
        <v>29.869</v>
      </c>
      <c r="O757">
        <v>13.90175</v>
      </c>
      <c r="P757">
        <v>21.99213</v>
      </c>
      <c r="Q757">
        <v>142394</v>
      </c>
    </row>
    <row r="758" spans="1:17" x14ac:dyDescent="0.25">
      <c r="A758" t="s">
        <v>20</v>
      </c>
      <c r="B758">
        <v>38</v>
      </c>
      <c r="C758">
        <v>0.64</v>
      </c>
      <c r="D758">
        <v>2017</v>
      </c>
      <c r="E758" t="s">
        <v>18</v>
      </c>
      <c r="F758">
        <v>2017059</v>
      </c>
      <c r="G758">
        <v>2017130</v>
      </c>
      <c r="H758">
        <v>9618</v>
      </c>
      <c r="I758">
        <v>1691</v>
      </c>
      <c r="J758">
        <v>0</v>
      </c>
      <c r="K758">
        <v>245</v>
      </c>
      <c r="L758">
        <v>379</v>
      </c>
      <c r="M758">
        <v>100</v>
      </c>
      <c r="N758">
        <v>31.523579999999999</v>
      </c>
      <c r="O758">
        <v>14.26201</v>
      </c>
      <c r="P758">
        <v>23.358519999999999</v>
      </c>
      <c r="Q758">
        <v>62563</v>
      </c>
    </row>
    <row r="759" spans="1:17" x14ac:dyDescent="0.25">
      <c r="A759" t="s">
        <v>20</v>
      </c>
      <c r="B759">
        <v>38</v>
      </c>
      <c r="C759">
        <v>0.64</v>
      </c>
      <c r="D759">
        <v>2018</v>
      </c>
      <c r="E759" t="s">
        <v>18</v>
      </c>
      <c r="F759">
        <v>2018059</v>
      </c>
      <c r="G759">
        <v>2018135</v>
      </c>
      <c r="H759">
        <v>6311</v>
      </c>
      <c r="I759">
        <v>809</v>
      </c>
      <c r="J759">
        <v>0</v>
      </c>
      <c r="K759">
        <v>465</v>
      </c>
      <c r="L759">
        <v>200</v>
      </c>
      <c r="M759">
        <v>100</v>
      </c>
      <c r="N759">
        <v>28.944120000000002</v>
      </c>
      <c r="O759">
        <v>14.286899999999999</v>
      </c>
      <c r="P759">
        <v>22.76071</v>
      </c>
      <c r="Q759">
        <v>29939</v>
      </c>
    </row>
    <row r="760" spans="1:17" x14ac:dyDescent="0.25">
      <c r="A760" t="s">
        <v>20</v>
      </c>
      <c r="B760">
        <v>38</v>
      </c>
      <c r="C760">
        <v>0.64</v>
      </c>
      <c r="D760">
        <v>2019</v>
      </c>
      <c r="E760" t="s">
        <v>18</v>
      </c>
      <c r="F760">
        <v>2019059</v>
      </c>
      <c r="G760">
        <v>2019135</v>
      </c>
      <c r="H760">
        <v>3692</v>
      </c>
      <c r="I760">
        <v>381</v>
      </c>
      <c r="J760">
        <v>0</v>
      </c>
      <c r="K760">
        <v>99</v>
      </c>
      <c r="L760">
        <v>284</v>
      </c>
      <c r="M760">
        <v>100</v>
      </c>
      <c r="N760">
        <v>30.387329999999999</v>
      </c>
      <c r="O760">
        <v>13.719659999999999</v>
      </c>
      <c r="P760">
        <v>24.60961</v>
      </c>
      <c r="Q760">
        <v>14107</v>
      </c>
    </row>
    <row r="761" spans="1:17" x14ac:dyDescent="0.25">
      <c r="A761" t="s">
        <v>20</v>
      </c>
      <c r="B761">
        <v>38</v>
      </c>
      <c r="C761">
        <v>0.64</v>
      </c>
      <c r="D761">
        <v>2020</v>
      </c>
      <c r="E761" t="s">
        <v>18</v>
      </c>
      <c r="F761">
        <v>2020059</v>
      </c>
      <c r="G761">
        <v>2020143</v>
      </c>
      <c r="H761">
        <v>5002</v>
      </c>
      <c r="I761">
        <v>715</v>
      </c>
      <c r="J761">
        <v>0</v>
      </c>
      <c r="K761">
        <v>244</v>
      </c>
      <c r="L761">
        <v>307</v>
      </c>
      <c r="M761">
        <v>100</v>
      </c>
      <c r="N761">
        <v>30.297820000000002</v>
      </c>
      <c r="O761">
        <v>14.832319999999999</v>
      </c>
      <c r="P761">
        <v>23.80349</v>
      </c>
      <c r="Q761">
        <v>26469</v>
      </c>
    </row>
    <row r="762" spans="1:17" x14ac:dyDescent="0.25">
      <c r="A762" t="s">
        <v>21</v>
      </c>
      <c r="B762">
        <v>39</v>
      </c>
      <c r="C762">
        <v>0.74</v>
      </c>
      <c r="D762">
        <v>2001</v>
      </c>
      <c r="E762" t="s">
        <v>17</v>
      </c>
      <c r="F762">
        <v>2001105</v>
      </c>
      <c r="G762">
        <v>2001174</v>
      </c>
      <c r="H762">
        <v>5088</v>
      </c>
      <c r="I762">
        <v>256</v>
      </c>
      <c r="J762">
        <v>0</v>
      </c>
      <c r="K762">
        <v>239</v>
      </c>
      <c r="L762">
        <v>235</v>
      </c>
      <c r="M762">
        <v>75</v>
      </c>
      <c r="N762">
        <v>29.25684</v>
      </c>
      <c r="O762">
        <v>12.30382</v>
      </c>
      <c r="P762">
        <v>24.074870000000001</v>
      </c>
      <c r="Q762">
        <v>6407</v>
      </c>
    </row>
    <row r="763" spans="1:17" x14ac:dyDescent="0.25">
      <c r="A763" t="s">
        <v>21</v>
      </c>
      <c r="B763">
        <v>39</v>
      </c>
      <c r="C763">
        <v>0.74</v>
      </c>
      <c r="D763">
        <v>2002</v>
      </c>
      <c r="E763" t="s">
        <v>17</v>
      </c>
      <c r="F763">
        <v>2002105</v>
      </c>
      <c r="G763">
        <v>2002175</v>
      </c>
      <c r="H763">
        <v>3825</v>
      </c>
      <c r="I763">
        <v>1246</v>
      </c>
      <c r="J763">
        <v>0</v>
      </c>
      <c r="K763">
        <v>198</v>
      </c>
      <c r="L763">
        <v>116</v>
      </c>
      <c r="M763">
        <v>75</v>
      </c>
      <c r="N763">
        <v>28.448080000000001</v>
      </c>
      <c r="O763">
        <v>11.543710000000001</v>
      </c>
      <c r="P763">
        <v>23.359559999999998</v>
      </c>
      <c r="Q763">
        <v>31159</v>
      </c>
    </row>
    <row r="764" spans="1:17" x14ac:dyDescent="0.25">
      <c r="A764" t="s">
        <v>21</v>
      </c>
      <c r="B764">
        <v>39</v>
      </c>
      <c r="C764">
        <v>0.74</v>
      </c>
      <c r="D764">
        <v>2003</v>
      </c>
      <c r="E764" t="s">
        <v>17</v>
      </c>
      <c r="F764">
        <v>2003105</v>
      </c>
      <c r="G764">
        <v>2003172</v>
      </c>
      <c r="H764">
        <v>3316</v>
      </c>
      <c r="I764">
        <v>166</v>
      </c>
      <c r="J764">
        <v>0</v>
      </c>
      <c r="K764">
        <v>161</v>
      </c>
      <c r="L764">
        <v>212</v>
      </c>
      <c r="M764">
        <v>75</v>
      </c>
      <c r="N764">
        <v>30.072140000000001</v>
      </c>
      <c r="O764">
        <v>11.8612</v>
      </c>
      <c r="P764">
        <v>23.498909999999999</v>
      </c>
      <c r="Q764">
        <v>4141</v>
      </c>
    </row>
    <row r="765" spans="1:17" x14ac:dyDescent="0.25">
      <c r="A765" t="s">
        <v>21</v>
      </c>
      <c r="B765">
        <v>39</v>
      </c>
      <c r="C765">
        <v>0.74</v>
      </c>
      <c r="D765">
        <v>2004</v>
      </c>
      <c r="E765" t="s">
        <v>17</v>
      </c>
      <c r="F765">
        <v>2004105</v>
      </c>
      <c r="G765">
        <v>2004179</v>
      </c>
      <c r="H765">
        <v>2775</v>
      </c>
      <c r="I765">
        <v>133</v>
      </c>
      <c r="J765">
        <v>0</v>
      </c>
      <c r="K765">
        <v>239</v>
      </c>
      <c r="L765">
        <v>155</v>
      </c>
      <c r="M765">
        <v>75</v>
      </c>
      <c r="N765">
        <v>28.88251</v>
      </c>
      <c r="O765">
        <v>11.89016</v>
      </c>
      <c r="P765">
        <v>23.470490000000002</v>
      </c>
      <c r="Q765">
        <v>3336</v>
      </c>
    </row>
    <row r="766" spans="1:17" x14ac:dyDescent="0.25">
      <c r="A766" t="s">
        <v>21</v>
      </c>
      <c r="B766">
        <v>39</v>
      </c>
      <c r="C766">
        <v>0.74</v>
      </c>
      <c r="D766">
        <v>2005</v>
      </c>
      <c r="E766" t="s">
        <v>17</v>
      </c>
      <c r="F766">
        <v>2005105</v>
      </c>
      <c r="G766">
        <v>2005168</v>
      </c>
      <c r="H766">
        <v>798</v>
      </c>
      <c r="I766">
        <v>41</v>
      </c>
      <c r="J766">
        <v>0</v>
      </c>
      <c r="K766">
        <v>135</v>
      </c>
      <c r="L766">
        <v>78</v>
      </c>
      <c r="M766">
        <v>75</v>
      </c>
      <c r="N766">
        <v>30.140979999999999</v>
      </c>
      <c r="O766">
        <v>11.84098</v>
      </c>
      <c r="P766">
        <v>25.041519999999998</v>
      </c>
      <c r="Q766">
        <v>1024</v>
      </c>
    </row>
    <row r="767" spans="1:17" x14ac:dyDescent="0.25">
      <c r="A767" t="s">
        <v>21</v>
      </c>
      <c r="B767">
        <v>39</v>
      </c>
      <c r="C767">
        <v>0.74</v>
      </c>
      <c r="D767">
        <v>2006</v>
      </c>
      <c r="E767" t="s">
        <v>17</v>
      </c>
      <c r="F767">
        <v>2006105</v>
      </c>
      <c r="G767">
        <v>2006172</v>
      </c>
      <c r="H767">
        <v>2895</v>
      </c>
      <c r="I767">
        <v>353</v>
      </c>
      <c r="J767">
        <v>0</v>
      </c>
      <c r="K767">
        <v>183</v>
      </c>
      <c r="L767">
        <v>140</v>
      </c>
      <c r="M767">
        <v>75</v>
      </c>
      <c r="N767">
        <v>29.814209999999999</v>
      </c>
      <c r="O767">
        <v>12.267760000000001</v>
      </c>
      <c r="P767">
        <v>24.18525</v>
      </c>
      <c r="Q767">
        <v>8814</v>
      </c>
    </row>
    <row r="768" spans="1:17" x14ac:dyDescent="0.25">
      <c r="A768" t="s">
        <v>21</v>
      </c>
      <c r="B768">
        <v>39</v>
      </c>
      <c r="C768">
        <v>0.74</v>
      </c>
      <c r="D768">
        <v>2007</v>
      </c>
      <c r="E768" t="s">
        <v>17</v>
      </c>
      <c r="F768">
        <v>2007105</v>
      </c>
      <c r="G768">
        <v>2007175</v>
      </c>
      <c r="H768">
        <v>1879</v>
      </c>
      <c r="I768">
        <v>65</v>
      </c>
      <c r="J768">
        <v>0</v>
      </c>
      <c r="K768">
        <v>206</v>
      </c>
      <c r="L768">
        <v>141</v>
      </c>
      <c r="M768">
        <v>75</v>
      </c>
      <c r="N768">
        <v>28.408200000000001</v>
      </c>
      <c r="O768">
        <v>11.548629999999999</v>
      </c>
      <c r="P768">
        <v>24.607109999999999</v>
      </c>
      <c r="Q768">
        <v>1620</v>
      </c>
    </row>
    <row r="769" spans="1:17" x14ac:dyDescent="0.25">
      <c r="A769" t="s">
        <v>21</v>
      </c>
      <c r="B769">
        <v>39</v>
      </c>
      <c r="C769">
        <v>0.74</v>
      </c>
      <c r="D769">
        <v>2008</v>
      </c>
      <c r="E769" t="s">
        <v>17</v>
      </c>
      <c r="F769">
        <v>2008105</v>
      </c>
      <c r="G769">
        <v>2008177</v>
      </c>
      <c r="H769">
        <v>1117</v>
      </c>
      <c r="I769">
        <v>92</v>
      </c>
      <c r="J769">
        <v>0</v>
      </c>
      <c r="K769">
        <v>186</v>
      </c>
      <c r="L769">
        <v>65</v>
      </c>
      <c r="M769">
        <v>75</v>
      </c>
      <c r="N769">
        <v>28.307099999999998</v>
      </c>
      <c r="O769">
        <v>11.925129999999999</v>
      </c>
      <c r="P769">
        <v>24.403829999999999</v>
      </c>
      <c r="Q769">
        <v>2294</v>
      </c>
    </row>
    <row r="770" spans="1:17" x14ac:dyDescent="0.25">
      <c r="A770" t="s">
        <v>21</v>
      </c>
      <c r="B770">
        <v>39</v>
      </c>
      <c r="C770">
        <v>0.74</v>
      </c>
      <c r="D770">
        <v>2009</v>
      </c>
      <c r="E770" t="s">
        <v>17</v>
      </c>
      <c r="F770">
        <v>2009105</v>
      </c>
      <c r="G770">
        <v>2009173</v>
      </c>
      <c r="H770">
        <v>2381</v>
      </c>
      <c r="I770">
        <v>41</v>
      </c>
      <c r="J770">
        <v>0</v>
      </c>
      <c r="K770">
        <v>168</v>
      </c>
      <c r="L770">
        <v>198</v>
      </c>
      <c r="M770">
        <v>75</v>
      </c>
      <c r="N770">
        <v>29.742619999999999</v>
      </c>
      <c r="O770">
        <v>11.99672</v>
      </c>
      <c r="P770">
        <v>25.168859999999999</v>
      </c>
      <c r="Q770">
        <v>1023</v>
      </c>
    </row>
    <row r="771" spans="1:17" x14ac:dyDescent="0.25">
      <c r="A771" t="s">
        <v>21</v>
      </c>
      <c r="B771">
        <v>39</v>
      </c>
      <c r="C771">
        <v>0.74</v>
      </c>
      <c r="D771">
        <v>2010</v>
      </c>
      <c r="E771" t="s">
        <v>18</v>
      </c>
      <c r="F771">
        <v>2010105</v>
      </c>
      <c r="G771">
        <v>2010169</v>
      </c>
      <c r="H771">
        <v>3865</v>
      </c>
      <c r="I771">
        <v>306</v>
      </c>
      <c r="J771">
        <v>0</v>
      </c>
      <c r="K771">
        <v>203</v>
      </c>
      <c r="L771">
        <v>392</v>
      </c>
      <c r="M771">
        <v>75</v>
      </c>
      <c r="N771">
        <v>29.072130000000001</v>
      </c>
      <c r="O771">
        <v>11.924049999999999</v>
      </c>
      <c r="P771">
        <v>24.860099999999999</v>
      </c>
      <c r="Q771">
        <v>7646</v>
      </c>
    </row>
    <row r="772" spans="1:17" x14ac:dyDescent="0.25">
      <c r="A772" t="s">
        <v>21</v>
      </c>
      <c r="B772">
        <v>39</v>
      </c>
      <c r="C772">
        <v>0.74</v>
      </c>
      <c r="D772">
        <v>2011</v>
      </c>
      <c r="E772" t="s">
        <v>18</v>
      </c>
      <c r="F772">
        <v>2011105</v>
      </c>
      <c r="G772">
        <v>2011169</v>
      </c>
      <c r="H772">
        <v>4586</v>
      </c>
      <c r="I772">
        <v>772</v>
      </c>
      <c r="J772">
        <v>0</v>
      </c>
      <c r="K772">
        <v>177</v>
      </c>
      <c r="L772">
        <v>278</v>
      </c>
      <c r="M772">
        <v>75</v>
      </c>
      <c r="N772">
        <v>29.567219999999999</v>
      </c>
      <c r="O772">
        <v>11.62021</v>
      </c>
      <c r="P772">
        <v>24.25901</v>
      </c>
      <c r="Q772">
        <v>19308</v>
      </c>
    </row>
    <row r="773" spans="1:17" x14ac:dyDescent="0.25">
      <c r="A773" t="s">
        <v>21</v>
      </c>
      <c r="B773">
        <v>39</v>
      </c>
      <c r="C773">
        <v>0.74</v>
      </c>
      <c r="D773">
        <v>2012</v>
      </c>
      <c r="E773" t="s">
        <v>18</v>
      </c>
      <c r="F773">
        <v>2012105</v>
      </c>
      <c r="G773">
        <v>2012167</v>
      </c>
      <c r="H773">
        <v>1567</v>
      </c>
      <c r="I773">
        <v>248</v>
      </c>
      <c r="J773">
        <v>0</v>
      </c>
      <c r="K773">
        <v>186</v>
      </c>
      <c r="L773">
        <v>91</v>
      </c>
      <c r="M773">
        <v>75</v>
      </c>
      <c r="N773">
        <v>30.82404</v>
      </c>
      <c r="O773">
        <v>11.753</v>
      </c>
      <c r="P773">
        <v>25.34535</v>
      </c>
      <c r="Q773">
        <v>6200</v>
      </c>
    </row>
    <row r="774" spans="1:17" x14ac:dyDescent="0.25">
      <c r="A774" t="s">
        <v>21</v>
      </c>
      <c r="B774">
        <v>39</v>
      </c>
      <c r="C774">
        <v>0.74</v>
      </c>
      <c r="D774">
        <v>2013</v>
      </c>
      <c r="E774" t="s">
        <v>18</v>
      </c>
      <c r="F774">
        <v>2013105</v>
      </c>
      <c r="G774">
        <v>2013172</v>
      </c>
      <c r="H774">
        <v>3793</v>
      </c>
      <c r="I774">
        <v>301</v>
      </c>
      <c r="J774">
        <v>0</v>
      </c>
      <c r="K774">
        <v>306</v>
      </c>
      <c r="L774">
        <v>341</v>
      </c>
      <c r="M774">
        <v>75</v>
      </c>
      <c r="N774">
        <v>28.89564</v>
      </c>
      <c r="O774">
        <v>10.758470000000001</v>
      </c>
      <c r="P774">
        <v>23.085789999999999</v>
      </c>
      <c r="Q774">
        <v>7534</v>
      </c>
    </row>
    <row r="775" spans="1:17" x14ac:dyDescent="0.25">
      <c r="A775" t="s">
        <v>21</v>
      </c>
      <c r="B775">
        <v>39</v>
      </c>
      <c r="C775">
        <v>0.74</v>
      </c>
      <c r="D775">
        <v>2014</v>
      </c>
      <c r="E775" t="s">
        <v>18</v>
      </c>
      <c r="F775">
        <v>2014105</v>
      </c>
      <c r="G775">
        <v>2014165</v>
      </c>
      <c r="H775">
        <v>2981</v>
      </c>
      <c r="I775">
        <v>233</v>
      </c>
      <c r="J775">
        <v>0</v>
      </c>
      <c r="K775">
        <v>110</v>
      </c>
      <c r="L775">
        <v>215</v>
      </c>
      <c r="M775">
        <v>75</v>
      </c>
      <c r="N775">
        <v>29.60492</v>
      </c>
      <c r="O775">
        <v>11.53661</v>
      </c>
      <c r="P775">
        <v>24.809840000000001</v>
      </c>
      <c r="Q775">
        <v>5828</v>
      </c>
    </row>
    <row r="776" spans="1:17" x14ac:dyDescent="0.25">
      <c r="A776" t="s">
        <v>21</v>
      </c>
      <c r="B776">
        <v>39</v>
      </c>
      <c r="C776">
        <v>0.74</v>
      </c>
      <c r="D776">
        <v>2015</v>
      </c>
      <c r="E776" t="s">
        <v>18</v>
      </c>
      <c r="F776">
        <v>2015105</v>
      </c>
      <c r="G776">
        <v>2015164</v>
      </c>
      <c r="H776">
        <v>832</v>
      </c>
      <c r="I776">
        <v>164</v>
      </c>
      <c r="J776">
        <v>0</v>
      </c>
      <c r="K776">
        <v>90</v>
      </c>
      <c r="L776">
        <v>157</v>
      </c>
      <c r="M776">
        <v>75</v>
      </c>
      <c r="N776">
        <v>30.671589999999998</v>
      </c>
      <c r="O776">
        <v>11.95683</v>
      </c>
      <c r="P776">
        <v>24.689620000000001</v>
      </c>
      <c r="Q776">
        <v>4112</v>
      </c>
    </row>
    <row r="777" spans="1:17" x14ac:dyDescent="0.25">
      <c r="A777" t="s">
        <v>21</v>
      </c>
      <c r="B777">
        <v>39</v>
      </c>
      <c r="C777">
        <v>0.74</v>
      </c>
      <c r="D777">
        <v>2016</v>
      </c>
      <c r="E777" t="s">
        <v>18</v>
      </c>
      <c r="F777">
        <v>2016105</v>
      </c>
      <c r="G777">
        <v>2016170</v>
      </c>
      <c r="H777">
        <v>553</v>
      </c>
      <c r="I777">
        <v>206</v>
      </c>
      <c r="J777">
        <v>0</v>
      </c>
      <c r="K777">
        <v>106</v>
      </c>
      <c r="L777">
        <v>92</v>
      </c>
      <c r="M777">
        <v>75</v>
      </c>
      <c r="N777">
        <v>30.113109999999999</v>
      </c>
      <c r="O777">
        <v>11.324590000000001</v>
      </c>
      <c r="P777">
        <v>23.930060000000001</v>
      </c>
      <c r="Q777">
        <v>5140</v>
      </c>
    </row>
    <row r="778" spans="1:17" x14ac:dyDescent="0.25">
      <c r="A778" t="s">
        <v>21</v>
      </c>
      <c r="B778">
        <v>39</v>
      </c>
      <c r="C778">
        <v>0.74</v>
      </c>
      <c r="D778">
        <v>2017</v>
      </c>
      <c r="E778" t="s">
        <v>18</v>
      </c>
      <c r="F778">
        <v>2017105</v>
      </c>
      <c r="G778">
        <v>2017163</v>
      </c>
      <c r="H778">
        <v>2856</v>
      </c>
      <c r="I778">
        <v>197</v>
      </c>
      <c r="J778">
        <v>0</v>
      </c>
      <c r="K778">
        <v>88</v>
      </c>
      <c r="L778">
        <v>181</v>
      </c>
      <c r="M778">
        <v>75</v>
      </c>
      <c r="N778">
        <v>31.70327</v>
      </c>
      <c r="O778">
        <v>11.968299999999999</v>
      </c>
      <c r="P778">
        <v>23.241520000000001</v>
      </c>
      <c r="Q778">
        <v>4926</v>
      </c>
    </row>
    <row r="779" spans="1:17" x14ac:dyDescent="0.25">
      <c r="A779" t="s">
        <v>21</v>
      </c>
      <c r="B779">
        <v>39</v>
      </c>
      <c r="C779">
        <v>0.74</v>
      </c>
      <c r="D779">
        <v>2018</v>
      </c>
      <c r="E779" t="s">
        <v>18</v>
      </c>
      <c r="F779">
        <v>2018105</v>
      </c>
      <c r="G779">
        <v>2018171</v>
      </c>
      <c r="H779">
        <v>4549</v>
      </c>
      <c r="I779">
        <v>260</v>
      </c>
      <c r="J779">
        <v>0</v>
      </c>
      <c r="K779">
        <v>367</v>
      </c>
      <c r="L779">
        <v>160</v>
      </c>
      <c r="M779">
        <v>75</v>
      </c>
      <c r="N779">
        <v>28.80219</v>
      </c>
      <c r="O779">
        <v>11.28688</v>
      </c>
      <c r="P779">
        <v>22.97869</v>
      </c>
      <c r="Q779">
        <v>6507</v>
      </c>
    </row>
    <row r="780" spans="1:17" x14ac:dyDescent="0.25">
      <c r="A780" t="s">
        <v>21</v>
      </c>
      <c r="B780">
        <v>39</v>
      </c>
      <c r="C780">
        <v>0.74</v>
      </c>
      <c r="D780">
        <v>2019</v>
      </c>
      <c r="E780" t="s">
        <v>18</v>
      </c>
      <c r="F780">
        <v>2019105</v>
      </c>
      <c r="G780">
        <v>2019167</v>
      </c>
      <c r="H780">
        <v>2352</v>
      </c>
      <c r="I780">
        <v>146</v>
      </c>
      <c r="J780">
        <v>0</v>
      </c>
      <c r="K780">
        <v>243</v>
      </c>
      <c r="L780">
        <v>149</v>
      </c>
      <c r="M780">
        <v>75</v>
      </c>
      <c r="N780">
        <v>29.96612</v>
      </c>
      <c r="O780">
        <v>12.017480000000001</v>
      </c>
      <c r="P780">
        <v>24.172689999999999</v>
      </c>
      <c r="Q780">
        <v>3656</v>
      </c>
    </row>
    <row r="781" spans="1:17" x14ac:dyDescent="0.25">
      <c r="A781" t="s">
        <v>21</v>
      </c>
      <c r="B781">
        <v>39</v>
      </c>
      <c r="C781">
        <v>0.74</v>
      </c>
      <c r="D781">
        <v>2020</v>
      </c>
      <c r="E781" t="s">
        <v>18</v>
      </c>
      <c r="F781">
        <v>2020105</v>
      </c>
      <c r="G781">
        <v>2020165</v>
      </c>
      <c r="H781">
        <v>4326</v>
      </c>
      <c r="I781">
        <v>282</v>
      </c>
      <c r="J781">
        <v>0</v>
      </c>
      <c r="K781">
        <v>198</v>
      </c>
      <c r="L781">
        <v>201</v>
      </c>
      <c r="M781">
        <v>75</v>
      </c>
      <c r="N781">
        <v>29.900549999999999</v>
      </c>
      <c r="O781">
        <v>11.66667</v>
      </c>
      <c r="P781">
        <v>24.695620000000002</v>
      </c>
      <c r="Q781">
        <v>7054</v>
      </c>
    </row>
    <row r="782" spans="1:17" x14ac:dyDescent="0.25">
      <c r="A782" t="s">
        <v>21</v>
      </c>
      <c r="B782">
        <v>40</v>
      </c>
      <c r="C782">
        <v>0.72</v>
      </c>
      <c r="D782">
        <v>2001</v>
      </c>
      <c r="E782" t="s">
        <v>17</v>
      </c>
      <c r="F782">
        <v>2001121</v>
      </c>
      <c r="G782">
        <v>2001184</v>
      </c>
      <c r="H782">
        <v>4967</v>
      </c>
      <c r="I782">
        <v>139</v>
      </c>
      <c r="J782">
        <v>0</v>
      </c>
      <c r="K782">
        <v>239</v>
      </c>
      <c r="L782">
        <v>235</v>
      </c>
      <c r="M782">
        <v>125</v>
      </c>
      <c r="N782">
        <v>30.005990000000001</v>
      </c>
      <c r="O782">
        <v>12.92754</v>
      </c>
      <c r="P782">
        <v>24.097000000000001</v>
      </c>
      <c r="Q782">
        <v>2781</v>
      </c>
    </row>
    <row r="783" spans="1:17" x14ac:dyDescent="0.25">
      <c r="A783" t="s">
        <v>21</v>
      </c>
      <c r="B783">
        <v>40</v>
      </c>
      <c r="C783">
        <v>0.72</v>
      </c>
      <c r="D783">
        <v>2002</v>
      </c>
      <c r="E783" t="s">
        <v>17</v>
      </c>
      <c r="F783">
        <v>2002121</v>
      </c>
      <c r="G783">
        <v>2002185</v>
      </c>
      <c r="H783">
        <v>2828</v>
      </c>
      <c r="I783">
        <v>355</v>
      </c>
      <c r="J783">
        <v>0</v>
      </c>
      <c r="K783">
        <v>198</v>
      </c>
      <c r="L783">
        <v>116</v>
      </c>
      <c r="M783">
        <v>125</v>
      </c>
      <c r="N783">
        <v>28.910769999999999</v>
      </c>
      <c r="O783">
        <v>12.12036</v>
      </c>
      <c r="P783">
        <v>23.16826</v>
      </c>
      <c r="Q783">
        <v>7091</v>
      </c>
    </row>
    <row r="784" spans="1:17" x14ac:dyDescent="0.25">
      <c r="A784" t="s">
        <v>21</v>
      </c>
      <c r="B784">
        <v>40</v>
      </c>
      <c r="C784">
        <v>0.72</v>
      </c>
      <c r="D784">
        <v>2003</v>
      </c>
      <c r="E784" t="s">
        <v>17</v>
      </c>
      <c r="F784">
        <v>2003121</v>
      </c>
      <c r="G784">
        <v>2003182</v>
      </c>
      <c r="H784">
        <v>3062</v>
      </c>
      <c r="I784">
        <v>87</v>
      </c>
      <c r="J784">
        <v>0</v>
      </c>
      <c r="K784">
        <v>161</v>
      </c>
      <c r="L784">
        <v>212</v>
      </c>
      <c r="M784">
        <v>125</v>
      </c>
      <c r="N784">
        <v>30.982040000000001</v>
      </c>
      <c r="O784">
        <v>12.49761</v>
      </c>
      <c r="P784">
        <v>23.716170000000002</v>
      </c>
      <c r="Q784">
        <v>1742</v>
      </c>
    </row>
    <row r="785" spans="1:17" x14ac:dyDescent="0.25">
      <c r="A785" t="s">
        <v>21</v>
      </c>
      <c r="B785">
        <v>40</v>
      </c>
      <c r="C785">
        <v>0.72</v>
      </c>
      <c r="D785">
        <v>2004</v>
      </c>
      <c r="E785" t="s">
        <v>17</v>
      </c>
      <c r="F785">
        <v>2004121</v>
      </c>
      <c r="G785">
        <v>2004188</v>
      </c>
      <c r="H785">
        <v>2714</v>
      </c>
      <c r="I785">
        <v>283</v>
      </c>
      <c r="J785">
        <v>0</v>
      </c>
      <c r="K785">
        <v>239</v>
      </c>
      <c r="L785">
        <v>155</v>
      </c>
      <c r="M785">
        <v>125</v>
      </c>
      <c r="N785">
        <v>29.843109999999999</v>
      </c>
      <c r="O785">
        <v>12.446709999999999</v>
      </c>
      <c r="P785">
        <v>23.543710000000001</v>
      </c>
      <c r="Q785">
        <v>5663</v>
      </c>
    </row>
    <row r="786" spans="1:17" x14ac:dyDescent="0.25">
      <c r="A786" t="s">
        <v>21</v>
      </c>
      <c r="B786">
        <v>40</v>
      </c>
      <c r="C786">
        <v>0.72</v>
      </c>
      <c r="D786">
        <v>2005</v>
      </c>
      <c r="E786" t="s">
        <v>17</v>
      </c>
      <c r="F786">
        <v>2005121</v>
      </c>
      <c r="G786">
        <v>2005180</v>
      </c>
      <c r="H786">
        <v>726</v>
      </c>
      <c r="I786">
        <v>57</v>
      </c>
      <c r="J786">
        <v>0</v>
      </c>
      <c r="K786">
        <v>135</v>
      </c>
      <c r="L786">
        <v>78</v>
      </c>
      <c r="M786">
        <v>125</v>
      </c>
      <c r="N786">
        <v>30.840720000000001</v>
      </c>
      <c r="O786">
        <v>12.29102</v>
      </c>
      <c r="P786">
        <v>24.91976</v>
      </c>
      <c r="Q786">
        <v>1136</v>
      </c>
    </row>
    <row r="787" spans="1:17" x14ac:dyDescent="0.25">
      <c r="A787" t="s">
        <v>21</v>
      </c>
      <c r="B787">
        <v>40</v>
      </c>
      <c r="C787">
        <v>0.72</v>
      </c>
      <c r="D787">
        <v>2006</v>
      </c>
      <c r="E787" t="s">
        <v>17</v>
      </c>
      <c r="F787">
        <v>2006121</v>
      </c>
      <c r="G787">
        <v>2006181</v>
      </c>
      <c r="H787">
        <v>2855</v>
      </c>
      <c r="I787">
        <v>205</v>
      </c>
      <c r="J787">
        <v>0</v>
      </c>
      <c r="K787">
        <v>183</v>
      </c>
      <c r="L787">
        <v>140</v>
      </c>
      <c r="M787">
        <v>125</v>
      </c>
      <c r="N787">
        <v>30.586829999999999</v>
      </c>
      <c r="O787">
        <v>12.750299999999999</v>
      </c>
      <c r="P787">
        <v>24.468859999999999</v>
      </c>
      <c r="Q787">
        <v>4093</v>
      </c>
    </row>
    <row r="788" spans="1:17" x14ac:dyDescent="0.25">
      <c r="A788" t="s">
        <v>21</v>
      </c>
      <c r="B788">
        <v>40</v>
      </c>
      <c r="C788">
        <v>0.72</v>
      </c>
      <c r="D788">
        <v>2007</v>
      </c>
      <c r="E788" t="s">
        <v>17</v>
      </c>
      <c r="F788">
        <v>2007121</v>
      </c>
      <c r="G788">
        <v>2007183</v>
      </c>
      <c r="H788">
        <v>1811</v>
      </c>
      <c r="I788">
        <v>97</v>
      </c>
      <c r="J788">
        <v>0</v>
      </c>
      <c r="K788">
        <v>206</v>
      </c>
      <c r="L788">
        <v>141</v>
      </c>
      <c r="M788">
        <v>125</v>
      </c>
      <c r="N788">
        <v>29.28443</v>
      </c>
      <c r="O788">
        <v>12.06766</v>
      </c>
      <c r="P788">
        <v>25.113779999999998</v>
      </c>
      <c r="Q788">
        <v>1941</v>
      </c>
    </row>
    <row r="789" spans="1:17" x14ac:dyDescent="0.25">
      <c r="A789" t="s">
        <v>21</v>
      </c>
      <c r="B789">
        <v>40</v>
      </c>
      <c r="C789">
        <v>0.72</v>
      </c>
      <c r="D789">
        <v>2008</v>
      </c>
      <c r="E789" t="s">
        <v>17</v>
      </c>
      <c r="F789">
        <v>2008121</v>
      </c>
      <c r="G789">
        <v>2008191</v>
      </c>
      <c r="H789">
        <v>816</v>
      </c>
      <c r="I789">
        <v>73</v>
      </c>
      <c r="J789">
        <v>0</v>
      </c>
      <c r="K789">
        <v>186</v>
      </c>
      <c r="L789">
        <v>65</v>
      </c>
      <c r="M789">
        <v>125</v>
      </c>
      <c r="N789">
        <v>28.968260000000001</v>
      </c>
      <c r="O789">
        <v>12.48682</v>
      </c>
      <c r="P789">
        <v>24.486229999999999</v>
      </c>
      <c r="Q789">
        <v>1457</v>
      </c>
    </row>
    <row r="790" spans="1:17" x14ac:dyDescent="0.25">
      <c r="A790" t="s">
        <v>21</v>
      </c>
      <c r="B790">
        <v>40</v>
      </c>
      <c r="C790">
        <v>0.72</v>
      </c>
      <c r="D790">
        <v>2009</v>
      </c>
      <c r="E790" t="s">
        <v>17</v>
      </c>
      <c r="F790">
        <v>2009121</v>
      </c>
      <c r="G790">
        <v>2009181</v>
      </c>
      <c r="H790">
        <v>2001</v>
      </c>
      <c r="I790">
        <v>34</v>
      </c>
      <c r="J790">
        <v>0</v>
      </c>
      <c r="K790">
        <v>168</v>
      </c>
      <c r="L790">
        <v>198</v>
      </c>
      <c r="M790">
        <v>125</v>
      </c>
      <c r="N790">
        <v>30.843109999999999</v>
      </c>
      <c r="O790">
        <v>12.58563</v>
      </c>
      <c r="P790">
        <v>25.411380000000001</v>
      </c>
      <c r="Q790">
        <v>685</v>
      </c>
    </row>
    <row r="791" spans="1:17" x14ac:dyDescent="0.25">
      <c r="A791" t="s">
        <v>21</v>
      </c>
      <c r="B791">
        <v>40</v>
      </c>
      <c r="C791">
        <v>0.72</v>
      </c>
      <c r="D791">
        <v>2010</v>
      </c>
      <c r="E791" t="s">
        <v>17</v>
      </c>
      <c r="F791">
        <v>2010121</v>
      </c>
      <c r="G791">
        <v>2010188</v>
      </c>
      <c r="H791">
        <v>3208</v>
      </c>
      <c r="I791">
        <v>67</v>
      </c>
      <c r="J791">
        <v>0</v>
      </c>
      <c r="K791">
        <v>203</v>
      </c>
      <c r="L791">
        <v>392</v>
      </c>
      <c r="M791">
        <v>125</v>
      </c>
      <c r="N791">
        <v>29.799399999999999</v>
      </c>
      <c r="O791">
        <v>12.307790000000001</v>
      </c>
      <c r="P791">
        <v>25.304780000000001</v>
      </c>
      <c r="Q791">
        <v>1348</v>
      </c>
    </row>
    <row r="792" spans="1:17" x14ac:dyDescent="0.25">
      <c r="A792" t="s">
        <v>21</v>
      </c>
      <c r="B792">
        <v>40</v>
      </c>
      <c r="C792">
        <v>0.72</v>
      </c>
      <c r="D792">
        <v>2011</v>
      </c>
      <c r="E792" t="s">
        <v>17</v>
      </c>
      <c r="F792">
        <v>2011121</v>
      </c>
      <c r="G792">
        <v>2011184</v>
      </c>
      <c r="H792">
        <v>3390</v>
      </c>
      <c r="I792">
        <v>159</v>
      </c>
      <c r="J792">
        <v>0</v>
      </c>
      <c r="K792">
        <v>177</v>
      </c>
      <c r="L792">
        <v>278</v>
      </c>
      <c r="M792">
        <v>125</v>
      </c>
      <c r="N792">
        <v>30.546109999999999</v>
      </c>
      <c r="O792">
        <v>12.156879999999999</v>
      </c>
      <c r="P792">
        <v>24.930540000000001</v>
      </c>
      <c r="Q792">
        <v>3177</v>
      </c>
    </row>
    <row r="793" spans="1:17" x14ac:dyDescent="0.25">
      <c r="A793" t="s">
        <v>21</v>
      </c>
      <c r="B793">
        <v>40</v>
      </c>
      <c r="C793">
        <v>0.72</v>
      </c>
      <c r="D793">
        <v>2012</v>
      </c>
      <c r="E793" t="s">
        <v>18</v>
      </c>
      <c r="F793">
        <v>2012121</v>
      </c>
      <c r="G793">
        <v>2012174</v>
      </c>
      <c r="H793">
        <v>1410</v>
      </c>
      <c r="I793">
        <v>231</v>
      </c>
      <c r="J793">
        <v>0</v>
      </c>
      <c r="K793">
        <v>186</v>
      </c>
      <c r="L793">
        <v>91</v>
      </c>
      <c r="M793">
        <v>125</v>
      </c>
      <c r="N793">
        <v>32.080840000000002</v>
      </c>
      <c r="O793">
        <v>12.2491</v>
      </c>
      <c r="P793">
        <v>25.744900000000001</v>
      </c>
      <c r="Q793">
        <v>4628</v>
      </c>
    </row>
    <row r="794" spans="1:17" x14ac:dyDescent="0.25">
      <c r="A794" t="s">
        <v>21</v>
      </c>
      <c r="B794">
        <v>40</v>
      </c>
      <c r="C794">
        <v>0.72</v>
      </c>
      <c r="D794">
        <v>2013</v>
      </c>
      <c r="E794" t="s">
        <v>18</v>
      </c>
      <c r="F794">
        <v>2013121</v>
      </c>
      <c r="G794">
        <v>2013182</v>
      </c>
      <c r="H794">
        <v>3937</v>
      </c>
      <c r="I794">
        <v>520</v>
      </c>
      <c r="J794">
        <v>0</v>
      </c>
      <c r="K794">
        <v>306</v>
      </c>
      <c r="L794">
        <v>341</v>
      </c>
      <c r="M794">
        <v>125</v>
      </c>
      <c r="N794">
        <v>29.634129999999999</v>
      </c>
      <c r="O794">
        <v>11.220359999999999</v>
      </c>
      <c r="P794">
        <v>23.477239999999998</v>
      </c>
      <c r="Q794">
        <v>10404</v>
      </c>
    </row>
    <row r="795" spans="1:17" x14ac:dyDescent="0.25">
      <c r="A795" t="s">
        <v>21</v>
      </c>
      <c r="B795">
        <v>40</v>
      </c>
      <c r="C795">
        <v>0.72</v>
      </c>
      <c r="D795">
        <v>2014</v>
      </c>
      <c r="E795" t="s">
        <v>18</v>
      </c>
      <c r="F795">
        <v>2014121</v>
      </c>
      <c r="G795">
        <v>2014176</v>
      </c>
      <c r="H795">
        <v>2825</v>
      </c>
      <c r="I795">
        <v>249</v>
      </c>
      <c r="J795">
        <v>0</v>
      </c>
      <c r="K795">
        <v>110</v>
      </c>
      <c r="L795">
        <v>215</v>
      </c>
      <c r="M795">
        <v>125</v>
      </c>
      <c r="N795">
        <v>30.188030000000001</v>
      </c>
      <c r="O795">
        <v>11.953889999999999</v>
      </c>
      <c r="P795">
        <v>24.82694</v>
      </c>
      <c r="Q795">
        <v>4989</v>
      </c>
    </row>
    <row r="796" spans="1:17" x14ac:dyDescent="0.25">
      <c r="A796" t="s">
        <v>21</v>
      </c>
      <c r="B796">
        <v>40</v>
      </c>
      <c r="C796">
        <v>0.72</v>
      </c>
      <c r="D796">
        <v>2015</v>
      </c>
      <c r="E796" t="s">
        <v>18</v>
      </c>
      <c r="F796">
        <v>2015121</v>
      </c>
      <c r="G796">
        <v>2015176</v>
      </c>
      <c r="H796">
        <v>796</v>
      </c>
      <c r="I796">
        <v>170</v>
      </c>
      <c r="J796">
        <v>0</v>
      </c>
      <c r="K796">
        <v>90</v>
      </c>
      <c r="L796">
        <v>157</v>
      </c>
      <c r="M796">
        <v>125</v>
      </c>
      <c r="N796">
        <v>31.473659999999999</v>
      </c>
      <c r="O796">
        <v>12.50179</v>
      </c>
      <c r="P796">
        <v>24.932939999999999</v>
      </c>
      <c r="Q796">
        <v>3410</v>
      </c>
    </row>
    <row r="797" spans="1:17" x14ac:dyDescent="0.25">
      <c r="A797" t="s">
        <v>21</v>
      </c>
      <c r="B797">
        <v>40</v>
      </c>
      <c r="C797">
        <v>0.72</v>
      </c>
      <c r="D797">
        <v>2016</v>
      </c>
      <c r="E797" t="s">
        <v>18</v>
      </c>
      <c r="F797">
        <v>2016121</v>
      </c>
      <c r="G797">
        <v>2016183</v>
      </c>
      <c r="H797">
        <v>582</v>
      </c>
      <c r="I797">
        <v>183</v>
      </c>
      <c r="J797">
        <v>0</v>
      </c>
      <c r="K797">
        <v>106</v>
      </c>
      <c r="L797">
        <v>92</v>
      </c>
      <c r="M797">
        <v>125</v>
      </c>
      <c r="N797">
        <v>30.87724</v>
      </c>
      <c r="O797">
        <v>11.729939999999999</v>
      </c>
      <c r="P797">
        <v>24.244309999999999</v>
      </c>
      <c r="Q797">
        <v>3665</v>
      </c>
    </row>
    <row r="798" spans="1:17" x14ac:dyDescent="0.25">
      <c r="A798" t="s">
        <v>21</v>
      </c>
      <c r="B798">
        <v>40</v>
      </c>
      <c r="C798">
        <v>0.72</v>
      </c>
      <c r="D798">
        <v>2017</v>
      </c>
      <c r="E798" t="s">
        <v>18</v>
      </c>
      <c r="F798">
        <v>2017121</v>
      </c>
      <c r="G798">
        <v>2017174</v>
      </c>
      <c r="H798">
        <v>2215</v>
      </c>
      <c r="I798">
        <v>147</v>
      </c>
      <c r="J798">
        <v>0</v>
      </c>
      <c r="K798">
        <v>88</v>
      </c>
      <c r="L798">
        <v>181</v>
      </c>
      <c r="M798">
        <v>125</v>
      </c>
      <c r="N798">
        <v>32.65269</v>
      </c>
      <c r="O798">
        <v>12.443110000000001</v>
      </c>
      <c r="P798">
        <v>23.586220000000001</v>
      </c>
      <c r="Q798">
        <v>2948</v>
      </c>
    </row>
    <row r="799" spans="1:17" x14ac:dyDescent="0.25">
      <c r="A799" t="s">
        <v>21</v>
      </c>
      <c r="B799">
        <v>40</v>
      </c>
      <c r="C799">
        <v>0.72</v>
      </c>
      <c r="D799">
        <v>2018</v>
      </c>
      <c r="E799" t="s">
        <v>18</v>
      </c>
      <c r="F799">
        <v>2018121</v>
      </c>
      <c r="G799">
        <v>2018180</v>
      </c>
      <c r="H799">
        <v>3381</v>
      </c>
      <c r="I799">
        <v>253</v>
      </c>
      <c r="J799">
        <v>0</v>
      </c>
      <c r="K799">
        <v>367</v>
      </c>
      <c r="L799">
        <v>160</v>
      </c>
      <c r="M799">
        <v>125</v>
      </c>
      <c r="N799">
        <v>29.583829999999999</v>
      </c>
      <c r="O799">
        <v>11.72575</v>
      </c>
      <c r="P799">
        <v>23.308979999999998</v>
      </c>
      <c r="Q799">
        <v>5057</v>
      </c>
    </row>
    <row r="800" spans="1:17" x14ac:dyDescent="0.25">
      <c r="A800" t="s">
        <v>21</v>
      </c>
      <c r="B800">
        <v>40</v>
      </c>
      <c r="C800">
        <v>0.72</v>
      </c>
      <c r="D800">
        <v>2019</v>
      </c>
      <c r="E800" t="s">
        <v>18</v>
      </c>
      <c r="F800">
        <v>2019121</v>
      </c>
      <c r="G800">
        <v>2019176</v>
      </c>
      <c r="H800">
        <v>2161</v>
      </c>
      <c r="I800">
        <v>215</v>
      </c>
      <c r="J800">
        <v>0</v>
      </c>
      <c r="K800">
        <v>243</v>
      </c>
      <c r="L800">
        <v>149</v>
      </c>
      <c r="M800">
        <v>125</v>
      </c>
      <c r="N800">
        <v>30.967659999999999</v>
      </c>
      <c r="O800">
        <v>12.503590000000001</v>
      </c>
      <c r="P800">
        <v>24.692820000000001</v>
      </c>
      <c r="Q800">
        <v>4291</v>
      </c>
    </row>
    <row r="801" spans="1:17" x14ac:dyDescent="0.25">
      <c r="A801" t="s">
        <v>21</v>
      </c>
      <c r="B801">
        <v>40</v>
      </c>
      <c r="C801">
        <v>0.72</v>
      </c>
      <c r="D801">
        <v>2020</v>
      </c>
      <c r="E801" t="s">
        <v>18</v>
      </c>
      <c r="F801">
        <v>2020121</v>
      </c>
      <c r="G801">
        <v>2020176</v>
      </c>
      <c r="H801">
        <v>3258</v>
      </c>
      <c r="I801">
        <v>239</v>
      </c>
      <c r="J801">
        <v>0</v>
      </c>
      <c r="K801">
        <v>198</v>
      </c>
      <c r="L801">
        <v>201</v>
      </c>
      <c r="M801">
        <v>125</v>
      </c>
      <c r="N801">
        <v>30.895209999999999</v>
      </c>
      <c r="O801">
        <v>12.00539</v>
      </c>
      <c r="P801">
        <v>25.148499999999999</v>
      </c>
      <c r="Q801">
        <v>4785</v>
      </c>
    </row>
    <row r="802" spans="1:17" x14ac:dyDescent="0.25">
      <c r="A802" t="s">
        <v>21</v>
      </c>
      <c r="B802">
        <v>41</v>
      </c>
      <c r="C802">
        <v>0.72</v>
      </c>
      <c r="D802">
        <v>2001</v>
      </c>
      <c r="E802" t="s">
        <v>17</v>
      </c>
      <c r="F802">
        <v>2001091</v>
      </c>
      <c r="G802">
        <v>2001166</v>
      </c>
      <c r="H802">
        <v>6984</v>
      </c>
      <c r="I802">
        <v>740</v>
      </c>
      <c r="J802">
        <v>0</v>
      </c>
      <c r="K802">
        <v>239</v>
      </c>
      <c r="L802">
        <v>235</v>
      </c>
      <c r="M802">
        <v>125</v>
      </c>
      <c r="N802">
        <v>28.728429999999999</v>
      </c>
      <c r="O802">
        <v>11.70304</v>
      </c>
      <c r="P802">
        <v>24.139089999999999</v>
      </c>
      <c r="Q802">
        <v>19988</v>
      </c>
    </row>
    <row r="803" spans="1:17" x14ac:dyDescent="0.25">
      <c r="A803" t="s">
        <v>21</v>
      </c>
      <c r="B803">
        <v>41</v>
      </c>
      <c r="C803">
        <v>0.72</v>
      </c>
      <c r="D803">
        <v>2002</v>
      </c>
      <c r="E803" t="s">
        <v>17</v>
      </c>
      <c r="F803">
        <v>2002091</v>
      </c>
      <c r="G803">
        <v>2002171</v>
      </c>
      <c r="H803">
        <v>3321</v>
      </c>
      <c r="I803">
        <v>1348</v>
      </c>
      <c r="J803">
        <v>0</v>
      </c>
      <c r="K803">
        <v>198</v>
      </c>
      <c r="L803">
        <v>116</v>
      </c>
      <c r="M803">
        <v>125</v>
      </c>
      <c r="N803">
        <v>27.425370000000001</v>
      </c>
      <c r="O803">
        <v>10.983750000000001</v>
      </c>
      <c r="P803">
        <v>22.788830000000001</v>
      </c>
      <c r="Q803">
        <v>36394</v>
      </c>
    </row>
    <row r="804" spans="1:17" x14ac:dyDescent="0.25">
      <c r="A804" t="s">
        <v>21</v>
      </c>
      <c r="B804">
        <v>41</v>
      </c>
      <c r="C804">
        <v>0.72</v>
      </c>
      <c r="D804">
        <v>2003</v>
      </c>
      <c r="E804" t="s">
        <v>17</v>
      </c>
      <c r="F804">
        <v>2003091</v>
      </c>
      <c r="G804">
        <v>2003166</v>
      </c>
      <c r="H804">
        <v>3024</v>
      </c>
      <c r="I804">
        <v>126</v>
      </c>
      <c r="J804">
        <v>0</v>
      </c>
      <c r="K804">
        <v>161</v>
      </c>
      <c r="L804">
        <v>212</v>
      </c>
      <c r="M804">
        <v>125</v>
      </c>
      <c r="N804">
        <v>29.248740000000002</v>
      </c>
      <c r="O804">
        <v>11.308630000000001</v>
      </c>
      <c r="P804">
        <v>23.29391</v>
      </c>
      <c r="Q804">
        <v>3398</v>
      </c>
    </row>
    <row r="805" spans="1:17" x14ac:dyDescent="0.25">
      <c r="A805" t="s">
        <v>21</v>
      </c>
      <c r="B805">
        <v>41</v>
      </c>
      <c r="C805">
        <v>0.72</v>
      </c>
      <c r="D805">
        <v>2004</v>
      </c>
      <c r="E805" t="s">
        <v>17</v>
      </c>
      <c r="F805">
        <v>2004091</v>
      </c>
      <c r="G805">
        <v>2004173</v>
      </c>
      <c r="H805">
        <v>3134</v>
      </c>
      <c r="I805">
        <v>209</v>
      </c>
      <c r="J805">
        <v>0</v>
      </c>
      <c r="K805">
        <v>239</v>
      </c>
      <c r="L805">
        <v>155</v>
      </c>
      <c r="M805">
        <v>125</v>
      </c>
      <c r="N805">
        <v>28.062429999999999</v>
      </c>
      <c r="O805">
        <v>11.23807</v>
      </c>
      <c r="P805">
        <v>23.238579999999999</v>
      </c>
      <c r="Q805">
        <v>5654</v>
      </c>
    </row>
    <row r="806" spans="1:17" x14ac:dyDescent="0.25">
      <c r="A806" t="s">
        <v>21</v>
      </c>
      <c r="B806">
        <v>41</v>
      </c>
      <c r="C806">
        <v>0.72</v>
      </c>
      <c r="D806">
        <v>2005</v>
      </c>
      <c r="E806" t="s">
        <v>17</v>
      </c>
      <c r="F806">
        <v>2005091</v>
      </c>
      <c r="G806">
        <v>2005163</v>
      </c>
      <c r="H806">
        <v>835</v>
      </c>
      <c r="I806">
        <v>49</v>
      </c>
      <c r="J806">
        <v>0</v>
      </c>
      <c r="K806">
        <v>135</v>
      </c>
      <c r="L806">
        <v>78</v>
      </c>
      <c r="M806">
        <v>125</v>
      </c>
      <c r="N806">
        <v>29.373090000000001</v>
      </c>
      <c r="O806">
        <v>11.33198</v>
      </c>
      <c r="P806">
        <v>24.911159999999999</v>
      </c>
      <c r="Q806">
        <v>1324</v>
      </c>
    </row>
    <row r="807" spans="1:17" x14ac:dyDescent="0.25">
      <c r="A807" t="s">
        <v>21</v>
      </c>
      <c r="B807">
        <v>41</v>
      </c>
      <c r="C807">
        <v>0.72</v>
      </c>
      <c r="D807">
        <v>2006</v>
      </c>
      <c r="E807" t="s">
        <v>17</v>
      </c>
      <c r="F807">
        <v>2006091</v>
      </c>
      <c r="G807">
        <v>2006171</v>
      </c>
      <c r="H807">
        <v>2905</v>
      </c>
      <c r="I807">
        <v>351</v>
      </c>
      <c r="J807">
        <v>0</v>
      </c>
      <c r="K807">
        <v>183</v>
      </c>
      <c r="L807">
        <v>140</v>
      </c>
      <c r="M807">
        <v>125</v>
      </c>
      <c r="N807">
        <v>29.334009999999999</v>
      </c>
      <c r="O807">
        <v>11.817259999999999</v>
      </c>
      <c r="P807">
        <v>24.077670000000001</v>
      </c>
      <c r="Q807">
        <v>9484</v>
      </c>
    </row>
    <row r="808" spans="1:17" x14ac:dyDescent="0.25">
      <c r="A808" t="s">
        <v>21</v>
      </c>
      <c r="B808">
        <v>41</v>
      </c>
      <c r="C808">
        <v>0.72</v>
      </c>
      <c r="D808">
        <v>2007</v>
      </c>
      <c r="E808" t="s">
        <v>17</v>
      </c>
      <c r="F808">
        <v>2007091</v>
      </c>
      <c r="G808">
        <v>2007170</v>
      </c>
      <c r="H808">
        <v>2190</v>
      </c>
      <c r="I808">
        <v>87</v>
      </c>
      <c r="J808">
        <v>0</v>
      </c>
      <c r="K808">
        <v>206</v>
      </c>
      <c r="L808">
        <v>141</v>
      </c>
      <c r="M808">
        <v>125</v>
      </c>
      <c r="N808">
        <v>27.333500000000001</v>
      </c>
      <c r="O808">
        <v>11.04162</v>
      </c>
      <c r="P808">
        <v>23.79899</v>
      </c>
      <c r="Q808">
        <v>2348</v>
      </c>
    </row>
    <row r="809" spans="1:17" x14ac:dyDescent="0.25">
      <c r="A809" t="s">
        <v>21</v>
      </c>
      <c r="B809">
        <v>41</v>
      </c>
      <c r="C809">
        <v>0.72</v>
      </c>
      <c r="D809">
        <v>2008</v>
      </c>
      <c r="E809" t="s">
        <v>17</v>
      </c>
      <c r="F809">
        <v>2008091</v>
      </c>
      <c r="G809">
        <v>2008173</v>
      </c>
      <c r="H809">
        <v>1305</v>
      </c>
      <c r="I809">
        <v>91</v>
      </c>
      <c r="J809">
        <v>0</v>
      </c>
      <c r="K809">
        <v>186</v>
      </c>
      <c r="L809">
        <v>65</v>
      </c>
      <c r="M809">
        <v>125</v>
      </c>
      <c r="N809">
        <v>27.729949999999999</v>
      </c>
      <c r="O809">
        <v>11.40457</v>
      </c>
      <c r="P809">
        <v>24.21218</v>
      </c>
      <c r="Q809">
        <v>2469</v>
      </c>
    </row>
    <row r="810" spans="1:17" x14ac:dyDescent="0.25">
      <c r="A810" t="s">
        <v>21</v>
      </c>
      <c r="B810">
        <v>41</v>
      </c>
      <c r="C810">
        <v>0.72</v>
      </c>
      <c r="D810">
        <v>2009</v>
      </c>
      <c r="E810" t="s">
        <v>17</v>
      </c>
      <c r="F810">
        <v>2009091</v>
      </c>
      <c r="G810">
        <v>2009167</v>
      </c>
      <c r="H810">
        <v>2461</v>
      </c>
      <c r="I810">
        <v>51</v>
      </c>
      <c r="J810">
        <v>0</v>
      </c>
      <c r="K810">
        <v>168</v>
      </c>
      <c r="L810">
        <v>198</v>
      </c>
      <c r="M810">
        <v>125</v>
      </c>
      <c r="N810">
        <v>28.920300000000001</v>
      </c>
      <c r="O810">
        <v>11.44061</v>
      </c>
      <c r="P810">
        <v>25.05686</v>
      </c>
      <c r="Q810">
        <v>1379</v>
      </c>
    </row>
    <row r="811" spans="1:17" x14ac:dyDescent="0.25">
      <c r="A811" t="s">
        <v>21</v>
      </c>
      <c r="B811">
        <v>41</v>
      </c>
      <c r="C811">
        <v>0.72</v>
      </c>
      <c r="D811">
        <v>2010</v>
      </c>
      <c r="E811" t="s">
        <v>17</v>
      </c>
      <c r="F811">
        <v>2010091</v>
      </c>
      <c r="G811">
        <v>2010169</v>
      </c>
      <c r="H811">
        <v>3732</v>
      </c>
      <c r="I811">
        <v>107</v>
      </c>
      <c r="J811">
        <v>0</v>
      </c>
      <c r="K811">
        <v>203</v>
      </c>
      <c r="L811">
        <v>392</v>
      </c>
      <c r="M811">
        <v>125</v>
      </c>
      <c r="N811">
        <v>28.297450000000001</v>
      </c>
      <c r="O811">
        <v>11.367010000000001</v>
      </c>
      <c r="P811">
        <v>24.648219999999998</v>
      </c>
      <c r="Q811">
        <v>2879</v>
      </c>
    </row>
    <row r="812" spans="1:17" x14ac:dyDescent="0.25">
      <c r="A812" t="s">
        <v>21</v>
      </c>
      <c r="B812">
        <v>41</v>
      </c>
      <c r="C812">
        <v>0.72</v>
      </c>
      <c r="D812">
        <v>2011</v>
      </c>
      <c r="E812" t="s">
        <v>17</v>
      </c>
      <c r="F812">
        <v>2011091</v>
      </c>
      <c r="G812">
        <v>2011167</v>
      </c>
      <c r="H812">
        <v>4270</v>
      </c>
      <c r="I812">
        <v>527</v>
      </c>
      <c r="J812">
        <v>0</v>
      </c>
      <c r="K812">
        <v>177</v>
      </c>
      <c r="L812">
        <v>278</v>
      </c>
      <c r="M812">
        <v>125</v>
      </c>
      <c r="N812">
        <v>29.28782</v>
      </c>
      <c r="O812">
        <v>11.20406</v>
      </c>
      <c r="P812">
        <v>24.068010000000001</v>
      </c>
      <c r="Q812">
        <v>14225</v>
      </c>
    </row>
    <row r="813" spans="1:17" x14ac:dyDescent="0.25">
      <c r="A813" t="s">
        <v>21</v>
      </c>
      <c r="B813">
        <v>41</v>
      </c>
      <c r="C813">
        <v>0.72</v>
      </c>
      <c r="D813">
        <v>2012</v>
      </c>
      <c r="E813" t="s">
        <v>18</v>
      </c>
      <c r="F813">
        <v>2012091</v>
      </c>
      <c r="G813">
        <v>2012162</v>
      </c>
      <c r="H813">
        <v>1916</v>
      </c>
      <c r="I813">
        <v>547</v>
      </c>
      <c r="J813">
        <v>0</v>
      </c>
      <c r="K813">
        <v>186</v>
      </c>
      <c r="L813">
        <v>91</v>
      </c>
      <c r="M813">
        <v>125</v>
      </c>
      <c r="N813">
        <v>29.948720000000002</v>
      </c>
      <c r="O813">
        <v>11.25381</v>
      </c>
      <c r="P813">
        <v>24.966999999999999</v>
      </c>
      <c r="Q813">
        <v>14762</v>
      </c>
    </row>
    <row r="814" spans="1:17" x14ac:dyDescent="0.25">
      <c r="A814" t="s">
        <v>21</v>
      </c>
      <c r="B814">
        <v>41</v>
      </c>
      <c r="C814">
        <v>0.72</v>
      </c>
      <c r="D814">
        <v>2013</v>
      </c>
      <c r="E814" t="s">
        <v>18</v>
      </c>
      <c r="F814">
        <v>2013091</v>
      </c>
      <c r="G814">
        <v>2013167</v>
      </c>
      <c r="H814">
        <v>4352</v>
      </c>
      <c r="I814">
        <v>235</v>
      </c>
      <c r="J814">
        <v>0</v>
      </c>
      <c r="K814">
        <v>306</v>
      </c>
      <c r="L814">
        <v>341</v>
      </c>
      <c r="M814">
        <v>125</v>
      </c>
      <c r="N814">
        <v>28.153310000000001</v>
      </c>
      <c r="O814">
        <v>10.29391</v>
      </c>
      <c r="P814">
        <v>22.693909999999999</v>
      </c>
      <c r="Q814">
        <v>6334</v>
      </c>
    </row>
    <row r="815" spans="1:17" x14ac:dyDescent="0.25">
      <c r="A815" t="s">
        <v>21</v>
      </c>
      <c r="B815">
        <v>41</v>
      </c>
      <c r="C815">
        <v>0.72</v>
      </c>
      <c r="D815">
        <v>2014</v>
      </c>
      <c r="E815" t="s">
        <v>18</v>
      </c>
      <c r="F815">
        <v>2014091</v>
      </c>
      <c r="G815">
        <v>2014157</v>
      </c>
      <c r="H815">
        <v>3024</v>
      </c>
      <c r="I815">
        <v>503</v>
      </c>
      <c r="J815">
        <v>0</v>
      </c>
      <c r="K815">
        <v>110</v>
      </c>
      <c r="L815">
        <v>215</v>
      </c>
      <c r="M815">
        <v>125</v>
      </c>
      <c r="N815">
        <v>29.123349999999999</v>
      </c>
      <c r="O815">
        <v>11.15178</v>
      </c>
      <c r="P815">
        <v>24.452290000000001</v>
      </c>
      <c r="Q815">
        <v>13569</v>
      </c>
    </row>
    <row r="816" spans="1:17" x14ac:dyDescent="0.25">
      <c r="A816" t="s">
        <v>21</v>
      </c>
      <c r="B816">
        <v>41</v>
      </c>
      <c r="C816">
        <v>0.72</v>
      </c>
      <c r="D816">
        <v>2015</v>
      </c>
      <c r="E816" t="s">
        <v>18</v>
      </c>
      <c r="F816">
        <v>2015091</v>
      </c>
      <c r="G816">
        <v>2015158</v>
      </c>
      <c r="H816">
        <v>883</v>
      </c>
      <c r="I816">
        <v>146</v>
      </c>
      <c r="J816">
        <v>0</v>
      </c>
      <c r="K816">
        <v>90</v>
      </c>
      <c r="L816">
        <v>157</v>
      </c>
      <c r="M816">
        <v>125</v>
      </c>
      <c r="N816">
        <v>29.917259999999999</v>
      </c>
      <c r="O816">
        <v>11.468019999999999</v>
      </c>
      <c r="P816">
        <v>24.227409999999999</v>
      </c>
      <c r="Q816">
        <v>3941</v>
      </c>
    </row>
    <row r="817" spans="1:17" x14ac:dyDescent="0.25">
      <c r="A817" t="s">
        <v>21</v>
      </c>
      <c r="B817">
        <v>41</v>
      </c>
      <c r="C817">
        <v>0.72</v>
      </c>
      <c r="D817">
        <v>2016</v>
      </c>
      <c r="E817" t="s">
        <v>18</v>
      </c>
      <c r="F817">
        <v>2016091</v>
      </c>
      <c r="G817">
        <v>2016162</v>
      </c>
      <c r="H817">
        <v>644</v>
      </c>
      <c r="I817">
        <v>158</v>
      </c>
      <c r="J817">
        <v>0</v>
      </c>
      <c r="K817">
        <v>106</v>
      </c>
      <c r="L817">
        <v>92</v>
      </c>
      <c r="M817">
        <v>125</v>
      </c>
      <c r="N817">
        <v>29.194410000000001</v>
      </c>
      <c r="O817">
        <v>10.76244</v>
      </c>
      <c r="P817">
        <v>23.58426</v>
      </c>
      <c r="Q817">
        <v>4271</v>
      </c>
    </row>
    <row r="818" spans="1:17" x14ac:dyDescent="0.25">
      <c r="A818" t="s">
        <v>21</v>
      </c>
      <c r="B818">
        <v>41</v>
      </c>
      <c r="C818">
        <v>0.72</v>
      </c>
      <c r="D818">
        <v>2017</v>
      </c>
      <c r="E818" t="s">
        <v>18</v>
      </c>
      <c r="F818">
        <v>2017091</v>
      </c>
      <c r="G818">
        <v>2017156</v>
      </c>
      <c r="H818">
        <v>2654</v>
      </c>
      <c r="I818">
        <v>170</v>
      </c>
      <c r="J818">
        <v>0</v>
      </c>
      <c r="K818">
        <v>88</v>
      </c>
      <c r="L818">
        <v>181</v>
      </c>
      <c r="M818">
        <v>125</v>
      </c>
      <c r="N818">
        <v>31.095929999999999</v>
      </c>
      <c r="O818">
        <v>11.28121</v>
      </c>
      <c r="P818">
        <v>23.298469999999998</v>
      </c>
      <c r="Q818">
        <v>4593</v>
      </c>
    </row>
    <row r="819" spans="1:17" x14ac:dyDescent="0.25">
      <c r="A819" t="s">
        <v>21</v>
      </c>
      <c r="B819">
        <v>41</v>
      </c>
      <c r="C819">
        <v>0.72</v>
      </c>
      <c r="D819">
        <v>2018</v>
      </c>
      <c r="E819" t="s">
        <v>18</v>
      </c>
      <c r="F819">
        <v>2018091</v>
      </c>
      <c r="G819">
        <v>2018167</v>
      </c>
      <c r="H819">
        <v>5084</v>
      </c>
      <c r="I819">
        <v>253</v>
      </c>
      <c r="J819">
        <v>0</v>
      </c>
      <c r="K819">
        <v>367</v>
      </c>
      <c r="L819">
        <v>160</v>
      </c>
      <c r="M819">
        <v>125</v>
      </c>
      <c r="N819">
        <v>27.950759999999999</v>
      </c>
      <c r="O819">
        <v>10.80203</v>
      </c>
      <c r="P819">
        <v>22.56193</v>
      </c>
      <c r="Q819">
        <v>6839</v>
      </c>
    </row>
    <row r="820" spans="1:17" x14ac:dyDescent="0.25">
      <c r="A820" t="s">
        <v>21</v>
      </c>
      <c r="B820">
        <v>41</v>
      </c>
      <c r="C820">
        <v>0.72</v>
      </c>
      <c r="D820">
        <v>2019</v>
      </c>
      <c r="E820" t="s">
        <v>18</v>
      </c>
      <c r="F820">
        <v>2019091</v>
      </c>
      <c r="G820">
        <v>2019163</v>
      </c>
      <c r="H820">
        <v>2305</v>
      </c>
      <c r="I820">
        <v>162</v>
      </c>
      <c r="J820">
        <v>0</v>
      </c>
      <c r="K820">
        <v>243</v>
      </c>
      <c r="L820">
        <v>149</v>
      </c>
      <c r="M820">
        <v>125</v>
      </c>
      <c r="N820">
        <v>29.04467</v>
      </c>
      <c r="O820">
        <v>11.404059999999999</v>
      </c>
      <c r="P820">
        <v>23.839600000000001</v>
      </c>
      <c r="Q820">
        <v>4380</v>
      </c>
    </row>
    <row r="821" spans="1:17" x14ac:dyDescent="0.25">
      <c r="A821" t="s">
        <v>21</v>
      </c>
      <c r="B821">
        <v>41</v>
      </c>
      <c r="C821">
        <v>0.72</v>
      </c>
      <c r="D821">
        <v>2020</v>
      </c>
      <c r="E821" t="s">
        <v>18</v>
      </c>
      <c r="F821">
        <v>2020091</v>
      </c>
      <c r="G821">
        <v>2020159</v>
      </c>
      <c r="H821">
        <v>4631</v>
      </c>
      <c r="I821">
        <v>213</v>
      </c>
      <c r="J821">
        <v>0</v>
      </c>
      <c r="K821">
        <v>198</v>
      </c>
      <c r="L821">
        <v>201</v>
      </c>
      <c r="M821">
        <v>125</v>
      </c>
      <c r="N821">
        <v>29.073609999999999</v>
      </c>
      <c r="O821">
        <v>11.309139999999999</v>
      </c>
      <c r="P821">
        <v>24.235530000000001</v>
      </c>
      <c r="Q821">
        <v>5746</v>
      </c>
    </row>
    <row r="822" spans="1:17" x14ac:dyDescent="0.25">
      <c r="A822" t="s">
        <v>21</v>
      </c>
      <c r="B822">
        <v>42</v>
      </c>
      <c r="C822">
        <v>0.71</v>
      </c>
      <c r="D822">
        <v>2001</v>
      </c>
      <c r="E822" t="s">
        <v>17</v>
      </c>
      <c r="F822">
        <v>2001121</v>
      </c>
      <c r="G822">
        <v>2001184</v>
      </c>
      <c r="H822">
        <v>4782</v>
      </c>
      <c r="I822">
        <v>111</v>
      </c>
      <c r="J822">
        <v>0</v>
      </c>
      <c r="K822">
        <v>239</v>
      </c>
      <c r="L822">
        <v>235</v>
      </c>
      <c r="M822">
        <v>100</v>
      </c>
      <c r="N822">
        <v>30.005990000000001</v>
      </c>
      <c r="O822">
        <v>12.92754</v>
      </c>
      <c r="P822">
        <v>24.097000000000001</v>
      </c>
      <c r="Q822">
        <v>2546</v>
      </c>
    </row>
    <row r="823" spans="1:17" x14ac:dyDescent="0.25">
      <c r="A823" t="s">
        <v>21</v>
      </c>
      <c r="B823">
        <v>42</v>
      </c>
      <c r="C823">
        <v>0.71</v>
      </c>
      <c r="D823">
        <v>2002</v>
      </c>
      <c r="E823" t="s">
        <v>17</v>
      </c>
      <c r="F823">
        <v>2002121</v>
      </c>
      <c r="G823">
        <v>2002185</v>
      </c>
      <c r="H823">
        <v>2840</v>
      </c>
      <c r="I823">
        <v>332</v>
      </c>
      <c r="J823">
        <v>0</v>
      </c>
      <c r="K823">
        <v>198</v>
      </c>
      <c r="L823">
        <v>116</v>
      </c>
      <c r="M823">
        <v>100</v>
      </c>
      <c r="N823">
        <v>28.910769999999999</v>
      </c>
      <c r="O823">
        <v>12.12036</v>
      </c>
      <c r="P823">
        <v>23.16826</v>
      </c>
      <c r="Q823">
        <v>7627</v>
      </c>
    </row>
    <row r="824" spans="1:17" x14ac:dyDescent="0.25">
      <c r="A824" t="s">
        <v>21</v>
      </c>
      <c r="B824">
        <v>42</v>
      </c>
      <c r="C824">
        <v>0.71</v>
      </c>
      <c r="D824">
        <v>2003</v>
      </c>
      <c r="E824" t="s">
        <v>17</v>
      </c>
      <c r="F824">
        <v>2003121</v>
      </c>
      <c r="G824">
        <v>2003182</v>
      </c>
      <c r="H824">
        <v>3054</v>
      </c>
      <c r="I824">
        <v>92</v>
      </c>
      <c r="J824">
        <v>0</v>
      </c>
      <c r="K824">
        <v>161</v>
      </c>
      <c r="L824">
        <v>212</v>
      </c>
      <c r="M824">
        <v>100</v>
      </c>
      <c r="N824">
        <v>30.982040000000001</v>
      </c>
      <c r="O824">
        <v>12.49761</v>
      </c>
      <c r="P824">
        <v>23.716170000000002</v>
      </c>
      <c r="Q824">
        <v>2111</v>
      </c>
    </row>
    <row r="825" spans="1:17" x14ac:dyDescent="0.25">
      <c r="A825" t="s">
        <v>21</v>
      </c>
      <c r="B825">
        <v>42</v>
      </c>
      <c r="C825">
        <v>0.71</v>
      </c>
      <c r="D825">
        <v>2004</v>
      </c>
      <c r="E825" t="s">
        <v>17</v>
      </c>
      <c r="F825">
        <v>2004121</v>
      </c>
      <c r="G825">
        <v>2004188</v>
      </c>
      <c r="H825">
        <v>2697</v>
      </c>
      <c r="I825">
        <v>297</v>
      </c>
      <c r="J825">
        <v>0</v>
      </c>
      <c r="K825">
        <v>239</v>
      </c>
      <c r="L825">
        <v>155</v>
      </c>
      <c r="M825">
        <v>100</v>
      </c>
      <c r="N825">
        <v>29.843109999999999</v>
      </c>
      <c r="O825">
        <v>12.446709999999999</v>
      </c>
      <c r="P825">
        <v>23.543710000000001</v>
      </c>
      <c r="Q825">
        <v>6824</v>
      </c>
    </row>
    <row r="826" spans="1:17" x14ac:dyDescent="0.25">
      <c r="A826" t="s">
        <v>21</v>
      </c>
      <c r="B826">
        <v>42</v>
      </c>
      <c r="C826">
        <v>0.71</v>
      </c>
      <c r="D826">
        <v>2005</v>
      </c>
      <c r="E826" t="s">
        <v>17</v>
      </c>
      <c r="F826">
        <v>2005121</v>
      </c>
      <c r="G826">
        <v>2005180</v>
      </c>
      <c r="H826">
        <v>724</v>
      </c>
      <c r="I826">
        <v>56</v>
      </c>
      <c r="J826">
        <v>0</v>
      </c>
      <c r="K826">
        <v>135</v>
      </c>
      <c r="L826">
        <v>78</v>
      </c>
      <c r="M826">
        <v>100</v>
      </c>
      <c r="N826">
        <v>30.840720000000001</v>
      </c>
      <c r="O826">
        <v>12.29102</v>
      </c>
      <c r="P826">
        <v>24.91976</v>
      </c>
      <c r="Q826">
        <v>1294</v>
      </c>
    </row>
    <row r="827" spans="1:17" x14ac:dyDescent="0.25">
      <c r="A827" t="s">
        <v>21</v>
      </c>
      <c r="B827">
        <v>42</v>
      </c>
      <c r="C827">
        <v>0.71</v>
      </c>
      <c r="D827">
        <v>2006</v>
      </c>
      <c r="E827" t="s">
        <v>17</v>
      </c>
      <c r="F827">
        <v>2006121</v>
      </c>
      <c r="G827">
        <v>2006181</v>
      </c>
      <c r="H827">
        <v>2852</v>
      </c>
      <c r="I827">
        <v>201</v>
      </c>
      <c r="J827">
        <v>0</v>
      </c>
      <c r="K827">
        <v>183</v>
      </c>
      <c r="L827">
        <v>140</v>
      </c>
      <c r="M827">
        <v>100</v>
      </c>
      <c r="N827">
        <v>30.586829999999999</v>
      </c>
      <c r="O827">
        <v>12.750299999999999</v>
      </c>
      <c r="P827">
        <v>24.468859999999999</v>
      </c>
      <c r="Q827">
        <v>4615</v>
      </c>
    </row>
    <row r="828" spans="1:17" x14ac:dyDescent="0.25">
      <c r="A828" t="s">
        <v>21</v>
      </c>
      <c r="B828">
        <v>42</v>
      </c>
      <c r="C828">
        <v>0.71</v>
      </c>
      <c r="D828">
        <v>2007</v>
      </c>
      <c r="E828" t="s">
        <v>17</v>
      </c>
      <c r="F828">
        <v>2007121</v>
      </c>
      <c r="G828">
        <v>2007183</v>
      </c>
      <c r="H828">
        <v>1830</v>
      </c>
      <c r="I828">
        <v>105</v>
      </c>
      <c r="J828">
        <v>0</v>
      </c>
      <c r="K828">
        <v>206</v>
      </c>
      <c r="L828">
        <v>141</v>
      </c>
      <c r="M828">
        <v>100</v>
      </c>
      <c r="N828">
        <v>29.28443</v>
      </c>
      <c r="O828">
        <v>12.06766</v>
      </c>
      <c r="P828">
        <v>25.113779999999998</v>
      </c>
      <c r="Q828">
        <v>2416</v>
      </c>
    </row>
    <row r="829" spans="1:17" x14ac:dyDescent="0.25">
      <c r="A829" t="s">
        <v>21</v>
      </c>
      <c r="B829">
        <v>42</v>
      </c>
      <c r="C829">
        <v>0.71</v>
      </c>
      <c r="D829">
        <v>2008</v>
      </c>
      <c r="E829" t="s">
        <v>18</v>
      </c>
      <c r="F829">
        <v>2008121</v>
      </c>
      <c r="G829">
        <v>2008186</v>
      </c>
      <c r="H829">
        <v>951</v>
      </c>
      <c r="I829">
        <v>167</v>
      </c>
      <c r="J829">
        <v>0</v>
      </c>
      <c r="K829">
        <v>186</v>
      </c>
      <c r="L829">
        <v>65</v>
      </c>
      <c r="M829">
        <v>100</v>
      </c>
      <c r="N829">
        <v>28.968260000000001</v>
      </c>
      <c r="O829">
        <v>12.48682</v>
      </c>
      <c r="P829">
        <v>24.486229999999999</v>
      </c>
      <c r="Q829">
        <v>3833</v>
      </c>
    </row>
    <row r="830" spans="1:17" x14ac:dyDescent="0.25">
      <c r="A830" t="s">
        <v>21</v>
      </c>
      <c r="B830">
        <v>42</v>
      </c>
      <c r="C830">
        <v>0.71</v>
      </c>
      <c r="D830">
        <v>2009</v>
      </c>
      <c r="E830" t="s">
        <v>18</v>
      </c>
      <c r="F830">
        <v>2009121</v>
      </c>
      <c r="G830">
        <v>2009174</v>
      </c>
      <c r="H830">
        <v>2169</v>
      </c>
      <c r="I830">
        <v>135</v>
      </c>
      <c r="J830">
        <v>0</v>
      </c>
      <c r="K830">
        <v>168</v>
      </c>
      <c r="L830">
        <v>198</v>
      </c>
      <c r="M830">
        <v>100</v>
      </c>
      <c r="N830">
        <v>30.843109999999999</v>
      </c>
      <c r="O830">
        <v>12.58563</v>
      </c>
      <c r="P830">
        <v>25.411380000000001</v>
      </c>
      <c r="Q830">
        <v>3102</v>
      </c>
    </row>
    <row r="831" spans="1:17" x14ac:dyDescent="0.25">
      <c r="A831" t="s">
        <v>21</v>
      </c>
      <c r="B831">
        <v>42</v>
      </c>
      <c r="C831">
        <v>0.71</v>
      </c>
      <c r="D831">
        <v>2010</v>
      </c>
      <c r="E831" t="s">
        <v>18</v>
      </c>
      <c r="F831">
        <v>2010121</v>
      </c>
      <c r="G831">
        <v>2010182</v>
      </c>
      <c r="H831">
        <v>3649</v>
      </c>
      <c r="I831">
        <v>289</v>
      </c>
      <c r="J831">
        <v>0</v>
      </c>
      <c r="K831">
        <v>203</v>
      </c>
      <c r="L831">
        <v>392</v>
      </c>
      <c r="M831">
        <v>100</v>
      </c>
      <c r="N831">
        <v>29.799399999999999</v>
      </c>
      <c r="O831">
        <v>12.307790000000001</v>
      </c>
      <c r="P831">
        <v>25.304780000000001</v>
      </c>
      <c r="Q831">
        <v>6636</v>
      </c>
    </row>
    <row r="832" spans="1:17" x14ac:dyDescent="0.25">
      <c r="A832" t="s">
        <v>21</v>
      </c>
      <c r="B832">
        <v>42</v>
      </c>
      <c r="C832">
        <v>0.71</v>
      </c>
      <c r="D832">
        <v>2011</v>
      </c>
      <c r="E832" t="s">
        <v>18</v>
      </c>
      <c r="F832">
        <v>2011121</v>
      </c>
      <c r="G832">
        <v>2011177</v>
      </c>
      <c r="H832">
        <v>4096</v>
      </c>
      <c r="I832">
        <v>577</v>
      </c>
      <c r="J832">
        <v>0</v>
      </c>
      <c r="K832">
        <v>177</v>
      </c>
      <c r="L832">
        <v>278</v>
      </c>
      <c r="M832">
        <v>100</v>
      </c>
      <c r="N832">
        <v>30.546109999999999</v>
      </c>
      <c r="O832">
        <v>12.156879999999999</v>
      </c>
      <c r="P832">
        <v>24.930540000000001</v>
      </c>
      <c r="Q832">
        <v>13263</v>
      </c>
    </row>
    <row r="833" spans="1:17" x14ac:dyDescent="0.25">
      <c r="A833" t="s">
        <v>21</v>
      </c>
      <c r="B833">
        <v>42</v>
      </c>
      <c r="C833">
        <v>0.71</v>
      </c>
      <c r="D833">
        <v>2012</v>
      </c>
      <c r="E833" t="s">
        <v>18</v>
      </c>
      <c r="F833">
        <v>2012121</v>
      </c>
      <c r="G833">
        <v>2012174</v>
      </c>
      <c r="H833">
        <v>1413</v>
      </c>
      <c r="I833">
        <v>229</v>
      </c>
      <c r="J833">
        <v>0</v>
      </c>
      <c r="K833">
        <v>186</v>
      </c>
      <c r="L833">
        <v>91</v>
      </c>
      <c r="M833">
        <v>100</v>
      </c>
      <c r="N833">
        <v>32.080840000000002</v>
      </c>
      <c r="O833">
        <v>12.2491</v>
      </c>
      <c r="P833">
        <v>25.744900000000001</v>
      </c>
      <c r="Q833">
        <v>5268</v>
      </c>
    </row>
    <row r="834" spans="1:17" x14ac:dyDescent="0.25">
      <c r="A834" t="s">
        <v>21</v>
      </c>
      <c r="B834">
        <v>42</v>
      </c>
      <c r="C834">
        <v>0.71</v>
      </c>
      <c r="D834">
        <v>2013</v>
      </c>
      <c r="E834" t="s">
        <v>18</v>
      </c>
      <c r="F834">
        <v>2013121</v>
      </c>
      <c r="G834">
        <v>2013182</v>
      </c>
      <c r="H834">
        <v>3899</v>
      </c>
      <c r="I834">
        <v>530</v>
      </c>
      <c r="J834">
        <v>0</v>
      </c>
      <c r="K834">
        <v>306</v>
      </c>
      <c r="L834">
        <v>341</v>
      </c>
      <c r="M834">
        <v>100</v>
      </c>
      <c r="N834">
        <v>29.634129999999999</v>
      </c>
      <c r="O834">
        <v>11.220359999999999</v>
      </c>
      <c r="P834">
        <v>23.477239999999998</v>
      </c>
      <c r="Q834">
        <v>12182</v>
      </c>
    </row>
    <row r="835" spans="1:17" x14ac:dyDescent="0.25">
      <c r="A835" t="s">
        <v>21</v>
      </c>
      <c r="B835">
        <v>42</v>
      </c>
      <c r="C835">
        <v>0.71</v>
      </c>
      <c r="D835">
        <v>2014</v>
      </c>
      <c r="E835" t="s">
        <v>18</v>
      </c>
      <c r="F835">
        <v>2014121</v>
      </c>
      <c r="G835">
        <v>2014176</v>
      </c>
      <c r="H835">
        <v>2808</v>
      </c>
      <c r="I835">
        <v>294</v>
      </c>
      <c r="J835">
        <v>0</v>
      </c>
      <c r="K835">
        <v>110</v>
      </c>
      <c r="L835">
        <v>215</v>
      </c>
      <c r="M835">
        <v>100</v>
      </c>
      <c r="N835">
        <v>30.188030000000001</v>
      </c>
      <c r="O835">
        <v>11.953889999999999</v>
      </c>
      <c r="P835">
        <v>24.82694</v>
      </c>
      <c r="Q835">
        <v>6771</v>
      </c>
    </row>
    <row r="836" spans="1:17" x14ac:dyDescent="0.25">
      <c r="A836" t="s">
        <v>21</v>
      </c>
      <c r="B836">
        <v>42</v>
      </c>
      <c r="C836">
        <v>0.71</v>
      </c>
      <c r="D836">
        <v>2015</v>
      </c>
      <c r="E836" t="s">
        <v>18</v>
      </c>
      <c r="F836">
        <v>2015121</v>
      </c>
      <c r="G836">
        <v>2015176</v>
      </c>
      <c r="H836">
        <v>789</v>
      </c>
      <c r="I836">
        <v>159</v>
      </c>
      <c r="J836">
        <v>0</v>
      </c>
      <c r="K836">
        <v>90</v>
      </c>
      <c r="L836">
        <v>157</v>
      </c>
      <c r="M836">
        <v>100</v>
      </c>
      <c r="N836">
        <v>31.473659999999999</v>
      </c>
      <c r="O836">
        <v>12.50179</v>
      </c>
      <c r="P836">
        <v>24.932939999999999</v>
      </c>
      <c r="Q836">
        <v>3651</v>
      </c>
    </row>
    <row r="837" spans="1:17" x14ac:dyDescent="0.25">
      <c r="A837" t="s">
        <v>21</v>
      </c>
      <c r="B837">
        <v>42</v>
      </c>
      <c r="C837">
        <v>0.71</v>
      </c>
      <c r="D837">
        <v>2016</v>
      </c>
      <c r="E837" t="s">
        <v>18</v>
      </c>
      <c r="F837">
        <v>2016121</v>
      </c>
      <c r="G837">
        <v>2016183</v>
      </c>
      <c r="H837">
        <v>578</v>
      </c>
      <c r="I837">
        <v>180</v>
      </c>
      <c r="J837">
        <v>0</v>
      </c>
      <c r="K837">
        <v>106</v>
      </c>
      <c r="L837">
        <v>92</v>
      </c>
      <c r="M837">
        <v>100</v>
      </c>
      <c r="N837">
        <v>30.87724</v>
      </c>
      <c r="O837">
        <v>11.729939999999999</v>
      </c>
      <c r="P837">
        <v>24.244309999999999</v>
      </c>
      <c r="Q837">
        <v>4132</v>
      </c>
    </row>
    <row r="838" spans="1:17" x14ac:dyDescent="0.25">
      <c r="A838" t="s">
        <v>21</v>
      </c>
      <c r="B838">
        <v>42</v>
      </c>
      <c r="C838">
        <v>0.71</v>
      </c>
      <c r="D838">
        <v>2017</v>
      </c>
      <c r="E838" t="s">
        <v>18</v>
      </c>
      <c r="F838">
        <v>2017121</v>
      </c>
      <c r="G838">
        <v>2017174</v>
      </c>
      <c r="H838">
        <v>2156</v>
      </c>
      <c r="I838">
        <v>143</v>
      </c>
      <c r="J838">
        <v>0</v>
      </c>
      <c r="K838">
        <v>88</v>
      </c>
      <c r="L838">
        <v>181</v>
      </c>
      <c r="M838">
        <v>100</v>
      </c>
      <c r="N838">
        <v>32.65269</v>
      </c>
      <c r="O838">
        <v>12.443110000000001</v>
      </c>
      <c r="P838">
        <v>23.586220000000001</v>
      </c>
      <c r="Q838">
        <v>3295</v>
      </c>
    </row>
    <row r="839" spans="1:17" x14ac:dyDescent="0.25">
      <c r="A839" t="s">
        <v>21</v>
      </c>
      <c r="B839">
        <v>42</v>
      </c>
      <c r="C839">
        <v>0.71</v>
      </c>
      <c r="D839">
        <v>2018</v>
      </c>
      <c r="E839" t="s">
        <v>18</v>
      </c>
      <c r="F839">
        <v>2018121</v>
      </c>
      <c r="G839">
        <v>2018180</v>
      </c>
      <c r="H839">
        <v>3301</v>
      </c>
      <c r="I839">
        <v>260</v>
      </c>
      <c r="J839">
        <v>0</v>
      </c>
      <c r="K839">
        <v>367</v>
      </c>
      <c r="L839">
        <v>160</v>
      </c>
      <c r="M839">
        <v>100</v>
      </c>
      <c r="N839">
        <v>29.583829999999999</v>
      </c>
      <c r="O839">
        <v>11.72575</v>
      </c>
      <c r="P839">
        <v>23.308979999999998</v>
      </c>
      <c r="Q839">
        <v>5982</v>
      </c>
    </row>
    <row r="840" spans="1:17" x14ac:dyDescent="0.25">
      <c r="A840" t="s">
        <v>21</v>
      </c>
      <c r="B840">
        <v>42</v>
      </c>
      <c r="C840">
        <v>0.71</v>
      </c>
      <c r="D840">
        <v>2019</v>
      </c>
      <c r="E840" t="s">
        <v>18</v>
      </c>
      <c r="F840">
        <v>2019121</v>
      </c>
      <c r="G840">
        <v>2019176</v>
      </c>
      <c r="H840">
        <v>2085</v>
      </c>
      <c r="I840">
        <v>191</v>
      </c>
      <c r="J840">
        <v>0</v>
      </c>
      <c r="K840">
        <v>243</v>
      </c>
      <c r="L840">
        <v>149</v>
      </c>
      <c r="M840">
        <v>100</v>
      </c>
      <c r="N840">
        <v>30.967659999999999</v>
      </c>
      <c r="O840">
        <v>12.503590000000001</v>
      </c>
      <c r="P840">
        <v>24.692820000000001</v>
      </c>
      <c r="Q840">
        <v>4385</v>
      </c>
    </row>
    <row r="841" spans="1:17" x14ac:dyDescent="0.25">
      <c r="A841" t="s">
        <v>21</v>
      </c>
      <c r="B841">
        <v>42</v>
      </c>
      <c r="C841">
        <v>0.71</v>
      </c>
      <c r="D841">
        <v>2020</v>
      </c>
      <c r="E841" t="s">
        <v>18</v>
      </c>
      <c r="F841">
        <v>2020121</v>
      </c>
      <c r="G841">
        <v>2020176</v>
      </c>
      <c r="H841">
        <v>3153</v>
      </c>
      <c r="I841">
        <v>239</v>
      </c>
      <c r="J841">
        <v>0</v>
      </c>
      <c r="K841">
        <v>198</v>
      </c>
      <c r="L841">
        <v>201</v>
      </c>
      <c r="M841">
        <v>100</v>
      </c>
      <c r="N841">
        <v>30.895209999999999</v>
      </c>
      <c r="O841">
        <v>12.00539</v>
      </c>
      <c r="P841">
        <v>25.148499999999999</v>
      </c>
      <c r="Q841">
        <v>5491</v>
      </c>
    </row>
    <row r="842" spans="1:17" x14ac:dyDescent="0.25">
      <c r="A842" t="s">
        <v>21</v>
      </c>
      <c r="B842">
        <v>43</v>
      </c>
      <c r="C842">
        <v>0.79</v>
      </c>
      <c r="D842">
        <v>2001</v>
      </c>
      <c r="E842" t="s">
        <v>17</v>
      </c>
      <c r="F842">
        <v>2001091</v>
      </c>
      <c r="G842">
        <v>2001166</v>
      </c>
      <c r="H842">
        <v>6932</v>
      </c>
      <c r="I842">
        <v>770</v>
      </c>
      <c r="J842">
        <v>0</v>
      </c>
      <c r="K842">
        <v>239</v>
      </c>
      <c r="L842">
        <v>235</v>
      </c>
      <c r="M842">
        <v>100</v>
      </c>
      <c r="N842">
        <v>28.728429999999999</v>
      </c>
      <c r="O842">
        <v>11.70304</v>
      </c>
      <c r="P842">
        <v>24.139089999999999</v>
      </c>
      <c r="Q842">
        <v>21565</v>
      </c>
    </row>
    <row r="843" spans="1:17" x14ac:dyDescent="0.25">
      <c r="A843" t="s">
        <v>21</v>
      </c>
      <c r="B843">
        <v>43</v>
      </c>
      <c r="C843">
        <v>0.79</v>
      </c>
      <c r="D843">
        <v>2002</v>
      </c>
      <c r="E843" t="s">
        <v>17</v>
      </c>
      <c r="F843">
        <v>2002091</v>
      </c>
      <c r="G843">
        <v>2002171</v>
      </c>
      <c r="H843">
        <v>3272</v>
      </c>
      <c r="I843">
        <v>1321</v>
      </c>
      <c r="J843">
        <v>0</v>
      </c>
      <c r="K843">
        <v>198</v>
      </c>
      <c r="L843">
        <v>116</v>
      </c>
      <c r="M843">
        <v>100</v>
      </c>
      <c r="N843">
        <v>27.425370000000001</v>
      </c>
      <c r="O843">
        <v>10.983750000000001</v>
      </c>
      <c r="P843">
        <v>22.788830000000001</v>
      </c>
      <c r="Q843">
        <v>36985</v>
      </c>
    </row>
    <row r="844" spans="1:17" x14ac:dyDescent="0.25">
      <c r="A844" t="s">
        <v>21</v>
      </c>
      <c r="B844">
        <v>43</v>
      </c>
      <c r="C844">
        <v>0.79</v>
      </c>
      <c r="D844">
        <v>2003</v>
      </c>
      <c r="E844" t="s">
        <v>17</v>
      </c>
      <c r="F844">
        <v>2003091</v>
      </c>
      <c r="G844">
        <v>2003166</v>
      </c>
      <c r="H844">
        <v>3195</v>
      </c>
      <c r="I844">
        <v>158</v>
      </c>
      <c r="J844">
        <v>0</v>
      </c>
      <c r="K844">
        <v>161</v>
      </c>
      <c r="L844">
        <v>212</v>
      </c>
      <c r="M844">
        <v>100</v>
      </c>
      <c r="N844">
        <v>29.248740000000002</v>
      </c>
      <c r="O844">
        <v>11.308630000000001</v>
      </c>
      <c r="P844">
        <v>23.29391</v>
      </c>
      <c r="Q844">
        <v>4417</v>
      </c>
    </row>
    <row r="845" spans="1:17" x14ac:dyDescent="0.25">
      <c r="A845" t="s">
        <v>21</v>
      </c>
      <c r="B845">
        <v>43</v>
      </c>
      <c r="C845">
        <v>0.79</v>
      </c>
      <c r="D845">
        <v>2004</v>
      </c>
      <c r="E845" t="s">
        <v>17</v>
      </c>
      <c r="F845">
        <v>2004091</v>
      </c>
      <c r="G845">
        <v>2004173</v>
      </c>
      <c r="H845">
        <v>3205</v>
      </c>
      <c r="I845">
        <v>241</v>
      </c>
      <c r="J845">
        <v>0</v>
      </c>
      <c r="K845">
        <v>239</v>
      </c>
      <c r="L845">
        <v>155</v>
      </c>
      <c r="M845">
        <v>100</v>
      </c>
      <c r="N845">
        <v>28.062429999999999</v>
      </c>
      <c r="O845">
        <v>11.23807</v>
      </c>
      <c r="P845">
        <v>23.238579999999999</v>
      </c>
      <c r="Q845">
        <v>6749</v>
      </c>
    </row>
    <row r="846" spans="1:17" x14ac:dyDescent="0.25">
      <c r="A846" t="s">
        <v>21</v>
      </c>
      <c r="B846">
        <v>43</v>
      </c>
      <c r="C846">
        <v>0.79</v>
      </c>
      <c r="D846">
        <v>2005</v>
      </c>
      <c r="E846" t="s">
        <v>17</v>
      </c>
      <c r="F846">
        <v>2005091</v>
      </c>
      <c r="G846">
        <v>2005163</v>
      </c>
      <c r="H846">
        <v>851</v>
      </c>
      <c r="I846">
        <v>65</v>
      </c>
      <c r="J846">
        <v>0</v>
      </c>
      <c r="K846">
        <v>135</v>
      </c>
      <c r="L846">
        <v>78</v>
      </c>
      <c r="M846">
        <v>100</v>
      </c>
      <c r="N846">
        <v>29.373090000000001</v>
      </c>
      <c r="O846">
        <v>11.33198</v>
      </c>
      <c r="P846">
        <v>24.911159999999999</v>
      </c>
      <c r="Q846">
        <v>1834</v>
      </c>
    </row>
    <row r="847" spans="1:17" x14ac:dyDescent="0.25">
      <c r="A847" t="s">
        <v>21</v>
      </c>
      <c r="B847">
        <v>43</v>
      </c>
      <c r="C847">
        <v>0.79</v>
      </c>
      <c r="D847">
        <v>2006</v>
      </c>
      <c r="E847" t="s">
        <v>17</v>
      </c>
      <c r="F847">
        <v>2006091</v>
      </c>
      <c r="G847">
        <v>2006171</v>
      </c>
      <c r="H847">
        <v>2929</v>
      </c>
      <c r="I847">
        <v>371</v>
      </c>
      <c r="J847">
        <v>0</v>
      </c>
      <c r="K847">
        <v>183</v>
      </c>
      <c r="L847">
        <v>140</v>
      </c>
      <c r="M847">
        <v>100</v>
      </c>
      <c r="N847">
        <v>29.334009999999999</v>
      </c>
      <c r="O847">
        <v>11.817259999999999</v>
      </c>
      <c r="P847">
        <v>24.077670000000001</v>
      </c>
      <c r="Q847">
        <v>10377</v>
      </c>
    </row>
    <row r="848" spans="1:17" x14ac:dyDescent="0.25">
      <c r="A848" t="s">
        <v>21</v>
      </c>
      <c r="B848">
        <v>43</v>
      </c>
      <c r="C848">
        <v>0.79</v>
      </c>
      <c r="D848">
        <v>2007</v>
      </c>
      <c r="E848" t="s">
        <v>17</v>
      </c>
      <c r="F848">
        <v>2007091</v>
      </c>
      <c r="G848">
        <v>2007170</v>
      </c>
      <c r="H848">
        <v>2239</v>
      </c>
      <c r="I848">
        <v>120</v>
      </c>
      <c r="J848">
        <v>0</v>
      </c>
      <c r="K848">
        <v>206</v>
      </c>
      <c r="L848">
        <v>141</v>
      </c>
      <c r="M848">
        <v>100</v>
      </c>
      <c r="N848">
        <v>27.333500000000001</v>
      </c>
      <c r="O848">
        <v>11.04162</v>
      </c>
      <c r="P848">
        <v>23.79899</v>
      </c>
      <c r="Q848">
        <v>3356</v>
      </c>
    </row>
    <row r="849" spans="1:17" x14ac:dyDescent="0.25">
      <c r="A849" t="s">
        <v>21</v>
      </c>
      <c r="B849">
        <v>43</v>
      </c>
      <c r="C849">
        <v>0.79</v>
      </c>
      <c r="D849">
        <v>2008</v>
      </c>
      <c r="E849" t="s">
        <v>17</v>
      </c>
      <c r="F849">
        <v>2008091</v>
      </c>
      <c r="G849">
        <v>2008173</v>
      </c>
      <c r="H849">
        <v>1304</v>
      </c>
      <c r="I849">
        <v>85</v>
      </c>
      <c r="J849">
        <v>0</v>
      </c>
      <c r="K849">
        <v>186</v>
      </c>
      <c r="L849">
        <v>65</v>
      </c>
      <c r="M849">
        <v>100</v>
      </c>
      <c r="N849">
        <v>27.729949999999999</v>
      </c>
      <c r="O849">
        <v>11.40457</v>
      </c>
      <c r="P849">
        <v>24.21218</v>
      </c>
      <c r="Q849">
        <v>2368</v>
      </c>
    </row>
    <row r="850" spans="1:17" x14ac:dyDescent="0.25">
      <c r="A850" t="s">
        <v>21</v>
      </c>
      <c r="B850">
        <v>43</v>
      </c>
      <c r="C850">
        <v>0.79</v>
      </c>
      <c r="D850">
        <v>2009</v>
      </c>
      <c r="E850" t="s">
        <v>18</v>
      </c>
      <c r="F850">
        <v>2009091</v>
      </c>
      <c r="G850">
        <v>2009162</v>
      </c>
      <c r="H850">
        <v>2572</v>
      </c>
      <c r="I850">
        <v>137</v>
      </c>
      <c r="J850">
        <v>0</v>
      </c>
      <c r="K850">
        <v>168</v>
      </c>
      <c r="L850">
        <v>198</v>
      </c>
      <c r="M850">
        <v>100</v>
      </c>
      <c r="N850">
        <v>28.920300000000001</v>
      </c>
      <c r="O850">
        <v>11.44061</v>
      </c>
      <c r="P850">
        <v>25.05686</v>
      </c>
      <c r="Q850">
        <v>3828</v>
      </c>
    </row>
    <row r="851" spans="1:17" x14ac:dyDescent="0.25">
      <c r="A851" t="s">
        <v>21</v>
      </c>
      <c r="B851">
        <v>43</v>
      </c>
      <c r="C851">
        <v>0.79</v>
      </c>
      <c r="D851">
        <v>2010</v>
      </c>
      <c r="E851" t="s">
        <v>18</v>
      </c>
      <c r="F851">
        <v>2010091</v>
      </c>
      <c r="G851">
        <v>2010161</v>
      </c>
      <c r="H851">
        <v>4330</v>
      </c>
      <c r="I851">
        <v>367</v>
      </c>
      <c r="J851">
        <v>0</v>
      </c>
      <c r="K851">
        <v>203</v>
      </c>
      <c r="L851">
        <v>392</v>
      </c>
      <c r="M851">
        <v>100</v>
      </c>
      <c r="N851">
        <v>28.297450000000001</v>
      </c>
      <c r="O851">
        <v>11.367010000000001</v>
      </c>
      <c r="P851">
        <v>24.648219999999998</v>
      </c>
      <c r="Q851">
        <v>10267</v>
      </c>
    </row>
    <row r="852" spans="1:17" x14ac:dyDescent="0.25">
      <c r="A852" t="s">
        <v>21</v>
      </c>
      <c r="B852">
        <v>43</v>
      </c>
      <c r="C852">
        <v>0.79</v>
      </c>
      <c r="D852">
        <v>2011</v>
      </c>
      <c r="E852" t="s">
        <v>18</v>
      </c>
      <c r="F852">
        <v>2011091</v>
      </c>
      <c r="G852">
        <v>2011160</v>
      </c>
      <c r="H852">
        <v>5237</v>
      </c>
      <c r="I852">
        <v>651</v>
      </c>
      <c r="J852">
        <v>0</v>
      </c>
      <c r="K852">
        <v>177</v>
      </c>
      <c r="L852">
        <v>278</v>
      </c>
      <c r="M852">
        <v>100</v>
      </c>
      <c r="N852">
        <v>29.28782</v>
      </c>
      <c r="O852">
        <v>11.20406</v>
      </c>
      <c r="P852">
        <v>24.068010000000001</v>
      </c>
      <c r="Q852">
        <v>18224</v>
      </c>
    </row>
    <row r="853" spans="1:17" x14ac:dyDescent="0.25">
      <c r="A853" t="s">
        <v>21</v>
      </c>
      <c r="B853">
        <v>43</v>
      </c>
      <c r="C853">
        <v>0.79</v>
      </c>
      <c r="D853">
        <v>2012</v>
      </c>
      <c r="E853" t="s">
        <v>18</v>
      </c>
      <c r="F853">
        <v>2012091</v>
      </c>
      <c r="G853">
        <v>2012162</v>
      </c>
      <c r="H853">
        <v>1875</v>
      </c>
      <c r="I853">
        <v>510</v>
      </c>
      <c r="J853">
        <v>0</v>
      </c>
      <c r="K853">
        <v>186</v>
      </c>
      <c r="L853">
        <v>91</v>
      </c>
      <c r="M853">
        <v>100</v>
      </c>
      <c r="N853">
        <v>29.948720000000002</v>
      </c>
      <c r="O853">
        <v>11.25381</v>
      </c>
      <c r="P853">
        <v>24.966999999999999</v>
      </c>
      <c r="Q853">
        <v>14270</v>
      </c>
    </row>
    <row r="854" spans="1:17" x14ac:dyDescent="0.25">
      <c r="A854" t="s">
        <v>21</v>
      </c>
      <c r="B854">
        <v>43</v>
      </c>
      <c r="C854">
        <v>0.79</v>
      </c>
      <c r="D854">
        <v>2013</v>
      </c>
      <c r="E854" t="s">
        <v>18</v>
      </c>
      <c r="F854">
        <v>2013091</v>
      </c>
      <c r="G854">
        <v>2013167</v>
      </c>
      <c r="H854">
        <v>4743</v>
      </c>
      <c r="I854">
        <v>240</v>
      </c>
      <c r="J854">
        <v>0</v>
      </c>
      <c r="K854">
        <v>306</v>
      </c>
      <c r="L854">
        <v>341</v>
      </c>
      <c r="M854">
        <v>100</v>
      </c>
      <c r="N854">
        <v>28.153310000000001</v>
      </c>
      <c r="O854">
        <v>10.29391</v>
      </c>
      <c r="P854">
        <v>22.693909999999999</v>
      </c>
      <c r="Q854">
        <v>6708</v>
      </c>
    </row>
    <row r="855" spans="1:17" x14ac:dyDescent="0.25">
      <c r="A855" t="s">
        <v>21</v>
      </c>
      <c r="B855">
        <v>43</v>
      </c>
      <c r="C855">
        <v>0.79</v>
      </c>
      <c r="D855">
        <v>2014</v>
      </c>
      <c r="E855" t="s">
        <v>18</v>
      </c>
      <c r="F855">
        <v>2014091</v>
      </c>
      <c r="G855">
        <v>2014157</v>
      </c>
      <c r="H855">
        <v>3085</v>
      </c>
      <c r="I855">
        <v>507</v>
      </c>
      <c r="J855">
        <v>0</v>
      </c>
      <c r="K855">
        <v>110</v>
      </c>
      <c r="L855">
        <v>215</v>
      </c>
      <c r="M855">
        <v>100</v>
      </c>
      <c r="N855">
        <v>29.123349999999999</v>
      </c>
      <c r="O855">
        <v>11.15178</v>
      </c>
      <c r="P855">
        <v>24.452290000000001</v>
      </c>
      <c r="Q855">
        <v>14200</v>
      </c>
    </row>
    <row r="856" spans="1:17" x14ac:dyDescent="0.25">
      <c r="A856" t="s">
        <v>21</v>
      </c>
      <c r="B856">
        <v>43</v>
      </c>
      <c r="C856">
        <v>0.79</v>
      </c>
      <c r="D856">
        <v>2015</v>
      </c>
      <c r="E856" t="s">
        <v>18</v>
      </c>
      <c r="F856">
        <v>2015091</v>
      </c>
      <c r="G856">
        <v>2015158</v>
      </c>
      <c r="H856">
        <v>906</v>
      </c>
      <c r="I856">
        <v>171</v>
      </c>
      <c r="J856">
        <v>0</v>
      </c>
      <c r="K856">
        <v>90</v>
      </c>
      <c r="L856">
        <v>157</v>
      </c>
      <c r="M856">
        <v>100</v>
      </c>
      <c r="N856">
        <v>29.917259999999999</v>
      </c>
      <c r="O856">
        <v>11.468019999999999</v>
      </c>
      <c r="P856">
        <v>24.227409999999999</v>
      </c>
      <c r="Q856">
        <v>4797</v>
      </c>
    </row>
    <row r="857" spans="1:17" x14ac:dyDescent="0.25">
      <c r="A857" t="s">
        <v>21</v>
      </c>
      <c r="B857">
        <v>43</v>
      </c>
      <c r="C857">
        <v>0.79</v>
      </c>
      <c r="D857">
        <v>2016</v>
      </c>
      <c r="E857" t="s">
        <v>18</v>
      </c>
      <c r="F857">
        <v>2016091</v>
      </c>
      <c r="G857">
        <v>2016162</v>
      </c>
      <c r="H857">
        <v>654</v>
      </c>
      <c r="I857">
        <v>167</v>
      </c>
      <c r="J857">
        <v>0</v>
      </c>
      <c r="K857">
        <v>106</v>
      </c>
      <c r="L857">
        <v>92</v>
      </c>
      <c r="M857">
        <v>100</v>
      </c>
      <c r="N857">
        <v>29.194410000000001</v>
      </c>
      <c r="O857">
        <v>10.76244</v>
      </c>
      <c r="P857">
        <v>23.58426</v>
      </c>
      <c r="Q857">
        <v>4684</v>
      </c>
    </row>
    <row r="858" spans="1:17" x14ac:dyDescent="0.25">
      <c r="A858" t="s">
        <v>21</v>
      </c>
      <c r="B858">
        <v>43</v>
      </c>
      <c r="C858">
        <v>0.79</v>
      </c>
      <c r="D858">
        <v>2017</v>
      </c>
      <c r="E858" t="s">
        <v>18</v>
      </c>
      <c r="F858">
        <v>2017091</v>
      </c>
      <c r="G858">
        <v>2017156</v>
      </c>
      <c r="H858">
        <v>2713</v>
      </c>
      <c r="I858">
        <v>174</v>
      </c>
      <c r="J858">
        <v>0</v>
      </c>
      <c r="K858">
        <v>88</v>
      </c>
      <c r="L858">
        <v>181</v>
      </c>
      <c r="M858">
        <v>100</v>
      </c>
      <c r="N858">
        <v>31.095929999999999</v>
      </c>
      <c r="O858">
        <v>11.28121</v>
      </c>
      <c r="P858">
        <v>23.298469999999998</v>
      </c>
      <c r="Q858">
        <v>4860</v>
      </c>
    </row>
    <row r="859" spans="1:17" x14ac:dyDescent="0.25">
      <c r="A859" t="s">
        <v>21</v>
      </c>
      <c r="B859">
        <v>43</v>
      </c>
      <c r="C859">
        <v>0.79</v>
      </c>
      <c r="D859">
        <v>2018</v>
      </c>
      <c r="E859" t="s">
        <v>18</v>
      </c>
      <c r="F859">
        <v>2018091</v>
      </c>
      <c r="G859">
        <v>2018167</v>
      </c>
      <c r="H859">
        <v>5331</v>
      </c>
      <c r="I859">
        <v>294</v>
      </c>
      <c r="J859">
        <v>0</v>
      </c>
      <c r="K859">
        <v>367</v>
      </c>
      <c r="L859">
        <v>160</v>
      </c>
      <c r="M859">
        <v>100</v>
      </c>
      <c r="N859">
        <v>27.950759999999999</v>
      </c>
      <c r="O859">
        <v>10.80203</v>
      </c>
      <c r="P859">
        <v>22.56193</v>
      </c>
      <c r="Q859">
        <v>8231</v>
      </c>
    </row>
    <row r="860" spans="1:17" x14ac:dyDescent="0.25">
      <c r="A860" t="s">
        <v>21</v>
      </c>
      <c r="B860">
        <v>43</v>
      </c>
      <c r="C860">
        <v>0.79</v>
      </c>
      <c r="D860">
        <v>2019</v>
      </c>
      <c r="E860" t="s">
        <v>18</v>
      </c>
      <c r="F860">
        <v>2019091</v>
      </c>
      <c r="G860">
        <v>2019163</v>
      </c>
      <c r="H860">
        <v>2368</v>
      </c>
      <c r="I860">
        <v>199</v>
      </c>
      <c r="J860">
        <v>0</v>
      </c>
      <c r="K860">
        <v>243</v>
      </c>
      <c r="L860">
        <v>149</v>
      </c>
      <c r="M860">
        <v>100</v>
      </c>
      <c r="N860">
        <v>29.04467</v>
      </c>
      <c r="O860">
        <v>11.404059999999999</v>
      </c>
      <c r="P860">
        <v>23.839600000000001</v>
      </c>
      <c r="Q860">
        <v>5571</v>
      </c>
    </row>
    <row r="861" spans="1:17" x14ac:dyDescent="0.25">
      <c r="A861" t="s">
        <v>21</v>
      </c>
      <c r="B861">
        <v>43</v>
      </c>
      <c r="C861">
        <v>0.79</v>
      </c>
      <c r="D861">
        <v>2020</v>
      </c>
      <c r="E861" t="s">
        <v>18</v>
      </c>
      <c r="F861">
        <v>2020091</v>
      </c>
      <c r="G861">
        <v>2020159</v>
      </c>
      <c r="H861">
        <v>4737</v>
      </c>
      <c r="I861">
        <v>214</v>
      </c>
      <c r="J861">
        <v>0</v>
      </c>
      <c r="K861">
        <v>198</v>
      </c>
      <c r="L861">
        <v>201</v>
      </c>
      <c r="M861">
        <v>100</v>
      </c>
      <c r="N861">
        <v>29.073609999999999</v>
      </c>
      <c r="O861">
        <v>11.309139999999999</v>
      </c>
      <c r="P861">
        <v>24.235530000000001</v>
      </c>
      <c r="Q861">
        <v>5980</v>
      </c>
    </row>
    <row r="862" spans="1:17" x14ac:dyDescent="0.25">
      <c r="A862" t="s">
        <v>21</v>
      </c>
      <c r="B862">
        <v>44</v>
      </c>
      <c r="C862">
        <v>0.63</v>
      </c>
      <c r="D862">
        <v>2001</v>
      </c>
      <c r="E862" t="s">
        <v>17</v>
      </c>
      <c r="F862">
        <v>2001091</v>
      </c>
      <c r="G862">
        <v>2001166</v>
      </c>
      <c r="H862">
        <v>5418</v>
      </c>
      <c r="I862">
        <v>325</v>
      </c>
      <c r="J862">
        <v>0</v>
      </c>
      <c r="K862">
        <v>239</v>
      </c>
      <c r="L862">
        <v>235</v>
      </c>
      <c r="M862">
        <v>75</v>
      </c>
      <c r="N862">
        <v>28.728429999999999</v>
      </c>
      <c r="O862">
        <v>11.70304</v>
      </c>
      <c r="P862">
        <v>24.139089999999999</v>
      </c>
      <c r="Q862">
        <v>9097</v>
      </c>
    </row>
    <row r="863" spans="1:17" x14ac:dyDescent="0.25">
      <c r="A863" t="s">
        <v>21</v>
      </c>
      <c r="B863">
        <v>44</v>
      </c>
      <c r="C863">
        <v>0.63</v>
      </c>
      <c r="D863">
        <v>2002</v>
      </c>
      <c r="E863" t="s">
        <v>17</v>
      </c>
      <c r="F863">
        <v>2002091</v>
      </c>
      <c r="G863">
        <v>2002171</v>
      </c>
      <c r="H863">
        <v>3279</v>
      </c>
      <c r="I863">
        <v>1281</v>
      </c>
      <c r="J863">
        <v>0</v>
      </c>
      <c r="K863">
        <v>198</v>
      </c>
      <c r="L863">
        <v>116</v>
      </c>
      <c r="M863">
        <v>75</v>
      </c>
      <c r="N863">
        <v>27.425370000000001</v>
      </c>
      <c r="O863">
        <v>10.983750000000001</v>
      </c>
      <c r="P863">
        <v>22.788830000000001</v>
      </c>
      <c r="Q863">
        <v>35878</v>
      </c>
    </row>
    <row r="864" spans="1:17" x14ac:dyDescent="0.25">
      <c r="A864" t="s">
        <v>21</v>
      </c>
      <c r="B864">
        <v>44</v>
      </c>
      <c r="C864">
        <v>0.63</v>
      </c>
      <c r="D864">
        <v>2003</v>
      </c>
      <c r="E864" t="s">
        <v>17</v>
      </c>
      <c r="F864">
        <v>2003091</v>
      </c>
      <c r="G864">
        <v>2003166</v>
      </c>
      <c r="H864">
        <v>2806</v>
      </c>
      <c r="I864">
        <v>125</v>
      </c>
      <c r="J864">
        <v>0</v>
      </c>
      <c r="K864">
        <v>161</v>
      </c>
      <c r="L864">
        <v>212</v>
      </c>
      <c r="M864">
        <v>75</v>
      </c>
      <c r="N864">
        <v>29.248740000000002</v>
      </c>
      <c r="O864">
        <v>11.308630000000001</v>
      </c>
      <c r="P864">
        <v>23.29391</v>
      </c>
      <c r="Q864">
        <v>3505</v>
      </c>
    </row>
    <row r="865" spans="1:17" x14ac:dyDescent="0.25">
      <c r="A865" t="s">
        <v>21</v>
      </c>
      <c r="B865">
        <v>44</v>
      </c>
      <c r="C865">
        <v>0.63</v>
      </c>
      <c r="D865">
        <v>2004</v>
      </c>
      <c r="E865" t="s">
        <v>17</v>
      </c>
      <c r="F865">
        <v>2004091</v>
      </c>
      <c r="G865">
        <v>2004173</v>
      </c>
      <c r="H865">
        <v>2962</v>
      </c>
      <c r="I865">
        <v>142</v>
      </c>
      <c r="J865">
        <v>0</v>
      </c>
      <c r="K865">
        <v>239</v>
      </c>
      <c r="L865">
        <v>155</v>
      </c>
      <c r="M865">
        <v>75</v>
      </c>
      <c r="N865">
        <v>28.062429999999999</v>
      </c>
      <c r="O865">
        <v>11.23807</v>
      </c>
      <c r="P865">
        <v>23.238579999999999</v>
      </c>
      <c r="Q865">
        <v>3984</v>
      </c>
    </row>
    <row r="866" spans="1:17" x14ac:dyDescent="0.25">
      <c r="A866" t="s">
        <v>21</v>
      </c>
      <c r="B866">
        <v>44</v>
      </c>
      <c r="C866">
        <v>0.63</v>
      </c>
      <c r="D866">
        <v>2005</v>
      </c>
      <c r="E866" t="s">
        <v>17</v>
      </c>
      <c r="F866">
        <v>2005091</v>
      </c>
      <c r="G866">
        <v>2005163</v>
      </c>
      <c r="H866">
        <v>824</v>
      </c>
      <c r="I866">
        <v>32</v>
      </c>
      <c r="J866">
        <v>0</v>
      </c>
      <c r="K866">
        <v>135</v>
      </c>
      <c r="L866">
        <v>78</v>
      </c>
      <c r="M866">
        <v>75</v>
      </c>
      <c r="N866">
        <v>29.373090000000001</v>
      </c>
      <c r="O866">
        <v>11.33198</v>
      </c>
      <c r="P866">
        <v>24.911159999999999</v>
      </c>
      <c r="Q866">
        <v>896</v>
      </c>
    </row>
    <row r="867" spans="1:17" x14ac:dyDescent="0.25">
      <c r="A867" t="s">
        <v>21</v>
      </c>
      <c r="B867">
        <v>44</v>
      </c>
      <c r="C867">
        <v>0.63</v>
      </c>
      <c r="D867">
        <v>2006</v>
      </c>
      <c r="E867" t="s">
        <v>17</v>
      </c>
      <c r="F867">
        <v>2006091</v>
      </c>
      <c r="G867">
        <v>2006171</v>
      </c>
      <c r="H867">
        <v>2856</v>
      </c>
      <c r="I867">
        <v>345</v>
      </c>
      <c r="J867">
        <v>0</v>
      </c>
      <c r="K867">
        <v>183</v>
      </c>
      <c r="L867">
        <v>140</v>
      </c>
      <c r="M867">
        <v>75</v>
      </c>
      <c r="N867">
        <v>29.334009999999999</v>
      </c>
      <c r="O867">
        <v>11.817259999999999</v>
      </c>
      <c r="P867">
        <v>24.077670000000001</v>
      </c>
      <c r="Q867">
        <v>9668</v>
      </c>
    </row>
    <row r="868" spans="1:17" x14ac:dyDescent="0.25">
      <c r="A868" t="s">
        <v>21</v>
      </c>
      <c r="B868">
        <v>44</v>
      </c>
      <c r="C868">
        <v>0.63</v>
      </c>
      <c r="D868">
        <v>2007</v>
      </c>
      <c r="E868" t="s">
        <v>17</v>
      </c>
      <c r="F868">
        <v>2007091</v>
      </c>
      <c r="G868">
        <v>2007170</v>
      </c>
      <c r="H868">
        <v>2142</v>
      </c>
      <c r="I868">
        <v>49</v>
      </c>
      <c r="J868">
        <v>0</v>
      </c>
      <c r="K868">
        <v>206</v>
      </c>
      <c r="L868">
        <v>141</v>
      </c>
      <c r="M868">
        <v>75</v>
      </c>
      <c r="N868">
        <v>27.333500000000001</v>
      </c>
      <c r="O868">
        <v>11.04162</v>
      </c>
      <c r="P868">
        <v>23.79899</v>
      </c>
      <c r="Q868">
        <v>1369</v>
      </c>
    </row>
    <row r="869" spans="1:17" x14ac:dyDescent="0.25">
      <c r="A869" t="s">
        <v>21</v>
      </c>
      <c r="B869">
        <v>44</v>
      </c>
      <c r="C869">
        <v>0.63</v>
      </c>
      <c r="D869">
        <v>2008</v>
      </c>
      <c r="E869" t="s">
        <v>17</v>
      </c>
      <c r="F869">
        <v>2008091</v>
      </c>
      <c r="G869">
        <v>2008173</v>
      </c>
      <c r="H869">
        <v>1301</v>
      </c>
      <c r="I869">
        <v>98</v>
      </c>
      <c r="J869">
        <v>0</v>
      </c>
      <c r="K869">
        <v>186</v>
      </c>
      <c r="L869">
        <v>65</v>
      </c>
      <c r="M869">
        <v>75</v>
      </c>
      <c r="N869">
        <v>27.729949999999999</v>
      </c>
      <c r="O869">
        <v>11.40457</v>
      </c>
      <c r="P869">
        <v>24.21218</v>
      </c>
      <c r="Q869">
        <v>2739</v>
      </c>
    </row>
    <row r="870" spans="1:17" x14ac:dyDescent="0.25">
      <c r="A870" t="s">
        <v>21</v>
      </c>
      <c r="B870">
        <v>44</v>
      </c>
      <c r="C870">
        <v>0.63</v>
      </c>
      <c r="D870">
        <v>2009</v>
      </c>
      <c r="E870" t="s">
        <v>18</v>
      </c>
      <c r="F870">
        <v>2009091</v>
      </c>
      <c r="G870">
        <v>2009162</v>
      </c>
      <c r="H870">
        <v>2373</v>
      </c>
      <c r="I870">
        <v>112</v>
      </c>
      <c r="J870">
        <v>0</v>
      </c>
      <c r="K870">
        <v>168</v>
      </c>
      <c r="L870">
        <v>198</v>
      </c>
      <c r="M870">
        <v>75</v>
      </c>
      <c r="N870">
        <v>28.920300000000001</v>
      </c>
      <c r="O870">
        <v>11.44061</v>
      </c>
      <c r="P870">
        <v>25.05686</v>
      </c>
      <c r="Q870">
        <v>3137</v>
      </c>
    </row>
    <row r="871" spans="1:17" x14ac:dyDescent="0.25">
      <c r="A871" t="s">
        <v>21</v>
      </c>
      <c r="B871">
        <v>44</v>
      </c>
      <c r="C871">
        <v>0.63</v>
      </c>
      <c r="D871">
        <v>2010</v>
      </c>
      <c r="E871" t="s">
        <v>18</v>
      </c>
      <c r="F871">
        <v>2010091</v>
      </c>
      <c r="G871">
        <v>2010161</v>
      </c>
      <c r="H871">
        <v>2974</v>
      </c>
      <c r="I871">
        <v>289</v>
      </c>
      <c r="J871">
        <v>0</v>
      </c>
      <c r="K871">
        <v>203</v>
      </c>
      <c r="L871">
        <v>392</v>
      </c>
      <c r="M871">
        <v>75</v>
      </c>
      <c r="N871">
        <v>28.297450000000001</v>
      </c>
      <c r="O871">
        <v>11.367010000000001</v>
      </c>
      <c r="P871">
        <v>24.648219999999998</v>
      </c>
      <c r="Q871">
        <v>8100</v>
      </c>
    </row>
    <row r="872" spans="1:17" x14ac:dyDescent="0.25">
      <c r="A872" t="s">
        <v>21</v>
      </c>
      <c r="B872">
        <v>44</v>
      </c>
      <c r="C872">
        <v>0.63</v>
      </c>
      <c r="D872">
        <v>2011</v>
      </c>
      <c r="E872" t="s">
        <v>18</v>
      </c>
      <c r="F872">
        <v>2011091</v>
      </c>
      <c r="G872">
        <v>2011160</v>
      </c>
      <c r="H872">
        <v>3977</v>
      </c>
      <c r="I872">
        <v>459</v>
      </c>
      <c r="J872">
        <v>0</v>
      </c>
      <c r="K872">
        <v>177</v>
      </c>
      <c r="L872">
        <v>278</v>
      </c>
      <c r="M872">
        <v>75</v>
      </c>
      <c r="N872">
        <v>29.28782</v>
      </c>
      <c r="O872">
        <v>11.20406</v>
      </c>
      <c r="P872">
        <v>24.068010000000001</v>
      </c>
      <c r="Q872">
        <v>12847</v>
      </c>
    </row>
    <row r="873" spans="1:17" x14ac:dyDescent="0.25">
      <c r="A873" t="s">
        <v>21</v>
      </c>
      <c r="B873">
        <v>44</v>
      </c>
      <c r="C873">
        <v>0.63</v>
      </c>
      <c r="D873">
        <v>2012</v>
      </c>
      <c r="E873" t="s">
        <v>18</v>
      </c>
      <c r="F873">
        <v>2012091</v>
      </c>
      <c r="G873">
        <v>2012162</v>
      </c>
      <c r="H873">
        <v>1826</v>
      </c>
      <c r="I873">
        <v>464</v>
      </c>
      <c r="J873">
        <v>0</v>
      </c>
      <c r="K873">
        <v>186</v>
      </c>
      <c r="L873">
        <v>91</v>
      </c>
      <c r="M873">
        <v>75</v>
      </c>
      <c r="N873">
        <v>29.948720000000002</v>
      </c>
      <c r="O873">
        <v>11.25381</v>
      </c>
      <c r="P873">
        <v>24.966999999999999</v>
      </c>
      <c r="Q873">
        <v>12987</v>
      </c>
    </row>
    <row r="874" spans="1:17" x14ac:dyDescent="0.25">
      <c r="A874" t="s">
        <v>21</v>
      </c>
      <c r="B874">
        <v>44</v>
      </c>
      <c r="C874">
        <v>0.63</v>
      </c>
      <c r="D874">
        <v>2013</v>
      </c>
      <c r="E874" t="s">
        <v>18</v>
      </c>
      <c r="F874">
        <v>2013091</v>
      </c>
      <c r="G874">
        <v>2013167</v>
      </c>
      <c r="H874">
        <v>3434</v>
      </c>
      <c r="I874">
        <v>239</v>
      </c>
      <c r="J874">
        <v>0</v>
      </c>
      <c r="K874">
        <v>306</v>
      </c>
      <c r="L874">
        <v>341</v>
      </c>
      <c r="M874">
        <v>75</v>
      </c>
      <c r="N874">
        <v>28.153310000000001</v>
      </c>
      <c r="O874">
        <v>10.29391</v>
      </c>
      <c r="P874">
        <v>22.693909999999999</v>
      </c>
      <c r="Q874">
        <v>6692</v>
      </c>
    </row>
    <row r="875" spans="1:17" x14ac:dyDescent="0.25">
      <c r="A875" t="s">
        <v>21</v>
      </c>
      <c r="B875">
        <v>44</v>
      </c>
      <c r="C875">
        <v>0.63</v>
      </c>
      <c r="D875">
        <v>2014</v>
      </c>
      <c r="E875" t="s">
        <v>18</v>
      </c>
      <c r="F875">
        <v>2014091</v>
      </c>
      <c r="G875">
        <v>2014157</v>
      </c>
      <c r="H875">
        <v>2695</v>
      </c>
      <c r="I875">
        <v>460</v>
      </c>
      <c r="J875">
        <v>0</v>
      </c>
      <c r="K875">
        <v>110</v>
      </c>
      <c r="L875">
        <v>215</v>
      </c>
      <c r="M875">
        <v>75</v>
      </c>
      <c r="N875">
        <v>29.123349999999999</v>
      </c>
      <c r="O875">
        <v>11.15178</v>
      </c>
      <c r="P875">
        <v>24.452290000000001</v>
      </c>
      <c r="Q875">
        <v>12870</v>
      </c>
    </row>
    <row r="876" spans="1:17" x14ac:dyDescent="0.25">
      <c r="A876" t="s">
        <v>21</v>
      </c>
      <c r="B876">
        <v>44</v>
      </c>
      <c r="C876">
        <v>0.63</v>
      </c>
      <c r="D876">
        <v>2015</v>
      </c>
      <c r="E876" t="s">
        <v>18</v>
      </c>
      <c r="F876">
        <v>2015091</v>
      </c>
      <c r="G876">
        <v>2015158</v>
      </c>
      <c r="H876">
        <v>846</v>
      </c>
      <c r="I876">
        <v>101</v>
      </c>
      <c r="J876">
        <v>0</v>
      </c>
      <c r="K876">
        <v>90</v>
      </c>
      <c r="L876">
        <v>157</v>
      </c>
      <c r="M876">
        <v>75</v>
      </c>
      <c r="N876">
        <v>29.917259999999999</v>
      </c>
      <c r="O876">
        <v>11.468019999999999</v>
      </c>
      <c r="P876">
        <v>24.227409999999999</v>
      </c>
      <c r="Q876">
        <v>2834</v>
      </c>
    </row>
    <row r="877" spans="1:17" x14ac:dyDescent="0.25">
      <c r="A877" t="s">
        <v>21</v>
      </c>
      <c r="B877">
        <v>44</v>
      </c>
      <c r="C877">
        <v>0.63</v>
      </c>
      <c r="D877">
        <v>2016</v>
      </c>
      <c r="E877" t="s">
        <v>18</v>
      </c>
      <c r="F877">
        <v>2016091</v>
      </c>
      <c r="G877">
        <v>2016162</v>
      </c>
      <c r="H877">
        <v>621</v>
      </c>
      <c r="I877">
        <v>136</v>
      </c>
      <c r="J877">
        <v>0</v>
      </c>
      <c r="K877">
        <v>106</v>
      </c>
      <c r="L877">
        <v>92</v>
      </c>
      <c r="M877">
        <v>75</v>
      </c>
      <c r="N877">
        <v>29.194410000000001</v>
      </c>
      <c r="O877">
        <v>10.76244</v>
      </c>
      <c r="P877">
        <v>23.58426</v>
      </c>
      <c r="Q877">
        <v>3815</v>
      </c>
    </row>
    <row r="878" spans="1:17" x14ac:dyDescent="0.25">
      <c r="A878" t="s">
        <v>21</v>
      </c>
      <c r="B878">
        <v>44</v>
      </c>
      <c r="C878">
        <v>0.63</v>
      </c>
      <c r="D878">
        <v>2017</v>
      </c>
      <c r="E878" t="s">
        <v>18</v>
      </c>
      <c r="F878">
        <v>2017091</v>
      </c>
      <c r="G878">
        <v>2017156</v>
      </c>
      <c r="H878">
        <v>2479</v>
      </c>
      <c r="I878">
        <v>165</v>
      </c>
      <c r="J878">
        <v>0</v>
      </c>
      <c r="K878">
        <v>88</v>
      </c>
      <c r="L878">
        <v>181</v>
      </c>
      <c r="M878">
        <v>75</v>
      </c>
      <c r="N878">
        <v>31.095929999999999</v>
      </c>
      <c r="O878">
        <v>11.28121</v>
      </c>
      <c r="P878">
        <v>23.298469999999998</v>
      </c>
      <c r="Q878">
        <v>4628</v>
      </c>
    </row>
    <row r="879" spans="1:17" x14ac:dyDescent="0.25">
      <c r="A879" t="s">
        <v>21</v>
      </c>
      <c r="B879">
        <v>44</v>
      </c>
      <c r="C879">
        <v>0.63</v>
      </c>
      <c r="D879">
        <v>2018</v>
      </c>
      <c r="E879" t="s">
        <v>18</v>
      </c>
      <c r="F879">
        <v>2018091</v>
      </c>
      <c r="G879">
        <v>2018167</v>
      </c>
      <c r="H879">
        <v>4531</v>
      </c>
      <c r="I879">
        <v>198</v>
      </c>
      <c r="J879">
        <v>0</v>
      </c>
      <c r="K879">
        <v>367</v>
      </c>
      <c r="L879">
        <v>160</v>
      </c>
      <c r="M879">
        <v>75</v>
      </c>
      <c r="N879">
        <v>27.950759999999999</v>
      </c>
      <c r="O879">
        <v>10.80203</v>
      </c>
      <c r="P879">
        <v>22.56193</v>
      </c>
      <c r="Q879">
        <v>5552</v>
      </c>
    </row>
    <row r="880" spans="1:17" x14ac:dyDescent="0.25">
      <c r="A880" t="s">
        <v>21</v>
      </c>
      <c r="B880">
        <v>44</v>
      </c>
      <c r="C880">
        <v>0.63</v>
      </c>
      <c r="D880">
        <v>2019</v>
      </c>
      <c r="E880" t="s">
        <v>18</v>
      </c>
      <c r="F880">
        <v>2019091</v>
      </c>
      <c r="G880">
        <v>2019163</v>
      </c>
      <c r="H880">
        <v>2113</v>
      </c>
      <c r="I880">
        <v>91</v>
      </c>
      <c r="J880">
        <v>0</v>
      </c>
      <c r="K880">
        <v>243</v>
      </c>
      <c r="L880">
        <v>149</v>
      </c>
      <c r="M880">
        <v>75</v>
      </c>
      <c r="N880">
        <v>29.04467</v>
      </c>
      <c r="O880">
        <v>11.404059999999999</v>
      </c>
      <c r="P880">
        <v>23.839600000000001</v>
      </c>
      <c r="Q880">
        <v>2538</v>
      </c>
    </row>
    <row r="881" spans="1:17" x14ac:dyDescent="0.25">
      <c r="A881" t="s">
        <v>21</v>
      </c>
      <c r="B881">
        <v>44</v>
      </c>
      <c r="C881">
        <v>0.63</v>
      </c>
      <c r="D881">
        <v>2020</v>
      </c>
      <c r="E881" t="s">
        <v>18</v>
      </c>
      <c r="F881">
        <v>2020091</v>
      </c>
      <c r="G881">
        <v>2020159</v>
      </c>
      <c r="H881">
        <v>4306</v>
      </c>
      <c r="I881">
        <v>240</v>
      </c>
      <c r="J881">
        <v>0</v>
      </c>
      <c r="K881">
        <v>198</v>
      </c>
      <c r="L881">
        <v>201</v>
      </c>
      <c r="M881">
        <v>75</v>
      </c>
      <c r="N881">
        <v>29.073609999999999</v>
      </c>
      <c r="O881">
        <v>11.309139999999999</v>
      </c>
      <c r="P881">
        <v>24.235530000000001</v>
      </c>
      <c r="Q881">
        <v>6731</v>
      </c>
    </row>
    <row r="882" spans="1:17" x14ac:dyDescent="0.25">
      <c r="A882" t="s">
        <v>21</v>
      </c>
      <c r="B882">
        <v>45</v>
      </c>
      <c r="C882">
        <v>0.87</v>
      </c>
      <c r="D882">
        <v>2001</v>
      </c>
      <c r="E882" t="s">
        <v>17</v>
      </c>
      <c r="F882">
        <v>2001105</v>
      </c>
      <c r="G882">
        <v>2001174</v>
      </c>
      <c r="H882">
        <v>5652</v>
      </c>
      <c r="I882">
        <v>350</v>
      </c>
      <c r="J882">
        <v>0</v>
      </c>
      <c r="K882">
        <v>239</v>
      </c>
      <c r="L882">
        <v>235</v>
      </c>
      <c r="M882">
        <v>75</v>
      </c>
      <c r="N882">
        <v>29.25684</v>
      </c>
      <c r="O882">
        <v>12.30382</v>
      </c>
      <c r="P882">
        <v>24.074870000000001</v>
      </c>
      <c r="Q882">
        <v>7350</v>
      </c>
    </row>
    <row r="883" spans="1:17" x14ac:dyDescent="0.25">
      <c r="A883" t="s">
        <v>21</v>
      </c>
      <c r="B883">
        <v>45</v>
      </c>
      <c r="C883">
        <v>0.87</v>
      </c>
      <c r="D883">
        <v>2002</v>
      </c>
      <c r="E883" t="s">
        <v>17</v>
      </c>
      <c r="F883">
        <v>2002105</v>
      </c>
      <c r="G883">
        <v>2002175</v>
      </c>
      <c r="H883">
        <v>3467</v>
      </c>
      <c r="I883">
        <v>1069</v>
      </c>
      <c r="J883">
        <v>0</v>
      </c>
      <c r="K883">
        <v>198</v>
      </c>
      <c r="L883">
        <v>116</v>
      </c>
      <c r="M883">
        <v>75</v>
      </c>
      <c r="N883">
        <v>28.448080000000001</v>
      </c>
      <c r="O883">
        <v>11.543710000000001</v>
      </c>
      <c r="P883">
        <v>23.359559999999998</v>
      </c>
      <c r="Q883">
        <v>22443</v>
      </c>
    </row>
    <row r="884" spans="1:17" x14ac:dyDescent="0.25">
      <c r="A884" t="s">
        <v>21</v>
      </c>
      <c r="B884">
        <v>45</v>
      </c>
      <c r="C884">
        <v>0.87</v>
      </c>
      <c r="D884">
        <v>2003</v>
      </c>
      <c r="E884" t="s">
        <v>17</v>
      </c>
      <c r="F884">
        <v>2003105</v>
      </c>
      <c r="G884">
        <v>2003172</v>
      </c>
      <c r="H884">
        <v>3878</v>
      </c>
      <c r="I884">
        <v>237</v>
      </c>
      <c r="J884">
        <v>0</v>
      </c>
      <c r="K884">
        <v>161</v>
      </c>
      <c r="L884">
        <v>212</v>
      </c>
      <c r="M884">
        <v>75</v>
      </c>
      <c r="N884">
        <v>30.072140000000001</v>
      </c>
      <c r="O884">
        <v>11.8612</v>
      </c>
      <c r="P884">
        <v>23.498909999999999</v>
      </c>
      <c r="Q884">
        <v>4972</v>
      </c>
    </row>
    <row r="885" spans="1:17" x14ac:dyDescent="0.25">
      <c r="A885" t="s">
        <v>21</v>
      </c>
      <c r="B885">
        <v>45</v>
      </c>
      <c r="C885">
        <v>0.87</v>
      </c>
      <c r="D885">
        <v>2004</v>
      </c>
      <c r="E885" t="s">
        <v>17</v>
      </c>
      <c r="F885">
        <v>2004105</v>
      </c>
      <c r="G885">
        <v>2004179</v>
      </c>
      <c r="H885">
        <v>2914</v>
      </c>
      <c r="I885">
        <v>140</v>
      </c>
      <c r="J885">
        <v>0</v>
      </c>
      <c r="K885">
        <v>239</v>
      </c>
      <c r="L885">
        <v>155</v>
      </c>
      <c r="M885">
        <v>75</v>
      </c>
      <c r="N885">
        <v>28.88251</v>
      </c>
      <c r="O885">
        <v>11.89016</v>
      </c>
      <c r="P885">
        <v>23.470490000000002</v>
      </c>
      <c r="Q885">
        <v>2934</v>
      </c>
    </row>
    <row r="886" spans="1:17" x14ac:dyDescent="0.25">
      <c r="A886" t="s">
        <v>21</v>
      </c>
      <c r="B886">
        <v>45</v>
      </c>
      <c r="C886">
        <v>0.87</v>
      </c>
      <c r="D886">
        <v>2005</v>
      </c>
      <c r="E886" t="s">
        <v>17</v>
      </c>
      <c r="F886">
        <v>2005105</v>
      </c>
      <c r="G886">
        <v>2005168</v>
      </c>
      <c r="H886">
        <v>828</v>
      </c>
      <c r="I886">
        <v>58</v>
      </c>
      <c r="J886">
        <v>0</v>
      </c>
      <c r="K886">
        <v>135</v>
      </c>
      <c r="L886">
        <v>78</v>
      </c>
      <c r="M886">
        <v>75</v>
      </c>
      <c r="N886">
        <v>30.140979999999999</v>
      </c>
      <c r="O886">
        <v>11.84098</v>
      </c>
      <c r="P886">
        <v>25.041519999999998</v>
      </c>
      <c r="Q886">
        <v>1209</v>
      </c>
    </row>
    <row r="887" spans="1:17" x14ac:dyDescent="0.25">
      <c r="A887" t="s">
        <v>21</v>
      </c>
      <c r="B887">
        <v>45</v>
      </c>
      <c r="C887">
        <v>0.87</v>
      </c>
      <c r="D887">
        <v>2006</v>
      </c>
      <c r="E887" t="s">
        <v>17</v>
      </c>
      <c r="F887">
        <v>2006105</v>
      </c>
      <c r="G887">
        <v>2006172</v>
      </c>
      <c r="H887">
        <v>2965</v>
      </c>
      <c r="I887">
        <v>403</v>
      </c>
      <c r="J887">
        <v>0</v>
      </c>
      <c r="K887">
        <v>183</v>
      </c>
      <c r="L887">
        <v>140</v>
      </c>
      <c r="M887">
        <v>75</v>
      </c>
      <c r="N887">
        <v>29.814209999999999</v>
      </c>
      <c r="O887">
        <v>12.267760000000001</v>
      </c>
      <c r="P887">
        <v>24.18525</v>
      </c>
      <c r="Q887">
        <v>8460</v>
      </c>
    </row>
    <row r="888" spans="1:17" x14ac:dyDescent="0.25">
      <c r="A888" t="s">
        <v>21</v>
      </c>
      <c r="B888">
        <v>45</v>
      </c>
      <c r="C888">
        <v>0.87</v>
      </c>
      <c r="D888">
        <v>2007</v>
      </c>
      <c r="E888" t="s">
        <v>17</v>
      </c>
      <c r="F888">
        <v>2007105</v>
      </c>
      <c r="G888">
        <v>2007175</v>
      </c>
      <c r="H888">
        <v>1894</v>
      </c>
      <c r="I888">
        <v>97</v>
      </c>
      <c r="J888">
        <v>0</v>
      </c>
      <c r="K888">
        <v>206</v>
      </c>
      <c r="L888">
        <v>141</v>
      </c>
      <c r="M888">
        <v>75</v>
      </c>
      <c r="N888">
        <v>28.408200000000001</v>
      </c>
      <c r="O888">
        <v>11.548629999999999</v>
      </c>
      <c r="P888">
        <v>24.607109999999999</v>
      </c>
      <c r="Q888">
        <v>2035</v>
      </c>
    </row>
    <row r="889" spans="1:17" x14ac:dyDescent="0.25">
      <c r="A889" t="s">
        <v>21</v>
      </c>
      <c r="B889">
        <v>45</v>
      </c>
      <c r="C889">
        <v>0.87</v>
      </c>
      <c r="D889">
        <v>2008</v>
      </c>
      <c r="E889" t="s">
        <v>17</v>
      </c>
      <c r="F889">
        <v>2008105</v>
      </c>
      <c r="G889">
        <v>2008177</v>
      </c>
      <c r="H889">
        <v>1174</v>
      </c>
      <c r="I889">
        <v>137</v>
      </c>
      <c r="J889">
        <v>0</v>
      </c>
      <c r="K889">
        <v>186</v>
      </c>
      <c r="L889">
        <v>65</v>
      </c>
      <c r="M889">
        <v>75</v>
      </c>
      <c r="N889">
        <v>28.307099999999998</v>
      </c>
      <c r="O889">
        <v>11.925129999999999</v>
      </c>
      <c r="P889">
        <v>24.403829999999999</v>
      </c>
      <c r="Q889">
        <v>2871</v>
      </c>
    </row>
    <row r="890" spans="1:17" x14ac:dyDescent="0.25">
      <c r="A890" t="s">
        <v>21</v>
      </c>
      <c r="B890">
        <v>45</v>
      </c>
      <c r="C890">
        <v>0.87</v>
      </c>
      <c r="D890">
        <v>2009</v>
      </c>
      <c r="E890" t="s">
        <v>17</v>
      </c>
      <c r="F890">
        <v>2009105</v>
      </c>
      <c r="G890">
        <v>2009173</v>
      </c>
      <c r="H890">
        <v>2653</v>
      </c>
      <c r="I890">
        <v>54</v>
      </c>
      <c r="J890">
        <v>0</v>
      </c>
      <c r="K890">
        <v>168</v>
      </c>
      <c r="L890">
        <v>198</v>
      </c>
      <c r="M890">
        <v>75</v>
      </c>
      <c r="N890">
        <v>29.742619999999999</v>
      </c>
      <c r="O890">
        <v>11.99672</v>
      </c>
      <c r="P890">
        <v>25.168859999999999</v>
      </c>
      <c r="Q890">
        <v>1127</v>
      </c>
    </row>
    <row r="891" spans="1:17" x14ac:dyDescent="0.25">
      <c r="A891" t="s">
        <v>21</v>
      </c>
      <c r="B891">
        <v>45</v>
      </c>
      <c r="C891">
        <v>0.87</v>
      </c>
      <c r="D891">
        <v>2010</v>
      </c>
      <c r="E891" t="s">
        <v>17</v>
      </c>
      <c r="F891">
        <v>2010105</v>
      </c>
      <c r="G891">
        <v>2010176</v>
      </c>
      <c r="H891">
        <v>4687</v>
      </c>
      <c r="I891">
        <v>171</v>
      </c>
      <c r="J891">
        <v>0</v>
      </c>
      <c r="K891">
        <v>203</v>
      </c>
      <c r="L891">
        <v>392</v>
      </c>
      <c r="M891">
        <v>75</v>
      </c>
      <c r="N891">
        <v>29.072130000000001</v>
      </c>
      <c r="O891">
        <v>11.924049999999999</v>
      </c>
      <c r="P891">
        <v>24.860099999999999</v>
      </c>
      <c r="Q891">
        <v>3592</v>
      </c>
    </row>
    <row r="892" spans="1:17" x14ac:dyDescent="0.25">
      <c r="A892" t="s">
        <v>21</v>
      </c>
      <c r="B892">
        <v>45</v>
      </c>
      <c r="C892">
        <v>0.87</v>
      </c>
      <c r="D892">
        <v>2011</v>
      </c>
      <c r="E892" t="s">
        <v>18</v>
      </c>
      <c r="F892">
        <v>2011105</v>
      </c>
      <c r="G892">
        <v>2011169</v>
      </c>
      <c r="H892">
        <v>5427</v>
      </c>
      <c r="I892">
        <v>803</v>
      </c>
      <c r="J892">
        <v>0</v>
      </c>
      <c r="K892">
        <v>177</v>
      </c>
      <c r="L892">
        <v>278</v>
      </c>
      <c r="M892">
        <v>75</v>
      </c>
      <c r="N892">
        <v>29.567219999999999</v>
      </c>
      <c r="O892">
        <v>11.62021</v>
      </c>
      <c r="P892">
        <v>24.25901</v>
      </c>
      <c r="Q892">
        <v>16854</v>
      </c>
    </row>
    <row r="893" spans="1:17" x14ac:dyDescent="0.25">
      <c r="A893" t="s">
        <v>21</v>
      </c>
      <c r="B893">
        <v>45</v>
      </c>
      <c r="C893">
        <v>0.87</v>
      </c>
      <c r="D893">
        <v>2012</v>
      </c>
      <c r="E893" t="s">
        <v>18</v>
      </c>
      <c r="F893">
        <v>2012105</v>
      </c>
      <c r="G893">
        <v>2012167</v>
      </c>
      <c r="H893">
        <v>1563</v>
      </c>
      <c r="I893">
        <v>280</v>
      </c>
      <c r="J893">
        <v>0</v>
      </c>
      <c r="K893">
        <v>186</v>
      </c>
      <c r="L893">
        <v>91</v>
      </c>
      <c r="M893">
        <v>75</v>
      </c>
      <c r="N893">
        <v>30.82404</v>
      </c>
      <c r="O893">
        <v>11.753</v>
      </c>
      <c r="P893">
        <v>25.34535</v>
      </c>
      <c r="Q893">
        <v>5879</v>
      </c>
    </row>
    <row r="894" spans="1:17" x14ac:dyDescent="0.25">
      <c r="A894" t="s">
        <v>21</v>
      </c>
      <c r="B894">
        <v>45</v>
      </c>
      <c r="C894">
        <v>0.87</v>
      </c>
      <c r="D894">
        <v>2013</v>
      </c>
      <c r="E894" t="s">
        <v>18</v>
      </c>
      <c r="F894">
        <v>2013105</v>
      </c>
      <c r="G894">
        <v>2013172</v>
      </c>
      <c r="H894">
        <v>4719</v>
      </c>
      <c r="I894">
        <v>374</v>
      </c>
      <c r="J894">
        <v>0</v>
      </c>
      <c r="K894">
        <v>306</v>
      </c>
      <c r="L894">
        <v>341</v>
      </c>
      <c r="M894">
        <v>75</v>
      </c>
      <c r="N894">
        <v>28.89564</v>
      </c>
      <c r="O894">
        <v>10.758470000000001</v>
      </c>
      <c r="P894">
        <v>23.085789999999999</v>
      </c>
      <c r="Q894">
        <v>7861</v>
      </c>
    </row>
    <row r="895" spans="1:17" x14ac:dyDescent="0.25">
      <c r="A895" t="s">
        <v>21</v>
      </c>
      <c r="B895">
        <v>45</v>
      </c>
      <c r="C895">
        <v>0.87</v>
      </c>
      <c r="D895">
        <v>2014</v>
      </c>
      <c r="E895" t="s">
        <v>18</v>
      </c>
      <c r="F895">
        <v>2014105</v>
      </c>
      <c r="G895">
        <v>2014165</v>
      </c>
      <c r="H895">
        <v>3374</v>
      </c>
      <c r="I895">
        <v>271</v>
      </c>
      <c r="J895">
        <v>0</v>
      </c>
      <c r="K895">
        <v>110</v>
      </c>
      <c r="L895">
        <v>215</v>
      </c>
      <c r="M895">
        <v>75</v>
      </c>
      <c r="N895">
        <v>29.60492</v>
      </c>
      <c r="O895">
        <v>11.53661</v>
      </c>
      <c r="P895">
        <v>24.809840000000001</v>
      </c>
      <c r="Q895">
        <v>5689</v>
      </c>
    </row>
    <row r="896" spans="1:17" x14ac:dyDescent="0.25">
      <c r="A896" t="s">
        <v>21</v>
      </c>
      <c r="B896">
        <v>45</v>
      </c>
      <c r="C896">
        <v>0.87</v>
      </c>
      <c r="D896">
        <v>2015</v>
      </c>
      <c r="E896" t="s">
        <v>18</v>
      </c>
      <c r="F896">
        <v>2015105</v>
      </c>
      <c r="G896">
        <v>2015164</v>
      </c>
      <c r="H896">
        <v>889</v>
      </c>
      <c r="I896">
        <v>234</v>
      </c>
      <c r="J896">
        <v>0</v>
      </c>
      <c r="K896">
        <v>90</v>
      </c>
      <c r="L896">
        <v>157</v>
      </c>
      <c r="M896">
        <v>75</v>
      </c>
      <c r="N896">
        <v>30.671589999999998</v>
      </c>
      <c r="O896">
        <v>11.95683</v>
      </c>
      <c r="P896">
        <v>24.689620000000001</v>
      </c>
      <c r="Q896">
        <v>4917</v>
      </c>
    </row>
    <row r="897" spans="1:17" x14ac:dyDescent="0.25">
      <c r="A897" t="s">
        <v>21</v>
      </c>
      <c r="B897">
        <v>45</v>
      </c>
      <c r="C897">
        <v>0.87</v>
      </c>
      <c r="D897">
        <v>2016</v>
      </c>
      <c r="E897" t="s">
        <v>18</v>
      </c>
      <c r="F897">
        <v>2016105</v>
      </c>
      <c r="G897">
        <v>2016170</v>
      </c>
      <c r="H897">
        <v>591</v>
      </c>
      <c r="I897">
        <v>243</v>
      </c>
      <c r="J897">
        <v>0</v>
      </c>
      <c r="K897">
        <v>106</v>
      </c>
      <c r="L897">
        <v>92</v>
      </c>
      <c r="M897">
        <v>75</v>
      </c>
      <c r="N897">
        <v>30.113109999999999</v>
      </c>
      <c r="O897">
        <v>11.324590000000001</v>
      </c>
      <c r="P897">
        <v>23.930060000000001</v>
      </c>
      <c r="Q897">
        <v>5099</v>
      </c>
    </row>
    <row r="898" spans="1:17" x14ac:dyDescent="0.25">
      <c r="A898" t="s">
        <v>21</v>
      </c>
      <c r="B898">
        <v>45</v>
      </c>
      <c r="C898">
        <v>0.87</v>
      </c>
      <c r="D898">
        <v>2017</v>
      </c>
      <c r="E898" t="s">
        <v>18</v>
      </c>
      <c r="F898">
        <v>2017105</v>
      </c>
      <c r="G898">
        <v>2017163</v>
      </c>
      <c r="H898">
        <v>3159</v>
      </c>
      <c r="I898">
        <v>228</v>
      </c>
      <c r="J898">
        <v>0</v>
      </c>
      <c r="K898">
        <v>88</v>
      </c>
      <c r="L898">
        <v>181</v>
      </c>
      <c r="M898">
        <v>75</v>
      </c>
      <c r="N898">
        <v>31.70327</v>
      </c>
      <c r="O898">
        <v>11.968299999999999</v>
      </c>
      <c r="P898">
        <v>23.241520000000001</v>
      </c>
      <c r="Q898">
        <v>4779</v>
      </c>
    </row>
    <row r="899" spans="1:17" x14ac:dyDescent="0.25">
      <c r="A899" t="s">
        <v>21</v>
      </c>
      <c r="B899">
        <v>45</v>
      </c>
      <c r="C899">
        <v>0.87</v>
      </c>
      <c r="D899">
        <v>2018</v>
      </c>
      <c r="E899" t="s">
        <v>18</v>
      </c>
      <c r="F899">
        <v>2018105</v>
      </c>
      <c r="G899">
        <v>2018171</v>
      </c>
      <c r="H899">
        <v>5293</v>
      </c>
      <c r="I899">
        <v>319</v>
      </c>
      <c r="J899">
        <v>0</v>
      </c>
      <c r="K899">
        <v>367</v>
      </c>
      <c r="L899">
        <v>160</v>
      </c>
      <c r="M899">
        <v>75</v>
      </c>
      <c r="N899">
        <v>28.80219</v>
      </c>
      <c r="O899">
        <v>11.28688</v>
      </c>
      <c r="P899">
        <v>22.97869</v>
      </c>
      <c r="Q899">
        <v>6689</v>
      </c>
    </row>
    <row r="900" spans="1:17" x14ac:dyDescent="0.25">
      <c r="A900" t="s">
        <v>21</v>
      </c>
      <c r="B900">
        <v>45</v>
      </c>
      <c r="C900">
        <v>0.87</v>
      </c>
      <c r="D900">
        <v>2019</v>
      </c>
      <c r="E900" t="s">
        <v>18</v>
      </c>
      <c r="F900">
        <v>2019105</v>
      </c>
      <c r="G900">
        <v>2019167</v>
      </c>
      <c r="H900">
        <v>2586</v>
      </c>
      <c r="I900">
        <v>173</v>
      </c>
      <c r="J900">
        <v>0</v>
      </c>
      <c r="K900">
        <v>243</v>
      </c>
      <c r="L900">
        <v>149</v>
      </c>
      <c r="M900">
        <v>75</v>
      </c>
      <c r="N900">
        <v>29.96612</v>
      </c>
      <c r="O900">
        <v>12.017480000000001</v>
      </c>
      <c r="P900">
        <v>24.172689999999999</v>
      </c>
      <c r="Q900">
        <v>3627</v>
      </c>
    </row>
    <row r="901" spans="1:17" x14ac:dyDescent="0.25">
      <c r="A901" t="s">
        <v>21</v>
      </c>
      <c r="B901">
        <v>45</v>
      </c>
      <c r="C901">
        <v>0.87</v>
      </c>
      <c r="D901">
        <v>2020</v>
      </c>
      <c r="E901" t="s">
        <v>18</v>
      </c>
      <c r="F901">
        <v>2020105</v>
      </c>
      <c r="G901">
        <v>2020165</v>
      </c>
      <c r="H901">
        <v>4989</v>
      </c>
      <c r="I901">
        <v>288</v>
      </c>
      <c r="J901">
        <v>0</v>
      </c>
      <c r="K901">
        <v>198</v>
      </c>
      <c r="L901">
        <v>201</v>
      </c>
      <c r="M901">
        <v>75</v>
      </c>
      <c r="N901">
        <v>29.900549999999999</v>
      </c>
      <c r="O901">
        <v>11.66667</v>
      </c>
      <c r="P901">
        <v>24.695620000000002</v>
      </c>
      <c r="Q901">
        <v>6050</v>
      </c>
    </row>
    <row r="902" spans="1:17" x14ac:dyDescent="0.25">
      <c r="A902" t="s">
        <v>21</v>
      </c>
      <c r="B902">
        <v>46</v>
      </c>
      <c r="C902">
        <v>0.85</v>
      </c>
      <c r="D902">
        <v>2001</v>
      </c>
      <c r="E902" t="s">
        <v>17</v>
      </c>
      <c r="F902">
        <v>2001121</v>
      </c>
      <c r="G902">
        <v>2001184</v>
      </c>
      <c r="H902">
        <v>5724</v>
      </c>
      <c r="I902">
        <v>143</v>
      </c>
      <c r="J902">
        <v>0</v>
      </c>
      <c r="K902">
        <v>239</v>
      </c>
      <c r="L902">
        <v>235</v>
      </c>
      <c r="M902">
        <v>75</v>
      </c>
      <c r="N902">
        <v>30.005990000000001</v>
      </c>
      <c r="O902">
        <v>12.92754</v>
      </c>
      <c r="P902">
        <v>24.097000000000001</v>
      </c>
      <c r="Q902">
        <v>4141</v>
      </c>
    </row>
    <row r="903" spans="1:17" x14ac:dyDescent="0.25">
      <c r="A903" t="s">
        <v>21</v>
      </c>
      <c r="B903">
        <v>46</v>
      </c>
      <c r="C903">
        <v>0.85</v>
      </c>
      <c r="D903">
        <v>2002</v>
      </c>
      <c r="E903" t="s">
        <v>17</v>
      </c>
      <c r="F903">
        <v>2002121</v>
      </c>
      <c r="G903">
        <v>2002185</v>
      </c>
      <c r="H903">
        <v>2581</v>
      </c>
      <c r="I903">
        <v>325</v>
      </c>
      <c r="J903">
        <v>0</v>
      </c>
      <c r="K903">
        <v>198</v>
      </c>
      <c r="L903">
        <v>116</v>
      </c>
      <c r="M903">
        <v>75</v>
      </c>
      <c r="N903">
        <v>28.910769999999999</v>
      </c>
      <c r="O903">
        <v>12.12036</v>
      </c>
      <c r="P903">
        <v>23.16826</v>
      </c>
      <c r="Q903">
        <v>9422</v>
      </c>
    </row>
    <row r="904" spans="1:17" x14ac:dyDescent="0.25">
      <c r="A904" t="s">
        <v>21</v>
      </c>
      <c r="B904">
        <v>46</v>
      </c>
      <c r="C904">
        <v>0.85</v>
      </c>
      <c r="D904">
        <v>2003</v>
      </c>
      <c r="E904" t="s">
        <v>17</v>
      </c>
      <c r="F904">
        <v>2003121</v>
      </c>
      <c r="G904">
        <v>2003182</v>
      </c>
      <c r="H904">
        <v>3349</v>
      </c>
      <c r="I904">
        <v>153</v>
      </c>
      <c r="J904">
        <v>0</v>
      </c>
      <c r="K904">
        <v>161</v>
      </c>
      <c r="L904">
        <v>212</v>
      </c>
      <c r="M904">
        <v>75</v>
      </c>
      <c r="N904">
        <v>30.982040000000001</v>
      </c>
      <c r="O904">
        <v>12.49761</v>
      </c>
      <c r="P904">
        <v>23.716170000000002</v>
      </c>
      <c r="Q904">
        <v>4435</v>
      </c>
    </row>
    <row r="905" spans="1:17" x14ac:dyDescent="0.25">
      <c r="A905" t="s">
        <v>21</v>
      </c>
      <c r="B905">
        <v>46</v>
      </c>
      <c r="C905">
        <v>0.85</v>
      </c>
      <c r="D905">
        <v>2004</v>
      </c>
      <c r="E905" t="s">
        <v>17</v>
      </c>
      <c r="F905">
        <v>2004121</v>
      </c>
      <c r="G905">
        <v>2004188</v>
      </c>
      <c r="H905">
        <v>2758</v>
      </c>
      <c r="I905">
        <v>223</v>
      </c>
      <c r="J905">
        <v>0</v>
      </c>
      <c r="K905">
        <v>239</v>
      </c>
      <c r="L905">
        <v>155</v>
      </c>
      <c r="M905">
        <v>75</v>
      </c>
      <c r="N905">
        <v>29.843109999999999</v>
      </c>
      <c r="O905">
        <v>12.446709999999999</v>
      </c>
      <c r="P905">
        <v>23.543710000000001</v>
      </c>
      <c r="Q905">
        <v>6454</v>
      </c>
    </row>
    <row r="906" spans="1:17" x14ac:dyDescent="0.25">
      <c r="A906" t="s">
        <v>21</v>
      </c>
      <c r="B906">
        <v>46</v>
      </c>
      <c r="C906">
        <v>0.85</v>
      </c>
      <c r="D906">
        <v>2005</v>
      </c>
      <c r="E906" t="s">
        <v>17</v>
      </c>
      <c r="F906">
        <v>2005121</v>
      </c>
      <c r="G906">
        <v>2005180</v>
      </c>
      <c r="H906">
        <v>745</v>
      </c>
      <c r="I906">
        <v>71</v>
      </c>
      <c r="J906">
        <v>0</v>
      </c>
      <c r="K906">
        <v>135</v>
      </c>
      <c r="L906">
        <v>78</v>
      </c>
      <c r="M906">
        <v>75</v>
      </c>
      <c r="N906">
        <v>30.840720000000001</v>
      </c>
      <c r="O906">
        <v>12.29102</v>
      </c>
      <c r="P906">
        <v>24.91976</v>
      </c>
      <c r="Q906">
        <v>2072</v>
      </c>
    </row>
    <row r="907" spans="1:17" x14ac:dyDescent="0.25">
      <c r="A907" t="s">
        <v>21</v>
      </c>
      <c r="B907">
        <v>46</v>
      </c>
      <c r="C907">
        <v>0.85</v>
      </c>
      <c r="D907">
        <v>2006</v>
      </c>
      <c r="E907" t="s">
        <v>17</v>
      </c>
      <c r="F907">
        <v>2006121</v>
      </c>
      <c r="G907">
        <v>2006181</v>
      </c>
      <c r="H907">
        <v>2892</v>
      </c>
      <c r="I907">
        <v>253</v>
      </c>
      <c r="J907">
        <v>0</v>
      </c>
      <c r="K907">
        <v>183</v>
      </c>
      <c r="L907">
        <v>140</v>
      </c>
      <c r="M907">
        <v>75</v>
      </c>
      <c r="N907">
        <v>30.586829999999999</v>
      </c>
      <c r="O907">
        <v>12.750299999999999</v>
      </c>
      <c r="P907">
        <v>24.468859999999999</v>
      </c>
      <c r="Q907">
        <v>7338</v>
      </c>
    </row>
    <row r="908" spans="1:17" x14ac:dyDescent="0.25">
      <c r="A908" t="s">
        <v>21</v>
      </c>
      <c r="B908">
        <v>46</v>
      </c>
      <c r="C908">
        <v>0.85</v>
      </c>
      <c r="D908">
        <v>2007</v>
      </c>
      <c r="E908" t="s">
        <v>17</v>
      </c>
      <c r="F908">
        <v>2007121</v>
      </c>
      <c r="G908">
        <v>2007183</v>
      </c>
      <c r="H908">
        <v>1830</v>
      </c>
      <c r="I908">
        <v>129</v>
      </c>
      <c r="J908">
        <v>0</v>
      </c>
      <c r="K908">
        <v>206</v>
      </c>
      <c r="L908">
        <v>141</v>
      </c>
      <c r="M908">
        <v>75</v>
      </c>
      <c r="N908">
        <v>29.28443</v>
      </c>
      <c r="O908">
        <v>12.06766</v>
      </c>
      <c r="P908">
        <v>25.113779999999998</v>
      </c>
      <c r="Q908">
        <v>3732</v>
      </c>
    </row>
    <row r="909" spans="1:17" x14ac:dyDescent="0.25">
      <c r="A909" t="s">
        <v>21</v>
      </c>
      <c r="B909">
        <v>46</v>
      </c>
      <c r="C909">
        <v>0.85</v>
      </c>
      <c r="D909">
        <v>2008</v>
      </c>
      <c r="E909" t="s">
        <v>17</v>
      </c>
      <c r="F909">
        <v>2008121</v>
      </c>
      <c r="G909">
        <v>2008191</v>
      </c>
      <c r="H909">
        <v>865</v>
      </c>
      <c r="I909">
        <v>110</v>
      </c>
      <c r="J909">
        <v>0</v>
      </c>
      <c r="K909">
        <v>186</v>
      </c>
      <c r="L909">
        <v>65</v>
      </c>
      <c r="M909">
        <v>75</v>
      </c>
      <c r="N909">
        <v>28.968260000000001</v>
      </c>
      <c r="O909">
        <v>12.48682</v>
      </c>
      <c r="P909">
        <v>24.486229999999999</v>
      </c>
      <c r="Q909">
        <v>3193</v>
      </c>
    </row>
    <row r="910" spans="1:17" x14ac:dyDescent="0.25">
      <c r="A910" t="s">
        <v>21</v>
      </c>
      <c r="B910">
        <v>46</v>
      </c>
      <c r="C910">
        <v>0.85</v>
      </c>
      <c r="D910">
        <v>2009</v>
      </c>
      <c r="E910" t="s">
        <v>17</v>
      </c>
      <c r="F910">
        <v>2009121</v>
      </c>
      <c r="G910">
        <v>2009181</v>
      </c>
      <c r="H910">
        <v>2246</v>
      </c>
      <c r="I910">
        <v>46</v>
      </c>
      <c r="J910">
        <v>0</v>
      </c>
      <c r="K910">
        <v>168</v>
      </c>
      <c r="L910">
        <v>198</v>
      </c>
      <c r="M910">
        <v>75</v>
      </c>
      <c r="N910">
        <v>30.843109999999999</v>
      </c>
      <c r="O910">
        <v>12.58563</v>
      </c>
      <c r="P910">
        <v>25.411380000000001</v>
      </c>
      <c r="Q910">
        <v>1345</v>
      </c>
    </row>
    <row r="911" spans="1:17" x14ac:dyDescent="0.25">
      <c r="A911" t="s">
        <v>21</v>
      </c>
      <c r="B911">
        <v>46</v>
      </c>
      <c r="C911">
        <v>0.85</v>
      </c>
      <c r="D911">
        <v>2010</v>
      </c>
      <c r="E911" t="s">
        <v>17</v>
      </c>
      <c r="F911">
        <v>2010121</v>
      </c>
      <c r="G911">
        <v>2010188</v>
      </c>
      <c r="H911">
        <v>4028</v>
      </c>
      <c r="I911">
        <v>109</v>
      </c>
      <c r="J911">
        <v>0</v>
      </c>
      <c r="K911">
        <v>203</v>
      </c>
      <c r="L911">
        <v>392</v>
      </c>
      <c r="M911">
        <v>75</v>
      </c>
      <c r="N911">
        <v>29.799399999999999</v>
      </c>
      <c r="O911">
        <v>12.307790000000001</v>
      </c>
      <c r="P911">
        <v>25.304780000000001</v>
      </c>
      <c r="Q911">
        <v>3162</v>
      </c>
    </row>
    <row r="912" spans="1:17" x14ac:dyDescent="0.25">
      <c r="A912" t="s">
        <v>21</v>
      </c>
      <c r="B912">
        <v>46</v>
      </c>
      <c r="C912">
        <v>0.85</v>
      </c>
      <c r="D912">
        <v>2011</v>
      </c>
      <c r="E912" t="s">
        <v>17</v>
      </c>
      <c r="F912">
        <v>2011121</v>
      </c>
      <c r="G912">
        <v>2011184</v>
      </c>
      <c r="H912">
        <v>3959</v>
      </c>
      <c r="I912">
        <v>184</v>
      </c>
      <c r="J912">
        <v>0</v>
      </c>
      <c r="K912">
        <v>177</v>
      </c>
      <c r="L912">
        <v>278</v>
      </c>
      <c r="M912">
        <v>75</v>
      </c>
      <c r="N912">
        <v>30.546109999999999</v>
      </c>
      <c r="O912">
        <v>12.156879999999999</v>
      </c>
      <c r="P912">
        <v>24.930540000000001</v>
      </c>
      <c r="Q912">
        <v>5337</v>
      </c>
    </row>
    <row r="913" spans="1:17" x14ac:dyDescent="0.25">
      <c r="A913" t="s">
        <v>21</v>
      </c>
      <c r="B913">
        <v>46</v>
      </c>
      <c r="C913">
        <v>0.85</v>
      </c>
      <c r="D913">
        <v>2012</v>
      </c>
      <c r="E913" t="s">
        <v>18</v>
      </c>
      <c r="F913">
        <v>2012121</v>
      </c>
      <c r="G913">
        <v>2012174</v>
      </c>
      <c r="H913">
        <v>1434</v>
      </c>
      <c r="I913">
        <v>240</v>
      </c>
      <c r="J913">
        <v>0</v>
      </c>
      <c r="K913">
        <v>186</v>
      </c>
      <c r="L913">
        <v>91</v>
      </c>
      <c r="M913">
        <v>75</v>
      </c>
      <c r="N913">
        <v>32.080840000000002</v>
      </c>
      <c r="O913">
        <v>12.2491</v>
      </c>
      <c r="P913">
        <v>25.744900000000001</v>
      </c>
      <c r="Q913">
        <v>6954</v>
      </c>
    </row>
    <row r="914" spans="1:17" x14ac:dyDescent="0.25">
      <c r="A914" t="s">
        <v>21</v>
      </c>
      <c r="B914">
        <v>46</v>
      </c>
      <c r="C914">
        <v>0.85</v>
      </c>
      <c r="D914">
        <v>2013</v>
      </c>
      <c r="E914" t="s">
        <v>18</v>
      </c>
      <c r="F914">
        <v>2013121</v>
      </c>
      <c r="G914">
        <v>2013182</v>
      </c>
      <c r="H914">
        <v>4696</v>
      </c>
      <c r="I914">
        <v>561</v>
      </c>
      <c r="J914">
        <v>0</v>
      </c>
      <c r="K914">
        <v>306</v>
      </c>
      <c r="L914">
        <v>341</v>
      </c>
      <c r="M914">
        <v>75</v>
      </c>
      <c r="N914">
        <v>29.634129999999999</v>
      </c>
      <c r="O914">
        <v>11.220359999999999</v>
      </c>
      <c r="P914">
        <v>23.477239999999998</v>
      </c>
      <c r="Q914">
        <v>16267</v>
      </c>
    </row>
    <row r="915" spans="1:17" x14ac:dyDescent="0.25">
      <c r="A915" t="s">
        <v>21</v>
      </c>
      <c r="B915">
        <v>46</v>
      </c>
      <c r="C915">
        <v>0.85</v>
      </c>
      <c r="D915">
        <v>2014</v>
      </c>
      <c r="E915" t="s">
        <v>18</v>
      </c>
      <c r="F915">
        <v>2014121</v>
      </c>
      <c r="G915">
        <v>2014176</v>
      </c>
      <c r="H915">
        <v>3309</v>
      </c>
      <c r="I915">
        <v>401</v>
      </c>
      <c r="J915">
        <v>0</v>
      </c>
      <c r="K915">
        <v>110</v>
      </c>
      <c r="L915">
        <v>215</v>
      </c>
      <c r="M915">
        <v>75</v>
      </c>
      <c r="N915">
        <v>30.188030000000001</v>
      </c>
      <c r="O915">
        <v>11.953889999999999</v>
      </c>
      <c r="P915">
        <v>24.82694</v>
      </c>
      <c r="Q915">
        <v>11633</v>
      </c>
    </row>
    <row r="916" spans="1:17" x14ac:dyDescent="0.25">
      <c r="A916" t="s">
        <v>21</v>
      </c>
      <c r="B916">
        <v>46</v>
      </c>
      <c r="C916">
        <v>0.85</v>
      </c>
      <c r="D916">
        <v>2015</v>
      </c>
      <c r="E916" t="s">
        <v>18</v>
      </c>
      <c r="F916">
        <v>2015121</v>
      </c>
      <c r="G916">
        <v>2015176</v>
      </c>
      <c r="H916">
        <v>863</v>
      </c>
      <c r="I916">
        <v>259</v>
      </c>
      <c r="J916">
        <v>0</v>
      </c>
      <c r="K916">
        <v>90</v>
      </c>
      <c r="L916">
        <v>157</v>
      </c>
      <c r="M916">
        <v>75</v>
      </c>
      <c r="N916">
        <v>31.473659999999999</v>
      </c>
      <c r="O916">
        <v>12.50179</v>
      </c>
      <c r="P916">
        <v>24.932939999999999</v>
      </c>
      <c r="Q916">
        <v>7516</v>
      </c>
    </row>
    <row r="917" spans="1:17" x14ac:dyDescent="0.25">
      <c r="A917" t="s">
        <v>21</v>
      </c>
      <c r="B917">
        <v>46</v>
      </c>
      <c r="C917">
        <v>0.85</v>
      </c>
      <c r="D917">
        <v>2016</v>
      </c>
      <c r="E917" t="s">
        <v>18</v>
      </c>
      <c r="F917">
        <v>2016121</v>
      </c>
      <c r="G917">
        <v>2016183</v>
      </c>
      <c r="H917">
        <v>600</v>
      </c>
      <c r="I917">
        <v>203</v>
      </c>
      <c r="J917">
        <v>0</v>
      </c>
      <c r="K917">
        <v>106</v>
      </c>
      <c r="L917">
        <v>92</v>
      </c>
      <c r="M917">
        <v>75</v>
      </c>
      <c r="N917">
        <v>30.87724</v>
      </c>
      <c r="O917">
        <v>11.729939999999999</v>
      </c>
      <c r="P917">
        <v>24.244309999999999</v>
      </c>
      <c r="Q917">
        <v>5882</v>
      </c>
    </row>
    <row r="918" spans="1:17" x14ac:dyDescent="0.25">
      <c r="A918" t="s">
        <v>21</v>
      </c>
      <c r="B918">
        <v>46</v>
      </c>
      <c r="C918">
        <v>0.85</v>
      </c>
      <c r="D918">
        <v>2017</v>
      </c>
      <c r="E918" t="s">
        <v>18</v>
      </c>
      <c r="F918">
        <v>2017121</v>
      </c>
      <c r="G918">
        <v>2017174</v>
      </c>
      <c r="H918">
        <v>2512</v>
      </c>
      <c r="I918">
        <v>211</v>
      </c>
      <c r="J918">
        <v>0</v>
      </c>
      <c r="K918">
        <v>88</v>
      </c>
      <c r="L918">
        <v>181</v>
      </c>
      <c r="M918">
        <v>75</v>
      </c>
      <c r="N918">
        <v>32.65269</v>
      </c>
      <c r="O918">
        <v>12.443110000000001</v>
      </c>
      <c r="P918">
        <v>23.586220000000001</v>
      </c>
      <c r="Q918">
        <v>6108</v>
      </c>
    </row>
    <row r="919" spans="1:17" x14ac:dyDescent="0.25">
      <c r="A919" t="s">
        <v>21</v>
      </c>
      <c r="B919">
        <v>46</v>
      </c>
      <c r="C919">
        <v>0.85</v>
      </c>
      <c r="D919">
        <v>2018</v>
      </c>
      <c r="E919" t="s">
        <v>18</v>
      </c>
      <c r="F919">
        <v>2018121</v>
      </c>
      <c r="G919">
        <v>2018180</v>
      </c>
      <c r="H919">
        <v>4111</v>
      </c>
      <c r="I919">
        <v>323</v>
      </c>
      <c r="J919">
        <v>0</v>
      </c>
      <c r="K919">
        <v>367</v>
      </c>
      <c r="L919">
        <v>160</v>
      </c>
      <c r="M919">
        <v>75</v>
      </c>
      <c r="N919">
        <v>29.583829999999999</v>
      </c>
      <c r="O919">
        <v>11.72575</v>
      </c>
      <c r="P919">
        <v>23.308979999999998</v>
      </c>
      <c r="Q919">
        <v>9367</v>
      </c>
    </row>
    <row r="920" spans="1:17" x14ac:dyDescent="0.25">
      <c r="A920" t="s">
        <v>21</v>
      </c>
      <c r="B920">
        <v>46</v>
      </c>
      <c r="C920">
        <v>0.85</v>
      </c>
      <c r="D920">
        <v>2019</v>
      </c>
      <c r="E920" t="s">
        <v>18</v>
      </c>
      <c r="F920">
        <v>2019121</v>
      </c>
      <c r="G920">
        <v>2019176</v>
      </c>
      <c r="H920">
        <v>2342</v>
      </c>
      <c r="I920">
        <v>201</v>
      </c>
      <c r="J920">
        <v>0</v>
      </c>
      <c r="K920">
        <v>243</v>
      </c>
      <c r="L920">
        <v>149</v>
      </c>
      <c r="M920">
        <v>75</v>
      </c>
      <c r="N920">
        <v>30.967659999999999</v>
      </c>
      <c r="O920">
        <v>12.503590000000001</v>
      </c>
      <c r="P920">
        <v>24.692820000000001</v>
      </c>
      <c r="Q920">
        <v>5828</v>
      </c>
    </row>
    <row r="921" spans="1:17" x14ac:dyDescent="0.25">
      <c r="A921" t="s">
        <v>21</v>
      </c>
      <c r="B921">
        <v>46</v>
      </c>
      <c r="C921">
        <v>0.85</v>
      </c>
      <c r="D921">
        <v>2020</v>
      </c>
      <c r="E921" t="s">
        <v>18</v>
      </c>
      <c r="F921">
        <v>2020121</v>
      </c>
      <c r="G921">
        <v>2020176</v>
      </c>
      <c r="H921">
        <v>3915</v>
      </c>
      <c r="I921">
        <v>250</v>
      </c>
      <c r="J921">
        <v>0</v>
      </c>
      <c r="K921">
        <v>198</v>
      </c>
      <c r="L921">
        <v>201</v>
      </c>
      <c r="M921">
        <v>75</v>
      </c>
      <c r="N921">
        <v>30.895209999999999</v>
      </c>
      <c r="O921">
        <v>12.00539</v>
      </c>
      <c r="P921">
        <v>25.148499999999999</v>
      </c>
      <c r="Q921">
        <v>7257</v>
      </c>
    </row>
    <row r="922" spans="1:17" x14ac:dyDescent="0.25">
      <c r="A922" t="s">
        <v>21</v>
      </c>
      <c r="B922">
        <v>47</v>
      </c>
      <c r="C922">
        <v>0.82</v>
      </c>
      <c r="D922">
        <v>2001</v>
      </c>
      <c r="E922" t="s">
        <v>17</v>
      </c>
      <c r="F922">
        <v>2001121</v>
      </c>
      <c r="G922">
        <v>2001184</v>
      </c>
      <c r="H922">
        <v>5484</v>
      </c>
      <c r="I922">
        <v>182</v>
      </c>
      <c r="J922">
        <v>0</v>
      </c>
      <c r="K922">
        <v>239</v>
      </c>
      <c r="L922">
        <v>235</v>
      </c>
      <c r="M922">
        <v>125</v>
      </c>
      <c r="N922">
        <v>30.005990000000001</v>
      </c>
      <c r="O922">
        <v>12.92754</v>
      </c>
      <c r="P922">
        <v>24.097000000000001</v>
      </c>
      <c r="Q922">
        <v>4363</v>
      </c>
    </row>
    <row r="923" spans="1:17" x14ac:dyDescent="0.25">
      <c r="A923" t="s">
        <v>21</v>
      </c>
      <c r="B923">
        <v>47</v>
      </c>
      <c r="C923">
        <v>0.82</v>
      </c>
      <c r="D923">
        <v>2002</v>
      </c>
      <c r="E923" t="s">
        <v>17</v>
      </c>
      <c r="F923">
        <v>2002121</v>
      </c>
      <c r="G923">
        <v>2002185</v>
      </c>
      <c r="H923">
        <v>2653</v>
      </c>
      <c r="I923">
        <v>384</v>
      </c>
      <c r="J923">
        <v>0</v>
      </c>
      <c r="K923">
        <v>198</v>
      </c>
      <c r="L923">
        <v>116</v>
      </c>
      <c r="M923">
        <v>125</v>
      </c>
      <c r="N923">
        <v>28.910769999999999</v>
      </c>
      <c r="O923">
        <v>12.12036</v>
      </c>
      <c r="P923">
        <v>23.16826</v>
      </c>
      <c r="Q923">
        <v>9217</v>
      </c>
    </row>
    <row r="924" spans="1:17" x14ac:dyDescent="0.25">
      <c r="A924" t="s">
        <v>21</v>
      </c>
      <c r="B924">
        <v>47</v>
      </c>
      <c r="C924">
        <v>0.82</v>
      </c>
      <c r="D924">
        <v>2003</v>
      </c>
      <c r="E924" t="s">
        <v>17</v>
      </c>
      <c r="F924">
        <v>2003121</v>
      </c>
      <c r="G924">
        <v>2003182</v>
      </c>
      <c r="H924">
        <v>3251</v>
      </c>
      <c r="I924">
        <v>118</v>
      </c>
      <c r="J924">
        <v>0</v>
      </c>
      <c r="K924">
        <v>161</v>
      </c>
      <c r="L924">
        <v>212</v>
      </c>
      <c r="M924">
        <v>125</v>
      </c>
      <c r="N924">
        <v>30.982040000000001</v>
      </c>
      <c r="O924">
        <v>12.49761</v>
      </c>
      <c r="P924">
        <v>23.716170000000002</v>
      </c>
      <c r="Q924">
        <v>2821</v>
      </c>
    </row>
    <row r="925" spans="1:17" x14ac:dyDescent="0.25">
      <c r="A925" t="s">
        <v>21</v>
      </c>
      <c r="B925">
        <v>47</v>
      </c>
      <c r="C925">
        <v>0.82</v>
      </c>
      <c r="D925">
        <v>2004</v>
      </c>
      <c r="E925" t="s">
        <v>17</v>
      </c>
      <c r="F925">
        <v>2004121</v>
      </c>
      <c r="G925">
        <v>2004188</v>
      </c>
      <c r="H925">
        <v>2798</v>
      </c>
      <c r="I925">
        <v>244</v>
      </c>
      <c r="J925">
        <v>0</v>
      </c>
      <c r="K925">
        <v>239</v>
      </c>
      <c r="L925">
        <v>155</v>
      </c>
      <c r="M925">
        <v>125</v>
      </c>
      <c r="N925">
        <v>29.843109999999999</v>
      </c>
      <c r="O925">
        <v>12.446709999999999</v>
      </c>
      <c r="P925">
        <v>23.543710000000001</v>
      </c>
      <c r="Q925">
        <v>5863</v>
      </c>
    </row>
    <row r="926" spans="1:17" x14ac:dyDescent="0.25">
      <c r="A926" t="s">
        <v>21</v>
      </c>
      <c r="B926">
        <v>47</v>
      </c>
      <c r="C926">
        <v>0.82</v>
      </c>
      <c r="D926">
        <v>2005</v>
      </c>
      <c r="E926" t="s">
        <v>17</v>
      </c>
      <c r="F926">
        <v>2005121</v>
      </c>
      <c r="G926">
        <v>2005180</v>
      </c>
      <c r="H926">
        <v>754</v>
      </c>
      <c r="I926">
        <v>79</v>
      </c>
      <c r="J926">
        <v>0</v>
      </c>
      <c r="K926">
        <v>135</v>
      </c>
      <c r="L926">
        <v>78</v>
      </c>
      <c r="M926">
        <v>125</v>
      </c>
      <c r="N926">
        <v>30.840720000000001</v>
      </c>
      <c r="O926">
        <v>12.29102</v>
      </c>
      <c r="P926">
        <v>24.91976</v>
      </c>
      <c r="Q926">
        <v>1906</v>
      </c>
    </row>
    <row r="927" spans="1:17" x14ac:dyDescent="0.25">
      <c r="A927" t="s">
        <v>21</v>
      </c>
      <c r="B927">
        <v>47</v>
      </c>
      <c r="C927">
        <v>0.82</v>
      </c>
      <c r="D927">
        <v>2006</v>
      </c>
      <c r="E927" t="s">
        <v>17</v>
      </c>
      <c r="F927">
        <v>2006121</v>
      </c>
      <c r="G927">
        <v>2006181</v>
      </c>
      <c r="H927">
        <v>2911</v>
      </c>
      <c r="I927">
        <v>255</v>
      </c>
      <c r="J927">
        <v>0</v>
      </c>
      <c r="K927">
        <v>183</v>
      </c>
      <c r="L927">
        <v>140</v>
      </c>
      <c r="M927">
        <v>125</v>
      </c>
      <c r="N927">
        <v>30.586829999999999</v>
      </c>
      <c r="O927">
        <v>12.750299999999999</v>
      </c>
      <c r="P927">
        <v>24.468859999999999</v>
      </c>
      <c r="Q927">
        <v>6121</v>
      </c>
    </row>
    <row r="928" spans="1:17" x14ac:dyDescent="0.25">
      <c r="A928" t="s">
        <v>21</v>
      </c>
      <c r="B928">
        <v>47</v>
      </c>
      <c r="C928">
        <v>0.82</v>
      </c>
      <c r="D928">
        <v>2007</v>
      </c>
      <c r="E928" t="s">
        <v>17</v>
      </c>
      <c r="F928">
        <v>2007121</v>
      </c>
      <c r="G928">
        <v>2007183</v>
      </c>
      <c r="H928">
        <v>1808</v>
      </c>
      <c r="I928">
        <v>120</v>
      </c>
      <c r="J928">
        <v>0</v>
      </c>
      <c r="K928">
        <v>206</v>
      </c>
      <c r="L928">
        <v>141</v>
      </c>
      <c r="M928">
        <v>125</v>
      </c>
      <c r="N928">
        <v>29.28443</v>
      </c>
      <c r="O928">
        <v>12.06766</v>
      </c>
      <c r="P928">
        <v>25.113779999999998</v>
      </c>
      <c r="Q928">
        <v>2880</v>
      </c>
    </row>
    <row r="929" spans="1:17" x14ac:dyDescent="0.25">
      <c r="A929" t="s">
        <v>21</v>
      </c>
      <c r="B929">
        <v>47</v>
      </c>
      <c r="C929">
        <v>0.82</v>
      </c>
      <c r="D929">
        <v>2008</v>
      </c>
      <c r="E929" t="s">
        <v>17</v>
      </c>
      <c r="F929">
        <v>2008121</v>
      </c>
      <c r="G929">
        <v>2008191</v>
      </c>
      <c r="H929">
        <v>865</v>
      </c>
      <c r="I929">
        <v>110</v>
      </c>
      <c r="J929">
        <v>0</v>
      </c>
      <c r="K929">
        <v>186</v>
      </c>
      <c r="L929">
        <v>65</v>
      </c>
      <c r="M929">
        <v>125</v>
      </c>
      <c r="N929">
        <v>28.968260000000001</v>
      </c>
      <c r="O929">
        <v>12.48682</v>
      </c>
      <c r="P929">
        <v>24.486229999999999</v>
      </c>
      <c r="Q929">
        <v>2645</v>
      </c>
    </row>
    <row r="930" spans="1:17" x14ac:dyDescent="0.25">
      <c r="A930" t="s">
        <v>21</v>
      </c>
      <c r="B930">
        <v>47</v>
      </c>
      <c r="C930">
        <v>0.82</v>
      </c>
      <c r="D930">
        <v>2009</v>
      </c>
      <c r="E930" t="s">
        <v>17</v>
      </c>
      <c r="F930">
        <v>2009121</v>
      </c>
      <c r="G930">
        <v>2009181</v>
      </c>
      <c r="H930">
        <v>2261</v>
      </c>
      <c r="I930">
        <v>45</v>
      </c>
      <c r="J930">
        <v>0</v>
      </c>
      <c r="K930">
        <v>168</v>
      </c>
      <c r="L930">
        <v>198</v>
      </c>
      <c r="M930">
        <v>125</v>
      </c>
      <c r="N930">
        <v>30.843109999999999</v>
      </c>
      <c r="O930">
        <v>12.58563</v>
      </c>
      <c r="P930">
        <v>25.411380000000001</v>
      </c>
      <c r="Q930">
        <v>1084</v>
      </c>
    </row>
    <row r="931" spans="1:17" x14ac:dyDescent="0.25">
      <c r="A931" t="s">
        <v>21</v>
      </c>
      <c r="B931">
        <v>47</v>
      </c>
      <c r="C931">
        <v>0.82</v>
      </c>
      <c r="D931">
        <v>2010</v>
      </c>
      <c r="E931" t="s">
        <v>17</v>
      </c>
      <c r="F931">
        <v>2010121</v>
      </c>
      <c r="G931">
        <v>2010188</v>
      </c>
      <c r="H931">
        <v>3825</v>
      </c>
      <c r="I931">
        <v>89</v>
      </c>
      <c r="J931">
        <v>0</v>
      </c>
      <c r="K931">
        <v>203</v>
      </c>
      <c r="L931">
        <v>392</v>
      </c>
      <c r="M931">
        <v>125</v>
      </c>
      <c r="N931">
        <v>29.799399999999999</v>
      </c>
      <c r="O931">
        <v>12.307790000000001</v>
      </c>
      <c r="P931">
        <v>25.304780000000001</v>
      </c>
      <c r="Q931">
        <v>2143</v>
      </c>
    </row>
    <row r="932" spans="1:17" x14ac:dyDescent="0.25">
      <c r="A932" t="s">
        <v>21</v>
      </c>
      <c r="B932">
        <v>47</v>
      </c>
      <c r="C932">
        <v>0.82</v>
      </c>
      <c r="D932">
        <v>2011</v>
      </c>
      <c r="E932" t="s">
        <v>17</v>
      </c>
      <c r="F932">
        <v>2011121</v>
      </c>
      <c r="G932">
        <v>2011184</v>
      </c>
      <c r="H932">
        <v>3897</v>
      </c>
      <c r="I932">
        <v>179</v>
      </c>
      <c r="J932">
        <v>0</v>
      </c>
      <c r="K932">
        <v>177</v>
      </c>
      <c r="L932">
        <v>278</v>
      </c>
      <c r="M932">
        <v>125</v>
      </c>
      <c r="N932">
        <v>30.546109999999999</v>
      </c>
      <c r="O932">
        <v>12.156879999999999</v>
      </c>
      <c r="P932">
        <v>24.930540000000001</v>
      </c>
      <c r="Q932">
        <v>4286</v>
      </c>
    </row>
    <row r="933" spans="1:17" x14ac:dyDescent="0.25">
      <c r="A933" t="s">
        <v>21</v>
      </c>
      <c r="B933">
        <v>47</v>
      </c>
      <c r="C933">
        <v>0.82</v>
      </c>
      <c r="D933">
        <v>2012</v>
      </c>
      <c r="E933" t="s">
        <v>18</v>
      </c>
      <c r="F933">
        <v>2012121</v>
      </c>
      <c r="G933">
        <v>2012174</v>
      </c>
      <c r="H933">
        <v>1447</v>
      </c>
      <c r="I933">
        <v>291</v>
      </c>
      <c r="J933">
        <v>0</v>
      </c>
      <c r="K933">
        <v>186</v>
      </c>
      <c r="L933">
        <v>91</v>
      </c>
      <c r="M933">
        <v>125</v>
      </c>
      <c r="N933">
        <v>32.080840000000002</v>
      </c>
      <c r="O933">
        <v>12.2491</v>
      </c>
      <c r="P933">
        <v>25.744900000000001</v>
      </c>
      <c r="Q933">
        <v>6994</v>
      </c>
    </row>
    <row r="934" spans="1:17" x14ac:dyDescent="0.25">
      <c r="A934" t="s">
        <v>21</v>
      </c>
      <c r="B934">
        <v>47</v>
      </c>
      <c r="C934">
        <v>0.82</v>
      </c>
      <c r="D934">
        <v>2013</v>
      </c>
      <c r="E934" t="s">
        <v>18</v>
      </c>
      <c r="F934">
        <v>2013121</v>
      </c>
      <c r="G934">
        <v>2013182</v>
      </c>
      <c r="H934">
        <v>4671</v>
      </c>
      <c r="I934">
        <v>532</v>
      </c>
      <c r="J934">
        <v>0</v>
      </c>
      <c r="K934">
        <v>306</v>
      </c>
      <c r="L934">
        <v>341</v>
      </c>
      <c r="M934">
        <v>125</v>
      </c>
      <c r="N934">
        <v>29.634129999999999</v>
      </c>
      <c r="O934">
        <v>11.220359999999999</v>
      </c>
      <c r="P934">
        <v>23.477239999999998</v>
      </c>
      <c r="Q934">
        <v>12758</v>
      </c>
    </row>
    <row r="935" spans="1:17" x14ac:dyDescent="0.25">
      <c r="A935" t="s">
        <v>21</v>
      </c>
      <c r="B935">
        <v>47</v>
      </c>
      <c r="C935">
        <v>0.82</v>
      </c>
      <c r="D935">
        <v>2014</v>
      </c>
      <c r="E935" t="s">
        <v>18</v>
      </c>
      <c r="F935">
        <v>2014121</v>
      </c>
      <c r="G935">
        <v>2014176</v>
      </c>
      <c r="H935">
        <v>3179</v>
      </c>
      <c r="I935">
        <v>276</v>
      </c>
      <c r="J935">
        <v>0</v>
      </c>
      <c r="K935">
        <v>110</v>
      </c>
      <c r="L935">
        <v>215</v>
      </c>
      <c r="M935">
        <v>125</v>
      </c>
      <c r="N935">
        <v>30.188030000000001</v>
      </c>
      <c r="O935">
        <v>11.953889999999999</v>
      </c>
      <c r="P935">
        <v>24.82694</v>
      </c>
      <c r="Q935">
        <v>6630</v>
      </c>
    </row>
    <row r="936" spans="1:17" x14ac:dyDescent="0.25">
      <c r="A936" t="s">
        <v>21</v>
      </c>
      <c r="B936">
        <v>47</v>
      </c>
      <c r="C936">
        <v>0.82</v>
      </c>
      <c r="D936">
        <v>2015</v>
      </c>
      <c r="E936" t="s">
        <v>18</v>
      </c>
      <c r="F936">
        <v>2015121</v>
      </c>
      <c r="G936">
        <v>2015176</v>
      </c>
      <c r="H936">
        <v>833</v>
      </c>
      <c r="I936">
        <v>232</v>
      </c>
      <c r="J936">
        <v>0</v>
      </c>
      <c r="K936">
        <v>90</v>
      </c>
      <c r="L936">
        <v>157</v>
      </c>
      <c r="M936">
        <v>125</v>
      </c>
      <c r="N936">
        <v>31.473659999999999</v>
      </c>
      <c r="O936">
        <v>12.50179</v>
      </c>
      <c r="P936">
        <v>24.932939999999999</v>
      </c>
      <c r="Q936">
        <v>5573</v>
      </c>
    </row>
    <row r="937" spans="1:17" x14ac:dyDescent="0.25">
      <c r="A937" t="s">
        <v>21</v>
      </c>
      <c r="B937">
        <v>47</v>
      </c>
      <c r="C937">
        <v>0.82</v>
      </c>
      <c r="D937">
        <v>2016</v>
      </c>
      <c r="E937" t="s">
        <v>18</v>
      </c>
      <c r="F937">
        <v>2016121</v>
      </c>
      <c r="G937">
        <v>2016183</v>
      </c>
      <c r="H937">
        <v>600</v>
      </c>
      <c r="I937">
        <v>203</v>
      </c>
      <c r="J937">
        <v>0</v>
      </c>
      <c r="K937">
        <v>106</v>
      </c>
      <c r="L937">
        <v>92</v>
      </c>
      <c r="M937">
        <v>125</v>
      </c>
      <c r="N937">
        <v>30.87724</v>
      </c>
      <c r="O937">
        <v>11.729939999999999</v>
      </c>
      <c r="P937">
        <v>24.244309999999999</v>
      </c>
      <c r="Q937">
        <v>4869</v>
      </c>
    </row>
    <row r="938" spans="1:17" x14ac:dyDescent="0.25">
      <c r="A938" t="s">
        <v>21</v>
      </c>
      <c r="B938">
        <v>47</v>
      </c>
      <c r="C938">
        <v>0.82</v>
      </c>
      <c r="D938">
        <v>2017</v>
      </c>
      <c r="E938" t="s">
        <v>18</v>
      </c>
      <c r="F938">
        <v>2017121</v>
      </c>
      <c r="G938">
        <v>2017174</v>
      </c>
      <c r="H938">
        <v>2495</v>
      </c>
      <c r="I938">
        <v>176</v>
      </c>
      <c r="J938">
        <v>0</v>
      </c>
      <c r="K938">
        <v>88</v>
      </c>
      <c r="L938">
        <v>181</v>
      </c>
      <c r="M938">
        <v>125</v>
      </c>
      <c r="N938">
        <v>32.65269</v>
      </c>
      <c r="O938">
        <v>12.443110000000001</v>
      </c>
      <c r="P938">
        <v>23.586220000000001</v>
      </c>
      <c r="Q938">
        <v>4218</v>
      </c>
    </row>
    <row r="939" spans="1:17" x14ac:dyDescent="0.25">
      <c r="A939" t="s">
        <v>21</v>
      </c>
      <c r="B939">
        <v>47</v>
      </c>
      <c r="C939">
        <v>0.82</v>
      </c>
      <c r="D939">
        <v>2018</v>
      </c>
      <c r="E939" t="s">
        <v>18</v>
      </c>
      <c r="F939">
        <v>2018121</v>
      </c>
      <c r="G939">
        <v>2018180</v>
      </c>
      <c r="H939">
        <v>4028</v>
      </c>
      <c r="I939">
        <v>295</v>
      </c>
      <c r="J939">
        <v>0</v>
      </c>
      <c r="K939">
        <v>367</v>
      </c>
      <c r="L939">
        <v>160</v>
      </c>
      <c r="M939">
        <v>125</v>
      </c>
      <c r="N939">
        <v>29.583829999999999</v>
      </c>
      <c r="O939">
        <v>11.72575</v>
      </c>
      <c r="P939">
        <v>23.308979999999998</v>
      </c>
      <c r="Q939">
        <v>7080</v>
      </c>
    </row>
    <row r="940" spans="1:17" x14ac:dyDescent="0.25">
      <c r="A940" t="s">
        <v>21</v>
      </c>
      <c r="B940">
        <v>47</v>
      </c>
      <c r="C940">
        <v>0.82</v>
      </c>
      <c r="D940">
        <v>2019</v>
      </c>
      <c r="E940" t="s">
        <v>18</v>
      </c>
      <c r="F940">
        <v>2019121</v>
      </c>
      <c r="G940">
        <v>2019176</v>
      </c>
      <c r="H940">
        <v>2478</v>
      </c>
      <c r="I940">
        <v>277</v>
      </c>
      <c r="J940">
        <v>0</v>
      </c>
      <c r="K940">
        <v>243</v>
      </c>
      <c r="L940">
        <v>149</v>
      </c>
      <c r="M940">
        <v>125</v>
      </c>
      <c r="N940">
        <v>30.967659999999999</v>
      </c>
      <c r="O940">
        <v>12.503590000000001</v>
      </c>
      <c r="P940">
        <v>24.692820000000001</v>
      </c>
      <c r="Q940">
        <v>6642</v>
      </c>
    </row>
    <row r="941" spans="1:17" x14ac:dyDescent="0.25">
      <c r="A941" t="s">
        <v>21</v>
      </c>
      <c r="B941">
        <v>47</v>
      </c>
      <c r="C941">
        <v>0.82</v>
      </c>
      <c r="D941">
        <v>2020</v>
      </c>
      <c r="E941" t="s">
        <v>18</v>
      </c>
      <c r="F941">
        <v>2020121</v>
      </c>
      <c r="G941">
        <v>2020176</v>
      </c>
      <c r="H941">
        <v>3862</v>
      </c>
      <c r="I941">
        <v>247</v>
      </c>
      <c r="J941">
        <v>0</v>
      </c>
      <c r="K941">
        <v>198</v>
      </c>
      <c r="L941">
        <v>201</v>
      </c>
      <c r="M941">
        <v>125</v>
      </c>
      <c r="N941">
        <v>30.895209999999999</v>
      </c>
      <c r="O941">
        <v>12.00539</v>
      </c>
      <c r="P941">
        <v>25.148499999999999</v>
      </c>
      <c r="Q941">
        <v>5932</v>
      </c>
    </row>
    <row r="942" spans="1:17" x14ac:dyDescent="0.25">
      <c r="A942" t="s">
        <v>21</v>
      </c>
      <c r="B942">
        <v>48</v>
      </c>
      <c r="C942">
        <v>0.79</v>
      </c>
      <c r="D942">
        <v>2001</v>
      </c>
      <c r="E942" t="s">
        <v>17</v>
      </c>
      <c r="F942">
        <v>2001105</v>
      </c>
      <c r="G942">
        <v>2001174</v>
      </c>
      <c r="H942">
        <v>6358</v>
      </c>
      <c r="I942">
        <v>479</v>
      </c>
      <c r="J942">
        <v>0</v>
      </c>
      <c r="K942">
        <v>239</v>
      </c>
      <c r="L942">
        <v>235</v>
      </c>
      <c r="M942">
        <v>125</v>
      </c>
      <c r="N942">
        <v>29.25684</v>
      </c>
      <c r="O942">
        <v>12.30382</v>
      </c>
      <c r="P942">
        <v>24.074870000000001</v>
      </c>
      <c r="Q942">
        <v>13415</v>
      </c>
    </row>
    <row r="943" spans="1:17" x14ac:dyDescent="0.25">
      <c r="A943" t="s">
        <v>21</v>
      </c>
      <c r="B943">
        <v>48</v>
      </c>
      <c r="C943">
        <v>0.79</v>
      </c>
      <c r="D943">
        <v>2002</v>
      </c>
      <c r="E943" t="s">
        <v>17</v>
      </c>
      <c r="F943">
        <v>2002105</v>
      </c>
      <c r="G943">
        <v>2002175</v>
      </c>
      <c r="H943">
        <v>3885</v>
      </c>
      <c r="I943">
        <v>1307</v>
      </c>
      <c r="J943">
        <v>0</v>
      </c>
      <c r="K943">
        <v>198</v>
      </c>
      <c r="L943">
        <v>116</v>
      </c>
      <c r="M943">
        <v>125</v>
      </c>
      <c r="N943">
        <v>28.448080000000001</v>
      </c>
      <c r="O943">
        <v>11.543710000000001</v>
      </c>
      <c r="P943">
        <v>23.359559999999998</v>
      </c>
      <c r="Q943">
        <v>36590</v>
      </c>
    </row>
    <row r="944" spans="1:17" x14ac:dyDescent="0.25">
      <c r="A944" t="s">
        <v>21</v>
      </c>
      <c r="B944">
        <v>48</v>
      </c>
      <c r="C944">
        <v>0.79</v>
      </c>
      <c r="D944">
        <v>2003</v>
      </c>
      <c r="E944" t="s">
        <v>17</v>
      </c>
      <c r="F944">
        <v>2003105</v>
      </c>
      <c r="G944">
        <v>2003172</v>
      </c>
      <c r="H944">
        <v>3338</v>
      </c>
      <c r="I944">
        <v>137</v>
      </c>
      <c r="J944">
        <v>0</v>
      </c>
      <c r="K944">
        <v>161</v>
      </c>
      <c r="L944">
        <v>212</v>
      </c>
      <c r="M944">
        <v>125</v>
      </c>
      <c r="N944">
        <v>30.072140000000001</v>
      </c>
      <c r="O944">
        <v>11.8612</v>
      </c>
      <c r="P944">
        <v>23.498909999999999</v>
      </c>
      <c r="Q944">
        <v>3845</v>
      </c>
    </row>
    <row r="945" spans="1:17" x14ac:dyDescent="0.25">
      <c r="A945" t="s">
        <v>21</v>
      </c>
      <c r="B945">
        <v>48</v>
      </c>
      <c r="C945">
        <v>0.79</v>
      </c>
      <c r="D945">
        <v>2004</v>
      </c>
      <c r="E945" t="s">
        <v>17</v>
      </c>
      <c r="F945">
        <v>2004105</v>
      </c>
      <c r="G945">
        <v>2004179</v>
      </c>
      <c r="H945">
        <v>2816</v>
      </c>
      <c r="I945">
        <v>138</v>
      </c>
      <c r="J945">
        <v>0</v>
      </c>
      <c r="K945">
        <v>239</v>
      </c>
      <c r="L945">
        <v>155</v>
      </c>
      <c r="M945">
        <v>125</v>
      </c>
      <c r="N945">
        <v>28.88251</v>
      </c>
      <c r="O945">
        <v>11.89016</v>
      </c>
      <c r="P945">
        <v>23.470490000000002</v>
      </c>
      <c r="Q945">
        <v>3854</v>
      </c>
    </row>
    <row r="946" spans="1:17" x14ac:dyDescent="0.25">
      <c r="A946" t="s">
        <v>21</v>
      </c>
      <c r="B946">
        <v>48</v>
      </c>
      <c r="C946">
        <v>0.79</v>
      </c>
      <c r="D946">
        <v>2005</v>
      </c>
      <c r="E946" t="s">
        <v>17</v>
      </c>
      <c r="F946">
        <v>2005105</v>
      </c>
      <c r="G946">
        <v>2005168</v>
      </c>
      <c r="H946">
        <v>802</v>
      </c>
      <c r="I946">
        <v>45</v>
      </c>
      <c r="J946">
        <v>0</v>
      </c>
      <c r="K946">
        <v>135</v>
      </c>
      <c r="L946">
        <v>78</v>
      </c>
      <c r="M946">
        <v>125</v>
      </c>
      <c r="N946">
        <v>30.140979999999999</v>
      </c>
      <c r="O946">
        <v>11.84098</v>
      </c>
      <c r="P946">
        <v>25.041519999999998</v>
      </c>
      <c r="Q946">
        <v>1248</v>
      </c>
    </row>
    <row r="947" spans="1:17" x14ac:dyDescent="0.25">
      <c r="A947" t="s">
        <v>21</v>
      </c>
      <c r="B947">
        <v>48</v>
      </c>
      <c r="C947">
        <v>0.79</v>
      </c>
      <c r="D947">
        <v>2006</v>
      </c>
      <c r="E947" t="s">
        <v>17</v>
      </c>
      <c r="F947">
        <v>2006105</v>
      </c>
      <c r="G947">
        <v>2006172</v>
      </c>
      <c r="H947">
        <v>2957</v>
      </c>
      <c r="I947">
        <v>389</v>
      </c>
      <c r="J947">
        <v>0</v>
      </c>
      <c r="K947">
        <v>183</v>
      </c>
      <c r="L947">
        <v>140</v>
      </c>
      <c r="M947">
        <v>125</v>
      </c>
      <c r="N947">
        <v>29.814209999999999</v>
      </c>
      <c r="O947">
        <v>12.267760000000001</v>
      </c>
      <c r="P947">
        <v>24.18525</v>
      </c>
      <c r="Q947">
        <v>10885</v>
      </c>
    </row>
    <row r="948" spans="1:17" x14ac:dyDescent="0.25">
      <c r="A948" t="s">
        <v>21</v>
      </c>
      <c r="B948">
        <v>48</v>
      </c>
      <c r="C948">
        <v>0.79</v>
      </c>
      <c r="D948">
        <v>2007</v>
      </c>
      <c r="E948" t="s">
        <v>17</v>
      </c>
      <c r="F948">
        <v>2007105</v>
      </c>
      <c r="G948">
        <v>2007175</v>
      </c>
      <c r="H948">
        <v>1909</v>
      </c>
      <c r="I948">
        <v>86</v>
      </c>
      <c r="J948">
        <v>0</v>
      </c>
      <c r="K948">
        <v>206</v>
      </c>
      <c r="L948">
        <v>141</v>
      </c>
      <c r="M948">
        <v>125</v>
      </c>
      <c r="N948">
        <v>28.408200000000001</v>
      </c>
      <c r="O948">
        <v>11.548629999999999</v>
      </c>
      <c r="P948">
        <v>24.607109999999999</v>
      </c>
      <c r="Q948">
        <v>2406</v>
      </c>
    </row>
    <row r="949" spans="1:17" x14ac:dyDescent="0.25">
      <c r="A949" t="s">
        <v>21</v>
      </c>
      <c r="B949">
        <v>48</v>
      </c>
      <c r="C949">
        <v>0.79</v>
      </c>
      <c r="D949">
        <v>2008</v>
      </c>
      <c r="E949" t="s">
        <v>18</v>
      </c>
      <c r="F949">
        <v>2008105</v>
      </c>
      <c r="G949">
        <v>2008171</v>
      </c>
      <c r="H949">
        <v>1621</v>
      </c>
      <c r="I949">
        <v>356</v>
      </c>
      <c r="J949">
        <v>0</v>
      </c>
      <c r="K949">
        <v>186</v>
      </c>
      <c r="L949">
        <v>65</v>
      </c>
      <c r="M949">
        <v>125</v>
      </c>
      <c r="N949">
        <v>28.307099999999998</v>
      </c>
      <c r="O949">
        <v>11.925129999999999</v>
      </c>
      <c r="P949">
        <v>24.403829999999999</v>
      </c>
      <c r="Q949">
        <v>9970</v>
      </c>
    </row>
    <row r="950" spans="1:17" x14ac:dyDescent="0.25">
      <c r="A950" t="s">
        <v>21</v>
      </c>
      <c r="B950">
        <v>48</v>
      </c>
      <c r="C950">
        <v>0.79</v>
      </c>
      <c r="D950">
        <v>2009</v>
      </c>
      <c r="E950" t="s">
        <v>18</v>
      </c>
      <c r="F950">
        <v>2009105</v>
      </c>
      <c r="G950">
        <v>2009167</v>
      </c>
      <c r="H950">
        <v>2558</v>
      </c>
      <c r="I950">
        <v>152</v>
      </c>
      <c r="J950">
        <v>0</v>
      </c>
      <c r="K950">
        <v>168</v>
      </c>
      <c r="L950">
        <v>198</v>
      </c>
      <c r="M950">
        <v>125</v>
      </c>
      <c r="N950">
        <v>29.742619999999999</v>
      </c>
      <c r="O950">
        <v>11.99672</v>
      </c>
      <c r="P950">
        <v>25.168859999999999</v>
      </c>
      <c r="Q950">
        <v>4244</v>
      </c>
    </row>
    <row r="951" spans="1:17" x14ac:dyDescent="0.25">
      <c r="A951" t="s">
        <v>21</v>
      </c>
      <c r="B951">
        <v>48</v>
      </c>
      <c r="C951">
        <v>0.79</v>
      </c>
      <c r="D951">
        <v>2010</v>
      </c>
      <c r="E951" t="s">
        <v>18</v>
      </c>
      <c r="F951">
        <v>2010105</v>
      </c>
      <c r="G951">
        <v>2010169</v>
      </c>
      <c r="H951">
        <v>4745</v>
      </c>
      <c r="I951">
        <v>369</v>
      </c>
      <c r="J951">
        <v>0</v>
      </c>
      <c r="K951">
        <v>203</v>
      </c>
      <c r="L951">
        <v>392</v>
      </c>
      <c r="M951">
        <v>125</v>
      </c>
      <c r="N951">
        <v>29.072130000000001</v>
      </c>
      <c r="O951">
        <v>11.924049999999999</v>
      </c>
      <c r="P951">
        <v>24.860099999999999</v>
      </c>
      <c r="Q951">
        <v>10319</v>
      </c>
    </row>
    <row r="952" spans="1:17" x14ac:dyDescent="0.25">
      <c r="A952" t="s">
        <v>21</v>
      </c>
      <c r="B952">
        <v>48</v>
      </c>
      <c r="C952">
        <v>0.79</v>
      </c>
      <c r="D952">
        <v>2011</v>
      </c>
      <c r="E952" t="s">
        <v>18</v>
      </c>
      <c r="F952">
        <v>2011105</v>
      </c>
      <c r="G952">
        <v>2011169</v>
      </c>
      <c r="H952">
        <v>5034</v>
      </c>
      <c r="I952">
        <v>882</v>
      </c>
      <c r="J952">
        <v>0</v>
      </c>
      <c r="K952">
        <v>177</v>
      </c>
      <c r="L952">
        <v>278</v>
      </c>
      <c r="M952">
        <v>125</v>
      </c>
      <c r="N952">
        <v>29.567219999999999</v>
      </c>
      <c r="O952">
        <v>11.62021</v>
      </c>
      <c r="P952">
        <v>24.25901</v>
      </c>
      <c r="Q952">
        <v>24686</v>
      </c>
    </row>
    <row r="953" spans="1:17" x14ac:dyDescent="0.25">
      <c r="A953" t="s">
        <v>21</v>
      </c>
      <c r="B953">
        <v>48</v>
      </c>
      <c r="C953">
        <v>0.79</v>
      </c>
      <c r="D953">
        <v>2012</v>
      </c>
      <c r="E953" t="s">
        <v>18</v>
      </c>
      <c r="F953">
        <v>2012105</v>
      </c>
      <c r="G953">
        <v>2012167</v>
      </c>
      <c r="H953">
        <v>1679</v>
      </c>
      <c r="I953">
        <v>330</v>
      </c>
      <c r="J953">
        <v>0</v>
      </c>
      <c r="K953">
        <v>186</v>
      </c>
      <c r="L953">
        <v>91</v>
      </c>
      <c r="M953">
        <v>125</v>
      </c>
      <c r="N953">
        <v>30.82404</v>
      </c>
      <c r="O953">
        <v>11.753</v>
      </c>
      <c r="P953">
        <v>25.34535</v>
      </c>
      <c r="Q953">
        <v>9231</v>
      </c>
    </row>
    <row r="954" spans="1:17" x14ac:dyDescent="0.25">
      <c r="A954" t="s">
        <v>21</v>
      </c>
      <c r="B954">
        <v>48</v>
      </c>
      <c r="C954">
        <v>0.79</v>
      </c>
      <c r="D954">
        <v>2013</v>
      </c>
      <c r="E954" t="s">
        <v>18</v>
      </c>
      <c r="F954">
        <v>2013105</v>
      </c>
      <c r="G954">
        <v>2013172</v>
      </c>
      <c r="H954">
        <v>4568</v>
      </c>
      <c r="I954">
        <v>390</v>
      </c>
      <c r="J954">
        <v>0</v>
      </c>
      <c r="K954">
        <v>306</v>
      </c>
      <c r="L954">
        <v>341</v>
      </c>
      <c r="M954">
        <v>125</v>
      </c>
      <c r="N954">
        <v>28.89564</v>
      </c>
      <c r="O954">
        <v>10.758470000000001</v>
      </c>
      <c r="P954">
        <v>23.085789999999999</v>
      </c>
      <c r="Q954">
        <v>10910</v>
      </c>
    </row>
    <row r="955" spans="1:17" x14ac:dyDescent="0.25">
      <c r="A955" t="s">
        <v>21</v>
      </c>
      <c r="B955">
        <v>48</v>
      </c>
      <c r="C955">
        <v>0.79</v>
      </c>
      <c r="D955">
        <v>2014</v>
      </c>
      <c r="E955" t="s">
        <v>18</v>
      </c>
      <c r="F955">
        <v>2014105</v>
      </c>
      <c r="G955">
        <v>2014165</v>
      </c>
      <c r="H955">
        <v>3240</v>
      </c>
      <c r="I955">
        <v>237</v>
      </c>
      <c r="J955">
        <v>0</v>
      </c>
      <c r="K955">
        <v>110</v>
      </c>
      <c r="L955">
        <v>215</v>
      </c>
      <c r="M955">
        <v>125</v>
      </c>
      <c r="N955">
        <v>29.60492</v>
      </c>
      <c r="O955">
        <v>11.53661</v>
      </c>
      <c r="P955">
        <v>24.809840000000001</v>
      </c>
      <c r="Q955">
        <v>6640</v>
      </c>
    </row>
    <row r="956" spans="1:17" x14ac:dyDescent="0.25">
      <c r="A956" t="s">
        <v>21</v>
      </c>
      <c r="B956">
        <v>48</v>
      </c>
      <c r="C956">
        <v>0.79</v>
      </c>
      <c r="D956">
        <v>2015</v>
      </c>
      <c r="E956" t="s">
        <v>18</v>
      </c>
      <c r="F956">
        <v>2015105</v>
      </c>
      <c r="G956">
        <v>2015164</v>
      </c>
      <c r="H956">
        <v>840</v>
      </c>
      <c r="I956">
        <v>176</v>
      </c>
      <c r="J956">
        <v>0</v>
      </c>
      <c r="K956">
        <v>90</v>
      </c>
      <c r="L956">
        <v>157</v>
      </c>
      <c r="M956">
        <v>125</v>
      </c>
      <c r="N956">
        <v>30.671589999999998</v>
      </c>
      <c r="O956">
        <v>11.95683</v>
      </c>
      <c r="P956">
        <v>24.689620000000001</v>
      </c>
      <c r="Q956">
        <v>4915</v>
      </c>
    </row>
    <row r="957" spans="1:17" x14ac:dyDescent="0.25">
      <c r="A957" t="s">
        <v>21</v>
      </c>
      <c r="B957">
        <v>48</v>
      </c>
      <c r="C957">
        <v>0.79</v>
      </c>
      <c r="D957">
        <v>2016</v>
      </c>
      <c r="E957" t="s">
        <v>18</v>
      </c>
      <c r="F957">
        <v>2016105</v>
      </c>
      <c r="G957">
        <v>2016170</v>
      </c>
      <c r="H957">
        <v>560</v>
      </c>
      <c r="I957">
        <v>211</v>
      </c>
      <c r="J957">
        <v>0</v>
      </c>
      <c r="K957">
        <v>106</v>
      </c>
      <c r="L957">
        <v>92</v>
      </c>
      <c r="M957">
        <v>125</v>
      </c>
      <c r="N957">
        <v>30.113109999999999</v>
      </c>
      <c r="O957">
        <v>11.324590000000001</v>
      </c>
      <c r="P957">
        <v>23.930060000000001</v>
      </c>
      <c r="Q957">
        <v>5899</v>
      </c>
    </row>
    <row r="958" spans="1:17" x14ac:dyDescent="0.25">
      <c r="A958" t="s">
        <v>21</v>
      </c>
      <c r="B958">
        <v>48</v>
      </c>
      <c r="C958">
        <v>0.79</v>
      </c>
      <c r="D958">
        <v>2017</v>
      </c>
      <c r="E958" t="s">
        <v>18</v>
      </c>
      <c r="F958">
        <v>2017105</v>
      </c>
      <c r="G958">
        <v>2017163</v>
      </c>
      <c r="H958">
        <v>2871</v>
      </c>
      <c r="I958">
        <v>211</v>
      </c>
      <c r="J958">
        <v>0</v>
      </c>
      <c r="K958">
        <v>88</v>
      </c>
      <c r="L958">
        <v>181</v>
      </c>
      <c r="M958">
        <v>125</v>
      </c>
      <c r="N958">
        <v>31.70327</v>
      </c>
      <c r="O958">
        <v>11.968299999999999</v>
      </c>
      <c r="P958">
        <v>23.241520000000001</v>
      </c>
      <c r="Q958">
        <v>5906</v>
      </c>
    </row>
    <row r="959" spans="1:17" x14ac:dyDescent="0.25">
      <c r="A959" t="s">
        <v>21</v>
      </c>
      <c r="B959">
        <v>48</v>
      </c>
      <c r="C959">
        <v>0.79</v>
      </c>
      <c r="D959">
        <v>2018</v>
      </c>
      <c r="E959" t="s">
        <v>18</v>
      </c>
      <c r="F959">
        <v>2018105</v>
      </c>
      <c r="G959">
        <v>2018171</v>
      </c>
      <c r="H959">
        <v>4755</v>
      </c>
      <c r="I959">
        <v>346</v>
      </c>
      <c r="J959">
        <v>0</v>
      </c>
      <c r="K959">
        <v>367</v>
      </c>
      <c r="L959">
        <v>160</v>
      </c>
      <c r="M959">
        <v>125</v>
      </c>
      <c r="N959">
        <v>28.80219</v>
      </c>
      <c r="O959">
        <v>11.28688</v>
      </c>
      <c r="P959">
        <v>22.97869</v>
      </c>
      <c r="Q959">
        <v>9689</v>
      </c>
    </row>
    <row r="960" spans="1:17" x14ac:dyDescent="0.25">
      <c r="A960" t="s">
        <v>21</v>
      </c>
      <c r="B960">
        <v>48</v>
      </c>
      <c r="C960">
        <v>0.79</v>
      </c>
      <c r="D960">
        <v>2019</v>
      </c>
      <c r="E960" t="s">
        <v>18</v>
      </c>
      <c r="F960">
        <v>2019105</v>
      </c>
      <c r="G960">
        <v>2019167</v>
      </c>
      <c r="H960">
        <v>2525</v>
      </c>
      <c r="I960">
        <v>267</v>
      </c>
      <c r="J960">
        <v>0</v>
      </c>
      <c r="K960">
        <v>243</v>
      </c>
      <c r="L960">
        <v>149</v>
      </c>
      <c r="M960">
        <v>125</v>
      </c>
      <c r="N960">
        <v>29.96612</v>
      </c>
      <c r="O960">
        <v>12.017480000000001</v>
      </c>
      <c r="P960">
        <v>24.172689999999999</v>
      </c>
      <c r="Q960">
        <v>7476</v>
      </c>
    </row>
    <row r="961" spans="1:17" x14ac:dyDescent="0.25">
      <c r="A961" t="s">
        <v>21</v>
      </c>
      <c r="B961">
        <v>48</v>
      </c>
      <c r="C961">
        <v>0.79</v>
      </c>
      <c r="D961">
        <v>2020</v>
      </c>
      <c r="E961" t="s">
        <v>18</v>
      </c>
      <c r="F961">
        <v>2020105</v>
      </c>
      <c r="G961">
        <v>2020165</v>
      </c>
      <c r="H961">
        <v>4452</v>
      </c>
      <c r="I961">
        <v>342</v>
      </c>
      <c r="J961">
        <v>0</v>
      </c>
      <c r="K961">
        <v>198</v>
      </c>
      <c r="L961">
        <v>201</v>
      </c>
      <c r="M961">
        <v>125</v>
      </c>
      <c r="N961">
        <v>29.900549999999999</v>
      </c>
      <c r="O961">
        <v>11.66667</v>
      </c>
      <c r="P961">
        <v>24.695620000000002</v>
      </c>
      <c r="Q961">
        <v>9578</v>
      </c>
    </row>
    <row r="962" spans="1:17" x14ac:dyDescent="0.25">
      <c r="A962" t="s">
        <v>21</v>
      </c>
      <c r="B962">
        <v>49</v>
      </c>
      <c r="C962">
        <v>0.59</v>
      </c>
      <c r="D962">
        <v>2001</v>
      </c>
      <c r="E962" t="s">
        <v>17</v>
      </c>
      <c r="F962">
        <v>2001091</v>
      </c>
      <c r="G962">
        <v>2001166</v>
      </c>
      <c r="H962">
        <v>5129</v>
      </c>
      <c r="I962">
        <v>230</v>
      </c>
      <c r="J962">
        <v>0</v>
      </c>
      <c r="K962">
        <v>239</v>
      </c>
      <c r="L962">
        <v>235</v>
      </c>
      <c r="M962">
        <v>75</v>
      </c>
      <c r="N962">
        <v>28.728429999999999</v>
      </c>
      <c r="O962">
        <v>11.70304</v>
      </c>
      <c r="P962">
        <v>24.139089999999999</v>
      </c>
      <c r="Q962">
        <v>6212</v>
      </c>
    </row>
    <row r="963" spans="1:17" x14ac:dyDescent="0.25">
      <c r="A963" t="s">
        <v>21</v>
      </c>
      <c r="B963">
        <v>49</v>
      </c>
      <c r="C963">
        <v>0.59</v>
      </c>
      <c r="D963">
        <v>2002</v>
      </c>
      <c r="E963" t="s">
        <v>17</v>
      </c>
      <c r="F963">
        <v>2002091</v>
      </c>
      <c r="G963">
        <v>2002171</v>
      </c>
      <c r="H963">
        <v>3287</v>
      </c>
      <c r="I963">
        <v>1279</v>
      </c>
      <c r="J963">
        <v>0</v>
      </c>
      <c r="K963">
        <v>198</v>
      </c>
      <c r="L963">
        <v>116</v>
      </c>
      <c r="M963">
        <v>75</v>
      </c>
      <c r="N963">
        <v>27.425370000000001</v>
      </c>
      <c r="O963">
        <v>10.983750000000001</v>
      </c>
      <c r="P963">
        <v>22.788830000000001</v>
      </c>
      <c r="Q963">
        <v>34528</v>
      </c>
    </row>
    <row r="964" spans="1:17" x14ac:dyDescent="0.25">
      <c r="A964" t="s">
        <v>21</v>
      </c>
      <c r="B964">
        <v>49</v>
      </c>
      <c r="C964">
        <v>0.59</v>
      </c>
      <c r="D964">
        <v>2003</v>
      </c>
      <c r="E964" t="s">
        <v>17</v>
      </c>
      <c r="F964">
        <v>2003091</v>
      </c>
      <c r="G964">
        <v>2003166</v>
      </c>
      <c r="H964">
        <v>2693</v>
      </c>
      <c r="I964">
        <v>102</v>
      </c>
      <c r="J964">
        <v>0</v>
      </c>
      <c r="K964">
        <v>161</v>
      </c>
      <c r="L964">
        <v>212</v>
      </c>
      <c r="M964">
        <v>75</v>
      </c>
      <c r="N964">
        <v>29.248740000000002</v>
      </c>
      <c r="O964">
        <v>11.308630000000001</v>
      </c>
      <c r="P964">
        <v>23.29391</v>
      </c>
      <c r="Q964">
        <v>2748</v>
      </c>
    </row>
    <row r="965" spans="1:17" x14ac:dyDescent="0.25">
      <c r="A965" t="s">
        <v>21</v>
      </c>
      <c r="B965">
        <v>49</v>
      </c>
      <c r="C965">
        <v>0.59</v>
      </c>
      <c r="D965">
        <v>2004</v>
      </c>
      <c r="E965" t="s">
        <v>17</v>
      </c>
      <c r="F965">
        <v>2004091</v>
      </c>
      <c r="G965">
        <v>2004173</v>
      </c>
      <c r="H965">
        <v>2921</v>
      </c>
      <c r="I965">
        <v>126</v>
      </c>
      <c r="J965">
        <v>0</v>
      </c>
      <c r="K965">
        <v>239</v>
      </c>
      <c r="L965">
        <v>155</v>
      </c>
      <c r="M965">
        <v>75</v>
      </c>
      <c r="N965">
        <v>28.062429999999999</v>
      </c>
      <c r="O965">
        <v>11.23807</v>
      </c>
      <c r="P965">
        <v>23.238579999999999</v>
      </c>
      <c r="Q965">
        <v>3393</v>
      </c>
    </row>
    <row r="966" spans="1:17" x14ac:dyDescent="0.25">
      <c r="A966" t="s">
        <v>21</v>
      </c>
      <c r="B966">
        <v>49</v>
      </c>
      <c r="C966">
        <v>0.59</v>
      </c>
      <c r="D966">
        <v>2005</v>
      </c>
      <c r="E966" t="s">
        <v>17</v>
      </c>
      <c r="F966">
        <v>2005091</v>
      </c>
      <c r="G966">
        <v>2005163</v>
      </c>
      <c r="H966">
        <v>811</v>
      </c>
      <c r="I966">
        <v>20</v>
      </c>
      <c r="J966">
        <v>0</v>
      </c>
      <c r="K966">
        <v>135</v>
      </c>
      <c r="L966">
        <v>78</v>
      </c>
      <c r="M966">
        <v>75</v>
      </c>
      <c r="N966">
        <v>29.373090000000001</v>
      </c>
      <c r="O966">
        <v>11.33198</v>
      </c>
      <c r="P966">
        <v>24.911159999999999</v>
      </c>
      <c r="Q966">
        <v>545</v>
      </c>
    </row>
    <row r="967" spans="1:17" x14ac:dyDescent="0.25">
      <c r="A967" t="s">
        <v>21</v>
      </c>
      <c r="B967">
        <v>49</v>
      </c>
      <c r="C967">
        <v>0.59</v>
      </c>
      <c r="D967">
        <v>2006</v>
      </c>
      <c r="E967" t="s">
        <v>17</v>
      </c>
      <c r="F967">
        <v>2006091</v>
      </c>
      <c r="G967">
        <v>2006171</v>
      </c>
      <c r="H967">
        <v>2841</v>
      </c>
      <c r="I967">
        <v>338</v>
      </c>
      <c r="J967">
        <v>0</v>
      </c>
      <c r="K967">
        <v>183</v>
      </c>
      <c r="L967">
        <v>140</v>
      </c>
      <c r="M967">
        <v>75</v>
      </c>
      <c r="N967">
        <v>29.334009999999999</v>
      </c>
      <c r="O967">
        <v>11.817259999999999</v>
      </c>
      <c r="P967">
        <v>24.077670000000001</v>
      </c>
      <c r="Q967">
        <v>9130</v>
      </c>
    </row>
    <row r="968" spans="1:17" x14ac:dyDescent="0.25">
      <c r="A968" t="s">
        <v>21</v>
      </c>
      <c r="B968">
        <v>49</v>
      </c>
      <c r="C968">
        <v>0.59</v>
      </c>
      <c r="D968">
        <v>2007</v>
      </c>
      <c r="E968" t="s">
        <v>17</v>
      </c>
      <c r="F968">
        <v>2007091</v>
      </c>
      <c r="G968">
        <v>2007170</v>
      </c>
      <c r="H968">
        <v>2109</v>
      </c>
      <c r="I968">
        <v>29</v>
      </c>
      <c r="J968">
        <v>0</v>
      </c>
      <c r="K968">
        <v>206</v>
      </c>
      <c r="L968">
        <v>141</v>
      </c>
      <c r="M968">
        <v>75</v>
      </c>
      <c r="N968">
        <v>27.333500000000001</v>
      </c>
      <c r="O968">
        <v>11.04162</v>
      </c>
      <c r="P968">
        <v>23.79899</v>
      </c>
      <c r="Q968">
        <v>786</v>
      </c>
    </row>
    <row r="969" spans="1:17" x14ac:dyDescent="0.25">
      <c r="A969" t="s">
        <v>21</v>
      </c>
      <c r="B969">
        <v>49</v>
      </c>
      <c r="C969">
        <v>0.59</v>
      </c>
      <c r="D969">
        <v>2008</v>
      </c>
      <c r="E969" t="s">
        <v>18</v>
      </c>
      <c r="F969">
        <v>2008091</v>
      </c>
      <c r="G969">
        <v>2008167</v>
      </c>
      <c r="H969">
        <v>1605</v>
      </c>
      <c r="I969">
        <v>231</v>
      </c>
      <c r="J969">
        <v>0</v>
      </c>
      <c r="K969">
        <v>186</v>
      </c>
      <c r="L969">
        <v>65</v>
      </c>
      <c r="M969">
        <v>75</v>
      </c>
      <c r="N969">
        <v>27.729949999999999</v>
      </c>
      <c r="O969">
        <v>11.40457</v>
      </c>
      <c r="P969">
        <v>24.21218</v>
      </c>
      <c r="Q969">
        <v>6245</v>
      </c>
    </row>
    <row r="970" spans="1:17" x14ac:dyDescent="0.25">
      <c r="A970" t="s">
        <v>21</v>
      </c>
      <c r="B970">
        <v>49</v>
      </c>
      <c r="C970">
        <v>0.59</v>
      </c>
      <c r="D970">
        <v>2009</v>
      </c>
      <c r="E970" t="s">
        <v>18</v>
      </c>
      <c r="F970">
        <v>2009091</v>
      </c>
      <c r="G970">
        <v>2009162</v>
      </c>
      <c r="H970">
        <v>2353</v>
      </c>
      <c r="I970">
        <v>107</v>
      </c>
      <c r="J970">
        <v>0</v>
      </c>
      <c r="K970">
        <v>168</v>
      </c>
      <c r="L970">
        <v>198</v>
      </c>
      <c r="M970">
        <v>75</v>
      </c>
      <c r="N970">
        <v>28.920300000000001</v>
      </c>
      <c r="O970">
        <v>11.44061</v>
      </c>
      <c r="P970">
        <v>25.05686</v>
      </c>
      <c r="Q970">
        <v>2898</v>
      </c>
    </row>
    <row r="971" spans="1:17" x14ac:dyDescent="0.25">
      <c r="A971" t="s">
        <v>21</v>
      </c>
      <c r="B971">
        <v>49</v>
      </c>
      <c r="C971">
        <v>0.59</v>
      </c>
      <c r="D971">
        <v>2010</v>
      </c>
      <c r="E971" t="s">
        <v>18</v>
      </c>
      <c r="F971">
        <v>2010091</v>
      </c>
      <c r="G971">
        <v>2010161</v>
      </c>
      <c r="H971">
        <v>2662</v>
      </c>
      <c r="I971">
        <v>274</v>
      </c>
      <c r="J971">
        <v>0</v>
      </c>
      <c r="K971">
        <v>203</v>
      </c>
      <c r="L971">
        <v>392</v>
      </c>
      <c r="M971">
        <v>75</v>
      </c>
      <c r="N971">
        <v>28.297450000000001</v>
      </c>
      <c r="O971">
        <v>11.367010000000001</v>
      </c>
      <c r="P971">
        <v>24.648219999999998</v>
      </c>
      <c r="Q971">
        <v>7407</v>
      </c>
    </row>
    <row r="972" spans="1:17" x14ac:dyDescent="0.25">
      <c r="A972" t="s">
        <v>21</v>
      </c>
      <c r="B972">
        <v>49</v>
      </c>
      <c r="C972">
        <v>0.59</v>
      </c>
      <c r="D972">
        <v>2011</v>
      </c>
      <c r="E972" t="s">
        <v>18</v>
      </c>
      <c r="F972">
        <v>2011091</v>
      </c>
      <c r="G972">
        <v>2011160</v>
      </c>
      <c r="H972">
        <v>3706</v>
      </c>
      <c r="I972">
        <v>406</v>
      </c>
      <c r="J972">
        <v>0</v>
      </c>
      <c r="K972">
        <v>177</v>
      </c>
      <c r="L972">
        <v>278</v>
      </c>
      <c r="M972">
        <v>75</v>
      </c>
      <c r="N972">
        <v>29.28782</v>
      </c>
      <c r="O972">
        <v>11.20406</v>
      </c>
      <c r="P972">
        <v>24.068010000000001</v>
      </c>
      <c r="Q972">
        <v>10959</v>
      </c>
    </row>
    <row r="973" spans="1:17" x14ac:dyDescent="0.25">
      <c r="A973" t="s">
        <v>21</v>
      </c>
      <c r="B973">
        <v>49</v>
      </c>
      <c r="C973">
        <v>0.59</v>
      </c>
      <c r="D973">
        <v>2012</v>
      </c>
      <c r="E973" t="s">
        <v>18</v>
      </c>
      <c r="F973">
        <v>2012091</v>
      </c>
      <c r="G973">
        <v>2012162</v>
      </c>
      <c r="H973">
        <v>1813</v>
      </c>
      <c r="I973">
        <v>455</v>
      </c>
      <c r="J973">
        <v>0</v>
      </c>
      <c r="K973">
        <v>186</v>
      </c>
      <c r="L973">
        <v>91</v>
      </c>
      <c r="M973">
        <v>75</v>
      </c>
      <c r="N973">
        <v>29.948720000000002</v>
      </c>
      <c r="O973">
        <v>11.25381</v>
      </c>
      <c r="P973">
        <v>24.966999999999999</v>
      </c>
      <c r="Q973">
        <v>12291</v>
      </c>
    </row>
    <row r="974" spans="1:17" x14ac:dyDescent="0.25">
      <c r="A974" t="s">
        <v>21</v>
      </c>
      <c r="B974">
        <v>49</v>
      </c>
      <c r="C974">
        <v>0.59</v>
      </c>
      <c r="D974">
        <v>2013</v>
      </c>
      <c r="E974" t="s">
        <v>18</v>
      </c>
      <c r="F974">
        <v>2013091</v>
      </c>
      <c r="G974">
        <v>2013167</v>
      </c>
      <c r="H974">
        <v>3108</v>
      </c>
      <c r="I974">
        <v>223</v>
      </c>
      <c r="J974">
        <v>0</v>
      </c>
      <c r="K974">
        <v>306</v>
      </c>
      <c r="L974">
        <v>341</v>
      </c>
      <c r="M974">
        <v>75</v>
      </c>
      <c r="N974">
        <v>28.153310000000001</v>
      </c>
      <c r="O974">
        <v>10.29391</v>
      </c>
      <c r="P974">
        <v>22.693909999999999</v>
      </c>
      <c r="Q974">
        <v>6019</v>
      </c>
    </row>
    <row r="975" spans="1:17" x14ac:dyDescent="0.25">
      <c r="A975" t="s">
        <v>21</v>
      </c>
      <c r="B975">
        <v>49</v>
      </c>
      <c r="C975">
        <v>0.59</v>
      </c>
      <c r="D975">
        <v>2014</v>
      </c>
      <c r="E975" t="s">
        <v>18</v>
      </c>
      <c r="F975">
        <v>2014091</v>
      </c>
      <c r="G975">
        <v>2014157</v>
      </c>
      <c r="H975">
        <v>2647</v>
      </c>
      <c r="I975">
        <v>455</v>
      </c>
      <c r="J975">
        <v>0</v>
      </c>
      <c r="K975">
        <v>110</v>
      </c>
      <c r="L975">
        <v>215</v>
      </c>
      <c r="M975">
        <v>75</v>
      </c>
      <c r="N975">
        <v>29.123349999999999</v>
      </c>
      <c r="O975">
        <v>11.15178</v>
      </c>
      <c r="P975">
        <v>24.452290000000001</v>
      </c>
      <c r="Q975">
        <v>12296</v>
      </c>
    </row>
    <row r="976" spans="1:17" x14ac:dyDescent="0.25">
      <c r="A976" t="s">
        <v>21</v>
      </c>
      <c r="B976">
        <v>49</v>
      </c>
      <c r="C976">
        <v>0.59</v>
      </c>
      <c r="D976">
        <v>2015</v>
      </c>
      <c r="E976" t="s">
        <v>18</v>
      </c>
      <c r="F976">
        <v>2015091</v>
      </c>
      <c r="G976">
        <v>2015158</v>
      </c>
      <c r="H976">
        <v>840</v>
      </c>
      <c r="I976">
        <v>94</v>
      </c>
      <c r="J976">
        <v>0</v>
      </c>
      <c r="K976">
        <v>90</v>
      </c>
      <c r="L976">
        <v>157</v>
      </c>
      <c r="M976">
        <v>75</v>
      </c>
      <c r="N976">
        <v>29.917259999999999</v>
      </c>
      <c r="O976">
        <v>11.468019999999999</v>
      </c>
      <c r="P976">
        <v>24.227409999999999</v>
      </c>
      <c r="Q976">
        <v>2527</v>
      </c>
    </row>
    <row r="977" spans="1:17" x14ac:dyDescent="0.25">
      <c r="A977" t="s">
        <v>21</v>
      </c>
      <c r="B977">
        <v>49</v>
      </c>
      <c r="C977">
        <v>0.59</v>
      </c>
      <c r="D977">
        <v>2016</v>
      </c>
      <c r="E977" t="s">
        <v>18</v>
      </c>
      <c r="F977">
        <v>2016091</v>
      </c>
      <c r="G977">
        <v>2016162</v>
      </c>
      <c r="H977">
        <v>616</v>
      </c>
      <c r="I977">
        <v>131</v>
      </c>
      <c r="J977">
        <v>0</v>
      </c>
      <c r="K977">
        <v>106</v>
      </c>
      <c r="L977">
        <v>92</v>
      </c>
      <c r="M977">
        <v>75</v>
      </c>
      <c r="N977">
        <v>29.194410000000001</v>
      </c>
      <c r="O977">
        <v>10.76244</v>
      </c>
      <c r="P977">
        <v>23.58426</v>
      </c>
      <c r="Q977">
        <v>3542</v>
      </c>
    </row>
    <row r="978" spans="1:17" x14ac:dyDescent="0.25">
      <c r="A978" t="s">
        <v>21</v>
      </c>
      <c r="B978">
        <v>49</v>
      </c>
      <c r="C978">
        <v>0.59</v>
      </c>
      <c r="D978">
        <v>2017</v>
      </c>
      <c r="E978" t="s">
        <v>18</v>
      </c>
      <c r="F978">
        <v>2017091</v>
      </c>
      <c r="G978">
        <v>2017156</v>
      </c>
      <c r="H978">
        <v>2449</v>
      </c>
      <c r="I978">
        <v>163</v>
      </c>
      <c r="J978">
        <v>0</v>
      </c>
      <c r="K978">
        <v>88</v>
      </c>
      <c r="L978">
        <v>181</v>
      </c>
      <c r="M978">
        <v>75</v>
      </c>
      <c r="N978">
        <v>31.095929999999999</v>
      </c>
      <c r="O978">
        <v>11.28121</v>
      </c>
      <c r="P978">
        <v>23.298469999999998</v>
      </c>
      <c r="Q978">
        <v>4398</v>
      </c>
    </row>
    <row r="979" spans="1:17" x14ac:dyDescent="0.25">
      <c r="A979" t="s">
        <v>21</v>
      </c>
      <c r="B979">
        <v>49</v>
      </c>
      <c r="C979">
        <v>0.59</v>
      </c>
      <c r="D979">
        <v>2018</v>
      </c>
      <c r="E979" t="s">
        <v>18</v>
      </c>
      <c r="F979">
        <v>2018091</v>
      </c>
      <c r="G979">
        <v>2018167</v>
      </c>
      <c r="H979">
        <v>4369</v>
      </c>
      <c r="I979">
        <v>180</v>
      </c>
      <c r="J979">
        <v>0</v>
      </c>
      <c r="K979">
        <v>367</v>
      </c>
      <c r="L979">
        <v>160</v>
      </c>
      <c r="M979">
        <v>75</v>
      </c>
      <c r="N979">
        <v>27.950759999999999</v>
      </c>
      <c r="O979">
        <v>10.80203</v>
      </c>
      <c r="P979">
        <v>22.56193</v>
      </c>
      <c r="Q979">
        <v>4863</v>
      </c>
    </row>
    <row r="980" spans="1:17" x14ac:dyDescent="0.25">
      <c r="A980" t="s">
        <v>21</v>
      </c>
      <c r="B980">
        <v>49</v>
      </c>
      <c r="C980">
        <v>0.59</v>
      </c>
      <c r="D980">
        <v>2019</v>
      </c>
      <c r="E980" t="s">
        <v>18</v>
      </c>
      <c r="F980">
        <v>2019091</v>
      </c>
      <c r="G980">
        <v>2019163</v>
      </c>
      <c r="H980">
        <v>2092</v>
      </c>
      <c r="I980">
        <v>85</v>
      </c>
      <c r="J980">
        <v>0</v>
      </c>
      <c r="K980">
        <v>243</v>
      </c>
      <c r="L980">
        <v>149</v>
      </c>
      <c r="M980">
        <v>75</v>
      </c>
      <c r="N980">
        <v>29.04467</v>
      </c>
      <c r="O980">
        <v>11.404059999999999</v>
      </c>
      <c r="P980">
        <v>23.839600000000001</v>
      </c>
      <c r="Q980">
        <v>2292</v>
      </c>
    </row>
    <row r="981" spans="1:17" x14ac:dyDescent="0.25">
      <c r="A981" t="s">
        <v>21</v>
      </c>
      <c r="B981">
        <v>49</v>
      </c>
      <c r="C981">
        <v>0.59</v>
      </c>
      <c r="D981">
        <v>2020</v>
      </c>
      <c r="E981" t="s">
        <v>18</v>
      </c>
      <c r="F981">
        <v>2020091</v>
      </c>
      <c r="G981">
        <v>2020159</v>
      </c>
      <c r="H981">
        <v>4264</v>
      </c>
      <c r="I981">
        <v>244</v>
      </c>
      <c r="J981">
        <v>0</v>
      </c>
      <c r="K981">
        <v>198</v>
      </c>
      <c r="L981">
        <v>201</v>
      </c>
      <c r="M981">
        <v>75</v>
      </c>
      <c r="N981">
        <v>29.073609999999999</v>
      </c>
      <c r="O981">
        <v>11.309139999999999</v>
      </c>
      <c r="P981">
        <v>24.235530000000001</v>
      </c>
      <c r="Q981">
        <v>6599</v>
      </c>
    </row>
    <row r="982" spans="1:17" x14ac:dyDescent="0.25">
      <c r="A982" t="s">
        <v>21</v>
      </c>
      <c r="B982">
        <v>50</v>
      </c>
      <c r="C982">
        <v>0.67</v>
      </c>
      <c r="D982">
        <v>2001</v>
      </c>
      <c r="E982" t="s">
        <v>17</v>
      </c>
      <c r="F982">
        <v>2001105</v>
      </c>
      <c r="G982">
        <v>2001174</v>
      </c>
      <c r="H982">
        <v>5551</v>
      </c>
      <c r="I982">
        <v>257</v>
      </c>
      <c r="J982">
        <v>0</v>
      </c>
      <c r="K982">
        <v>239</v>
      </c>
      <c r="L982">
        <v>235</v>
      </c>
      <c r="M982">
        <v>125</v>
      </c>
      <c r="N982">
        <v>29.25684</v>
      </c>
      <c r="O982">
        <v>12.30382</v>
      </c>
      <c r="P982">
        <v>24.074870000000001</v>
      </c>
      <c r="Q982">
        <v>7713</v>
      </c>
    </row>
    <row r="983" spans="1:17" x14ac:dyDescent="0.25">
      <c r="A983" t="s">
        <v>21</v>
      </c>
      <c r="B983">
        <v>50</v>
      </c>
      <c r="C983">
        <v>0.67</v>
      </c>
      <c r="D983">
        <v>2002</v>
      </c>
      <c r="E983" t="s">
        <v>17</v>
      </c>
      <c r="F983">
        <v>2002105</v>
      </c>
      <c r="G983">
        <v>2002175</v>
      </c>
      <c r="H983">
        <v>4025</v>
      </c>
      <c r="I983">
        <v>1370</v>
      </c>
      <c r="J983">
        <v>0</v>
      </c>
      <c r="K983">
        <v>198</v>
      </c>
      <c r="L983">
        <v>116</v>
      </c>
      <c r="M983">
        <v>125</v>
      </c>
      <c r="N983">
        <v>28.448080000000001</v>
      </c>
      <c r="O983">
        <v>11.543710000000001</v>
      </c>
      <c r="P983">
        <v>23.359559999999998</v>
      </c>
      <c r="Q983">
        <v>41107</v>
      </c>
    </row>
    <row r="984" spans="1:17" x14ac:dyDescent="0.25">
      <c r="A984" t="s">
        <v>21</v>
      </c>
      <c r="B984">
        <v>50</v>
      </c>
      <c r="C984">
        <v>0.67</v>
      </c>
      <c r="D984">
        <v>2003</v>
      </c>
      <c r="E984" t="s">
        <v>17</v>
      </c>
      <c r="F984">
        <v>2003105</v>
      </c>
      <c r="G984">
        <v>2003172</v>
      </c>
      <c r="H984">
        <v>3050</v>
      </c>
      <c r="I984">
        <v>94</v>
      </c>
      <c r="J984">
        <v>0</v>
      </c>
      <c r="K984">
        <v>161</v>
      </c>
      <c r="L984">
        <v>212</v>
      </c>
      <c r="M984">
        <v>125</v>
      </c>
      <c r="N984">
        <v>30.072140000000001</v>
      </c>
      <c r="O984">
        <v>11.8612</v>
      </c>
      <c r="P984">
        <v>23.498909999999999</v>
      </c>
      <c r="Q984">
        <v>2831</v>
      </c>
    </row>
    <row r="985" spans="1:17" x14ac:dyDescent="0.25">
      <c r="A985" t="s">
        <v>21</v>
      </c>
      <c r="B985">
        <v>50</v>
      </c>
      <c r="C985">
        <v>0.67</v>
      </c>
      <c r="D985">
        <v>2004</v>
      </c>
      <c r="E985" t="s">
        <v>17</v>
      </c>
      <c r="F985">
        <v>2004105</v>
      </c>
      <c r="G985">
        <v>2004179</v>
      </c>
      <c r="H985">
        <v>2706</v>
      </c>
      <c r="I985">
        <v>109</v>
      </c>
      <c r="J985">
        <v>0</v>
      </c>
      <c r="K985">
        <v>239</v>
      </c>
      <c r="L985">
        <v>155</v>
      </c>
      <c r="M985">
        <v>125</v>
      </c>
      <c r="N985">
        <v>28.88251</v>
      </c>
      <c r="O985">
        <v>11.89016</v>
      </c>
      <c r="P985">
        <v>23.470490000000002</v>
      </c>
      <c r="Q985">
        <v>3278</v>
      </c>
    </row>
    <row r="986" spans="1:17" x14ac:dyDescent="0.25">
      <c r="A986" t="s">
        <v>21</v>
      </c>
      <c r="B986">
        <v>50</v>
      </c>
      <c r="C986">
        <v>0.67</v>
      </c>
      <c r="D986">
        <v>2005</v>
      </c>
      <c r="E986" t="s">
        <v>17</v>
      </c>
      <c r="F986">
        <v>2005105</v>
      </c>
      <c r="G986">
        <v>2005168</v>
      </c>
      <c r="H986">
        <v>784</v>
      </c>
      <c r="I986">
        <v>33</v>
      </c>
      <c r="J986">
        <v>0</v>
      </c>
      <c r="K986">
        <v>135</v>
      </c>
      <c r="L986">
        <v>78</v>
      </c>
      <c r="M986">
        <v>125</v>
      </c>
      <c r="N986">
        <v>30.140979999999999</v>
      </c>
      <c r="O986">
        <v>11.84098</v>
      </c>
      <c r="P986">
        <v>25.041519999999998</v>
      </c>
      <c r="Q986">
        <v>997</v>
      </c>
    </row>
    <row r="987" spans="1:17" x14ac:dyDescent="0.25">
      <c r="A987" t="s">
        <v>21</v>
      </c>
      <c r="B987">
        <v>50</v>
      </c>
      <c r="C987">
        <v>0.67</v>
      </c>
      <c r="D987">
        <v>2006</v>
      </c>
      <c r="E987" t="s">
        <v>17</v>
      </c>
      <c r="F987">
        <v>2006105</v>
      </c>
      <c r="G987">
        <v>2006172</v>
      </c>
      <c r="H987">
        <v>2887</v>
      </c>
      <c r="I987">
        <v>330</v>
      </c>
      <c r="J987">
        <v>0</v>
      </c>
      <c r="K987">
        <v>183</v>
      </c>
      <c r="L987">
        <v>140</v>
      </c>
      <c r="M987">
        <v>125</v>
      </c>
      <c r="N987">
        <v>29.814209999999999</v>
      </c>
      <c r="O987">
        <v>12.267760000000001</v>
      </c>
      <c r="P987">
        <v>24.18525</v>
      </c>
      <c r="Q987">
        <v>9893</v>
      </c>
    </row>
    <row r="988" spans="1:17" x14ac:dyDescent="0.25">
      <c r="A988" t="s">
        <v>21</v>
      </c>
      <c r="B988">
        <v>50</v>
      </c>
      <c r="C988">
        <v>0.67</v>
      </c>
      <c r="D988">
        <v>2007</v>
      </c>
      <c r="E988" t="s">
        <v>17</v>
      </c>
      <c r="F988">
        <v>2007105</v>
      </c>
      <c r="G988">
        <v>2007175</v>
      </c>
      <c r="H988">
        <v>1845</v>
      </c>
      <c r="I988">
        <v>35</v>
      </c>
      <c r="J988">
        <v>0</v>
      </c>
      <c r="K988">
        <v>206</v>
      </c>
      <c r="L988">
        <v>141</v>
      </c>
      <c r="M988">
        <v>125</v>
      </c>
      <c r="N988">
        <v>28.408200000000001</v>
      </c>
      <c r="O988">
        <v>11.548629999999999</v>
      </c>
      <c r="P988">
        <v>24.607109999999999</v>
      </c>
      <c r="Q988">
        <v>1045</v>
      </c>
    </row>
    <row r="989" spans="1:17" x14ac:dyDescent="0.25">
      <c r="A989" t="s">
        <v>21</v>
      </c>
      <c r="B989">
        <v>50</v>
      </c>
      <c r="C989">
        <v>0.67</v>
      </c>
      <c r="D989">
        <v>2008</v>
      </c>
      <c r="E989" t="s">
        <v>17</v>
      </c>
      <c r="F989">
        <v>2008105</v>
      </c>
      <c r="G989">
        <v>2008177</v>
      </c>
      <c r="H989">
        <v>1066</v>
      </c>
      <c r="I989">
        <v>49</v>
      </c>
      <c r="J989">
        <v>0</v>
      </c>
      <c r="K989">
        <v>186</v>
      </c>
      <c r="L989">
        <v>65</v>
      </c>
      <c r="M989">
        <v>125</v>
      </c>
      <c r="N989">
        <v>28.307099999999998</v>
      </c>
      <c r="O989">
        <v>11.925129999999999</v>
      </c>
      <c r="P989">
        <v>24.403829999999999</v>
      </c>
      <c r="Q989">
        <v>1475</v>
      </c>
    </row>
    <row r="990" spans="1:17" x14ac:dyDescent="0.25">
      <c r="A990" t="s">
        <v>21</v>
      </c>
      <c r="B990">
        <v>50</v>
      </c>
      <c r="C990">
        <v>0.67</v>
      </c>
      <c r="D990">
        <v>2009</v>
      </c>
      <c r="E990" t="s">
        <v>17</v>
      </c>
      <c r="F990">
        <v>2009105</v>
      </c>
      <c r="G990">
        <v>2009173</v>
      </c>
      <c r="H990">
        <v>2309</v>
      </c>
      <c r="I990">
        <v>36</v>
      </c>
      <c r="J990">
        <v>0</v>
      </c>
      <c r="K990">
        <v>168</v>
      </c>
      <c r="L990">
        <v>198</v>
      </c>
      <c r="M990">
        <v>125</v>
      </c>
      <c r="N990">
        <v>29.742619999999999</v>
      </c>
      <c r="O990">
        <v>11.99672</v>
      </c>
      <c r="P990">
        <v>25.168859999999999</v>
      </c>
      <c r="Q990">
        <v>1068</v>
      </c>
    </row>
    <row r="991" spans="1:17" x14ac:dyDescent="0.25">
      <c r="A991" t="s">
        <v>21</v>
      </c>
      <c r="B991">
        <v>50</v>
      </c>
      <c r="C991">
        <v>0.67</v>
      </c>
      <c r="D991">
        <v>2010</v>
      </c>
      <c r="E991" t="s">
        <v>17</v>
      </c>
      <c r="F991">
        <v>2010105</v>
      </c>
      <c r="G991">
        <v>2010176</v>
      </c>
      <c r="H991">
        <v>3338</v>
      </c>
      <c r="I991">
        <v>106</v>
      </c>
      <c r="J991">
        <v>0</v>
      </c>
      <c r="K991">
        <v>203</v>
      </c>
      <c r="L991">
        <v>392</v>
      </c>
      <c r="M991">
        <v>125</v>
      </c>
      <c r="N991">
        <v>29.072130000000001</v>
      </c>
      <c r="O991">
        <v>11.924049999999999</v>
      </c>
      <c r="P991">
        <v>24.860099999999999</v>
      </c>
      <c r="Q991">
        <v>3169</v>
      </c>
    </row>
    <row r="992" spans="1:17" x14ac:dyDescent="0.25">
      <c r="A992" t="s">
        <v>21</v>
      </c>
      <c r="B992">
        <v>50</v>
      </c>
      <c r="C992">
        <v>0.67</v>
      </c>
      <c r="D992">
        <v>2011</v>
      </c>
      <c r="E992" t="s">
        <v>17</v>
      </c>
      <c r="F992">
        <v>2011105</v>
      </c>
      <c r="G992">
        <v>2011175</v>
      </c>
      <c r="H992">
        <v>4064</v>
      </c>
      <c r="I992">
        <v>465</v>
      </c>
      <c r="J992">
        <v>0</v>
      </c>
      <c r="K992">
        <v>177</v>
      </c>
      <c r="L992">
        <v>278</v>
      </c>
      <c r="M992">
        <v>125</v>
      </c>
      <c r="N992">
        <v>29.567219999999999</v>
      </c>
      <c r="O992">
        <v>11.62021</v>
      </c>
      <c r="P992">
        <v>24.25901</v>
      </c>
      <c r="Q992">
        <v>13964</v>
      </c>
    </row>
    <row r="993" spans="1:17" x14ac:dyDescent="0.25">
      <c r="A993" t="s">
        <v>21</v>
      </c>
      <c r="B993">
        <v>50</v>
      </c>
      <c r="C993">
        <v>0.67</v>
      </c>
      <c r="D993">
        <v>2012</v>
      </c>
      <c r="E993" t="s">
        <v>18</v>
      </c>
      <c r="F993">
        <v>2012105</v>
      </c>
      <c r="G993">
        <v>2012167</v>
      </c>
      <c r="H993">
        <v>1605</v>
      </c>
      <c r="I993">
        <v>246</v>
      </c>
      <c r="J993">
        <v>0</v>
      </c>
      <c r="K993">
        <v>186</v>
      </c>
      <c r="L993">
        <v>91</v>
      </c>
      <c r="M993">
        <v>125</v>
      </c>
      <c r="N993">
        <v>30.82404</v>
      </c>
      <c r="O993">
        <v>11.753</v>
      </c>
      <c r="P993">
        <v>25.34535</v>
      </c>
      <c r="Q993">
        <v>7379</v>
      </c>
    </row>
    <row r="994" spans="1:17" x14ac:dyDescent="0.25">
      <c r="A994" t="s">
        <v>21</v>
      </c>
      <c r="B994">
        <v>50</v>
      </c>
      <c r="C994">
        <v>0.67</v>
      </c>
      <c r="D994">
        <v>2013</v>
      </c>
      <c r="E994" t="s">
        <v>18</v>
      </c>
      <c r="F994">
        <v>2013105</v>
      </c>
      <c r="G994">
        <v>2013172</v>
      </c>
      <c r="H994">
        <v>3474</v>
      </c>
      <c r="I994">
        <v>231</v>
      </c>
      <c r="J994">
        <v>0</v>
      </c>
      <c r="K994">
        <v>306</v>
      </c>
      <c r="L994">
        <v>341</v>
      </c>
      <c r="M994">
        <v>125</v>
      </c>
      <c r="N994">
        <v>28.89564</v>
      </c>
      <c r="O994">
        <v>10.758470000000001</v>
      </c>
      <c r="P994">
        <v>23.085789999999999</v>
      </c>
      <c r="Q994">
        <v>6920</v>
      </c>
    </row>
    <row r="995" spans="1:17" x14ac:dyDescent="0.25">
      <c r="A995" t="s">
        <v>21</v>
      </c>
      <c r="B995">
        <v>50</v>
      </c>
      <c r="C995">
        <v>0.67</v>
      </c>
      <c r="D995">
        <v>2014</v>
      </c>
      <c r="E995" t="s">
        <v>18</v>
      </c>
      <c r="F995">
        <v>2014105</v>
      </c>
      <c r="G995">
        <v>2014165</v>
      </c>
      <c r="H995">
        <v>2998</v>
      </c>
      <c r="I995">
        <v>214</v>
      </c>
      <c r="J995">
        <v>0</v>
      </c>
      <c r="K995">
        <v>110</v>
      </c>
      <c r="L995">
        <v>215</v>
      </c>
      <c r="M995">
        <v>125</v>
      </c>
      <c r="N995">
        <v>29.60492</v>
      </c>
      <c r="O995">
        <v>11.53661</v>
      </c>
      <c r="P995">
        <v>24.809840000000001</v>
      </c>
      <c r="Q995">
        <v>6419</v>
      </c>
    </row>
    <row r="996" spans="1:17" x14ac:dyDescent="0.25">
      <c r="A996" t="s">
        <v>21</v>
      </c>
      <c r="B996">
        <v>50</v>
      </c>
      <c r="C996">
        <v>0.67</v>
      </c>
      <c r="D996">
        <v>2015</v>
      </c>
      <c r="E996" t="s">
        <v>18</v>
      </c>
      <c r="F996">
        <v>2015105</v>
      </c>
      <c r="G996">
        <v>2015164</v>
      </c>
      <c r="H996">
        <v>802</v>
      </c>
      <c r="I996">
        <v>130</v>
      </c>
      <c r="J996">
        <v>0</v>
      </c>
      <c r="K996">
        <v>90</v>
      </c>
      <c r="L996">
        <v>157</v>
      </c>
      <c r="M996">
        <v>125</v>
      </c>
      <c r="N996">
        <v>30.671589999999998</v>
      </c>
      <c r="O996">
        <v>11.95683</v>
      </c>
      <c r="P996">
        <v>24.689620000000001</v>
      </c>
      <c r="Q996">
        <v>3914</v>
      </c>
    </row>
    <row r="997" spans="1:17" x14ac:dyDescent="0.25">
      <c r="A997" t="s">
        <v>21</v>
      </c>
      <c r="B997">
        <v>50</v>
      </c>
      <c r="C997">
        <v>0.67</v>
      </c>
      <c r="D997">
        <v>2016</v>
      </c>
      <c r="E997" t="s">
        <v>18</v>
      </c>
      <c r="F997">
        <v>2016105</v>
      </c>
      <c r="G997">
        <v>2016170</v>
      </c>
      <c r="H997">
        <v>543</v>
      </c>
      <c r="I997">
        <v>194</v>
      </c>
      <c r="J997">
        <v>0</v>
      </c>
      <c r="K997">
        <v>106</v>
      </c>
      <c r="L997">
        <v>92</v>
      </c>
      <c r="M997">
        <v>125</v>
      </c>
      <c r="N997">
        <v>30.113109999999999</v>
      </c>
      <c r="O997">
        <v>11.324590000000001</v>
      </c>
      <c r="P997">
        <v>23.930060000000001</v>
      </c>
      <c r="Q997">
        <v>5821</v>
      </c>
    </row>
    <row r="998" spans="1:17" x14ac:dyDescent="0.25">
      <c r="A998" t="s">
        <v>21</v>
      </c>
      <c r="B998">
        <v>50</v>
      </c>
      <c r="C998">
        <v>0.67</v>
      </c>
      <c r="D998">
        <v>2017</v>
      </c>
      <c r="E998" t="s">
        <v>18</v>
      </c>
      <c r="F998">
        <v>2017105</v>
      </c>
      <c r="G998">
        <v>2017163</v>
      </c>
      <c r="H998">
        <v>2788</v>
      </c>
      <c r="I998">
        <v>175</v>
      </c>
      <c r="J998">
        <v>0</v>
      </c>
      <c r="K998">
        <v>88</v>
      </c>
      <c r="L998">
        <v>181</v>
      </c>
      <c r="M998">
        <v>125</v>
      </c>
      <c r="N998">
        <v>31.70327</v>
      </c>
      <c r="O998">
        <v>11.968299999999999</v>
      </c>
      <c r="P998">
        <v>23.241520000000001</v>
      </c>
      <c r="Q998">
        <v>5242</v>
      </c>
    </row>
    <row r="999" spans="1:17" x14ac:dyDescent="0.25">
      <c r="A999" t="s">
        <v>21</v>
      </c>
      <c r="B999">
        <v>50</v>
      </c>
      <c r="C999">
        <v>0.67</v>
      </c>
      <c r="D999">
        <v>2018</v>
      </c>
      <c r="E999" t="s">
        <v>18</v>
      </c>
      <c r="F999">
        <v>2018105</v>
      </c>
      <c r="G999">
        <v>2018171</v>
      </c>
      <c r="H999">
        <v>4221</v>
      </c>
      <c r="I999">
        <v>221</v>
      </c>
      <c r="J999">
        <v>0</v>
      </c>
      <c r="K999">
        <v>367</v>
      </c>
      <c r="L999">
        <v>160</v>
      </c>
      <c r="M999">
        <v>125</v>
      </c>
      <c r="N999">
        <v>28.80219</v>
      </c>
      <c r="O999">
        <v>11.28688</v>
      </c>
      <c r="P999">
        <v>22.97869</v>
      </c>
      <c r="Q999">
        <v>6622</v>
      </c>
    </row>
    <row r="1000" spans="1:17" x14ac:dyDescent="0.25">
      <c r="A1000" t="s">
        <v>21</v>
      </c>
      <c r="B1000">
        <v>50</v>
      </c>
      <c r="C1000">
        <v>0.67</v>
      </c>
      <c r="D1000">
        <v>2019</v>
      </c>
      <c r="E1000" t="s">
        <v>18</v>
      </c>
      <c r="F1000">
        <v>2019105</v>
      </c>
      <c r="G1000">
        <v>2019167</v>
      </c>
      <c r="H1000">
        <v>2314</v>
      </c>
      <c r="I1000">
        <v>154</v>
      </c>
      <c r="J1000">
        <v>0</v>
      </c>
      <c r="K1000">
        <v>243</v>
      </c>
      <c r="L1000">
        <v>149</v>
      </c>
      <c r="M1000">
        <v>125</v>
      </c>
      <c r="N1000">
        <v>29.96612</v>
      </c>
      <c r="O1000">
        <v>12.017480000000001</v>
      </c>
      <c r="P1000">
        <v>24.172689999999999</v>
      </c>
      <c r="Q1000">
        <v>4606</v>
      </c>
    </row>
    <row r="1001" spans="1:17" x14ac:dyDescent="0.25">
      <c r="A1001" t="s">
        <v>21</v>
      </c>
      <c r="B1001">
        <v>50</v>
      </c>
      <c r="C1001">
        <v>0.67</v>
      </c>
      <c r="D1001">
        <v>2020</v>
      </c>
      <c r="E1001" t="s">
        <v>18</v>
      </c>
      <c r="F1001">
        <v>2020105</v>
      </c>
      <c r="G1001">
        <v>2020165</v>
      </c>
      <c r="H1001">
        <v>4088</v>
      </c>
      <c r="I1001">
        <v>285</v>
      </c>
      <c r="J1001">
        <v>0</v>
      </c>
      <c r="K1001">
        <v>198</v>
      </c>
      <c r="L1001">
        <v>201</v>
      </c>
      <c r="M1001">
        <v>125</v>
      </c>
      <c r="N1001">
        <v>29.900549999999999</v>
      </c>
      <c r="O1001">
        <v>11.66667</v>
      </c>
      <c r="P1001">
        <v>24.695620000000002</v>
      </c>
      <c r="Q1001">
        <v>8557</v>
      </c>
    </row>
    <row r="1002" spans="1:17" x14ac:dyDescent="0.25">
      <c r="A1002" t="s">
        <v>22</v>
      </c>
      <c r="B1002">
        <v>51</v>
      </c>
      <c r="C1002">
        <v>0.74</v>
      </c>
      <c r="D1002">
        <v>2001</v>
      </c>
      <c r="E1002" t="s">
        <v>17</v>
      </c>
      <c r="F1002">
        <v>2001075</v>
      </c>
      <c r="G1002">
        <v>2001148</v>
      </c>
      <c r="H1002">
        <v>6439</v>
      </c>
      <c r="I1002">
        <v>1939</v>
      </c>
      <c r="J1002">
        <v>50</v>
      </c>
      <c r="K1002">
        <v>259</v>
      </c>
      <c r="L1002">
        <v>235</v>
      </c>
      <c r="M1002">
        <v>25</v>
      </c>
      <c r="N1002">
        <v>26.192959999999999</v>
      </c>
      <c r="O1002">
        <v>15.4277</v>
      </c>
      <c r="P1002">
        <v>20.232859999999999</v>
      </c>
      <c r="Q1002">
        <v>48472</v>
      </c>
    </row>
    <row r="1003" spans="1:17" x14ac:dyDescent="0.25">
      <c r="A1003" t="s">
        <v>22</v>
      </c>
      <c r="B1003">
        <v>51</v>
      </c>
      <c r="C1003">
        <v>0.74</v>
      </c>
      <c r="D1003">
        <v>2002</v>
      </c>
      <c r="E1003" t="s">
        <v>17</v>
      </c>
      <c r="F1003">
        <v>2002075</v>
      </c>
      <c r="G1003">
        <v>2002155</v>
      </c>
      <c r="H1003">
        <v>7157</v>
      </c>
      <c r="I1003">
        <v>2109</v>
      </c>
      <c r="J1003">
        <v>50</v>
      </c>
      <c r="K1003">
        <v>363</v>
      </c>
      <c r="L1003">
        <v>179</v>
      </c>
      <c r="M1003">
        <v>25</v>
      </c>
      <c r="N1003">
        <v>25.02206</v>
      </c>
      <c r="O1003">
        <v>14.641299999999999</v>
      </c>
      <c r="P1003">
        <v>19.64883</v>
      </c>
      <c r="Q1003">
        <v>52714</v>
      </c>
    </row>
    <row r="1004" spans="1:17" x14ac:dyDescent="0.25">
      <c r="A1004" t="s">
        <v>22</v>
      </c>
      <c r="B1004">
        <v>51</v>
      </c>
      <c r="C1004">
        <v>0.74</v>
      </c>
      <c r="D1004">
        <v>2003</v>
      </c>
      <c r="E1004" t="s">
        <v>17</v>
      </c>
      <c r="F1004">
        <v>2003075</v>
      </c>
      <c r="G1004">
        <v>2003154</v>
      </c>
      <c r="H1004">
        <v>5885</v>
      </c>
      <c r="I1004">
        <v>1623</v>
      </c>
      <c r="J1004">
        <v>50</v>
      </c>
      <c r="K1004">
        <v>510</v>
      </c>
      <c r="L1004">
        <v>72</v>
      </c>
      <c r="M1004">
        <v>25</v>
      </c>
      <c r="N1004">
        <v>26.204219999999999</v>
      </c>
      <c r="O1004">
        <v>15.82253</v>
      </c>
      <c r="P1004">
        <v>20.783100000000001</v>
      </c>
      <c r="Q1004">
        <v>40575</v>
      </c>
    </row>
    <row r="1005" spans="1:17" x14ac:dyDescent="0.25">
      <c r="A1005" t="s">
        <v>22</v>
      </c>
      <c r="B1005">
        <v>51</v>
      </c>
      <c r="C1005">
        <v>0.74</v>
      </c>
      <c r="D1005">
        <v>2004</v>
      </c>
      <c r="E1005" t="s">
        <v>17</v>
      </c>
      <c r="F1005">
        <v>2004075</v>
      </c>
      <c r="G1005">
        <v>2004158</v>
      </c>
      <c r="H1005">
        <v>6007</v>
      </c>
      <c r="I1005">
        <v>1860</v>
      </c>
      <c r="J1005">
        <v>50</v>
      </c>
      <c r="K1005">
        <v>454</v>
      </c>
      <c r="L1005">
        <v>103</v>
      </c>
      <c r="M1005">
        <v>25</v>
      </c>
      <c r="N1005">
        <v>25.152570000000001</v>
      </c>
      <c r="O1005">
        <v>14.92958</v>
      </c>
      <c r="P1005">
        <v>19.559149999999999</v>
      </c>
      <c r="Q1005">
        <v>46510</v>
      </c>
    </row>
    <row r="1006" spans="1:17" x14ac:dyDescent="0.25">
      <c r="A1006" t="s">
        <v>22</v>
      </c>
      <c r="B1006">
        <v>51</v>
      </c>
      <c r="C1006">
        <v>0.74</v>
      </c>
      <c r="D1006">
        <v>2005</v>
      </c>
      <c r="E1006" t="s">
        <v>17</v>
      </c>
      <c r="F1006">
        <v>2005075</v>
      </c>
      <c r="G1006">
        <v>2005151</v>
      </c>
      <c r="H1006">
        <v>4067</v>
      </c>
      <c r="I1006">
        <v>418</v>
      </c>
      <c r="J1006">
        <v>50</v>
      </c>
      <c r="K1006">
        <v>164</v>
      </c>
      <c r="L1006">
        <v>123</v>
      </c>
      <c r="M1006">
        <v>25</v>
      </c>
      <c r="N1006">
        <v>25.533809999999999</v>
      </c>
      <c r="O1006">
        <v>15.030989999999999</v>
      </c>
      <c r="P1006">
        <v>20.18169</v>
      </c>
      <c r="Q1006">
        <v>10444</v>
      </c>
    </row>
    <row r="1007" spans="1:17" x14ac:dyDescent="0.25">
      <c r="A1007" t="s">
        <v>22</v>
      </c>
      <c r="B1007">
        <v>51</v>
      </c>
      <c r="C1007">
        <v>0.74</v>
      </c>
      <c r="D1007">
        <v>2006</v>
      </c>
      <c r="E1007" t="s">
        <v>17</v>
      </c>
      <c r="F1007">
        <v>2006075</v>
      </c>
      <c r="G1007">
        <v>2006148</v>
      </c>
      <c r="H1007">
        <v>6737</v>
      </c>
      <c r="I1007">
        <v>2155</v>
      </c>
      <c r="J1007">
        <v>50</v>
      </c>
      <c r="K1007">
        <v>240</v>
      </c>
      <c r="L1007">
        <v>396</v>
      </c>
      <c r="M1007">
        <v>25</v>
      </c>
      <c r="N1007">
        <v>26.137080000000001</v>
      </c>
      <c r="O1007">
        <v>15.48826</v>
      </c>
      <c r="P1007">
        <v>20.66761</v>
      </c>
      <c r="Q1007">
        <v>53866</v>
      </c>
    </row>
    <row r="1008" spans="1:17" x14ac:dyDescent="0.25">
      <c r="A1008" t="s">
        <v>22</v>
      </c>
      <c r="B1008">
        <v>51</v>
      </c>
      <c r="C1008">
        <v>0.74</v>
      </c>
      <c r="D1008">
        <v>2007</v>
      </c>
      <c r="E1008" t="s">
        <v>17</v>
      </c>
      <c r="F1008">
        <v>2007075</v>
      </c>
      <c r="G1008">
        <v>2007152</v>
      </c>
      <c r="H1008">
        <v>6445</v>
      </c>
      <c r="I1008">
        <v>1924</v>
      </c>
      <c r="J1008">
        <v>50</v>
      </c>
      <c r="K1008">
        <v>382</v>
      </c>
      <c r="L1008">
        <v>163</v>
      </c>
      <c r="M1008">
        <v>25</v>
      </c>
      <c r="N1008">
        <v>25.3507</v>
      </c>
      <c r="O1008">
        <v>14.815020000000001</v>
      </c>
      <c r="P1008">
        <v>21.18075</v>
      </c>
      <c r="Q1008">
        <v>48091</v>
      </c>
    </row>
    <row r="1009" spans="1:17" x14ac:dyDescent="0.25">
      <c r="A1009" t="s">
        <v>22</v>
      </c>
      <c r="B1009">
        <v>51</v>
      </c>
      <c r="C1009">
        <v>0.74</v>
      </c>
      <c r="D1009">
        <v>2008</v>
      </c>
      <c r="E1009" t="s">
        <v>17</v>
      </c>
      <c r="F1009">
        <v>2008075</v>
      </c>
      <c r="G1009">
        <v>2008155</v>
      </c>
      <c r="H1009">
        <v>7753</v>
      </c>
      <c r="I1009">
        <v>2726</v>
      </c>
      <c r="J1009">
        <v>50</v>
      </c>
      <c r="K1009">
        <v>301</v>
      </c>
      <c r="L1009">
        <v>309</v>
      </c>
      <c r="M1009">
        <v>25</v>
      </c>
      <c r="N1009">
        <v>25.16855</v>
      </c>
      <c r="O1009">
        <v>14.024419999999999</v>
      </c>
      <c r="P1009">
        <v>20.277940000000001</v>
      </c>
      <c r="Q1009">
        <v>68150</v>
      </c>
    </row>
    <row r="1010" spans="1:17" x14ac:dyDescent="0.25">
      <c r="A1010" t="s">
        <v>22</v>
      </c>
      <c r="B1010">
        <v>51</v>
      </c>
      <c r="C1010">
        <v>0.74</v>
      </c>
      <c r="D1010">
        <v>2009</v>
      </c>
      <c r="E1010" t="s">
        <v>17</v>
      </c>
      <c r="F1010">
        <v>2009075</v>
      </c>
      <c r="G1010">
        <v>2009153</v>
      </c>
      <c r="H1010">
        <v>6472</v>
      </c>
      <c r="I1010">
        <v>1566</v>
      </c>
      <c r="J1010">
        <v>50</v>
      </c>
      <c r="K1010">
        <v>425</v>
      </c>
      <c r="L1010">
        <v>200</v>
      </c>
      <c r="M1010">
        <v>25</v>
      </c>
      <c r="N1010">
        <v>26.104220000000002</v>
      </c>
      <c r="O1010">
        <v>15.06667</v>
      </c>
      <c r="P1010">
        <v>21.802820000000001</v>
      </c>
      <c r="Q1010">
        <v>39160</v>
      </c>
    </row>
    <row r="1011" spans="1:17" x14ac:dyDescent="0.25">
      <c r="A1011" t="s">
        <v>22</v>
      </c>
      <c r="B1011">
        <v>51</v>
      </c>
      <c r="C1011">
        <v>0.74</v>
      </c>
      <c r="D1011">
        <v>2010</v>
      </c>
      <c r="E1011" t="s">
        <v>18</v>
      </c>
      <c r="F1011">
        <v>2010075</v>
      </c>
      <c r="G1011">
        <v>2010150</v>
      </c>
      <c r="H1011">
        <v>7139</v>
      </c>
      <c r="I1011">
        <v>3049</v>
      </c>
      <c r="J1011">
        <v>50</v>
      </c>
      <c r="K1011">
        <v>275</v>
      </c>
      <c r="L1011">
        <v>162</v>
      </c>
      <c r="M1011">
        <v>25</v>
      </c>
      <c r="N1011">
        <v>25.68544</v>
      </c>
      <c r="O1011">
        <v>14.51173</v>
      </c>
      <c r="P1011">
        <v>20.17417</v>
      </c>
      <c r="Q1011">
        <v>76226</v>
      </c>
    </row>
    <row r="1012" spans="1:17" x14ac:dyDescent="0.25">
      <c r="A1012" t="s">
        <v>22</v>
      </c>
      <c r="B1012">
        <v>51</v>
      </c>
      <c r="C1012">
        <v>0.74</v>
      </c>
      <c r="D1012">
        <v>2011</v>
      </c>
      <c r="E1012" t="s">
        <v>18</v>
      </c>
      <c r="F1012">
        <v>2011075</v>
      </c>
      <c r="G1012">
        <v>2011141</v>
      </c>
      <c r="H1012">
        <v>5094</v>
      </c>
      <c r="I1012">
        <v>2053</v>
      </c>
      <c r="J1012">
        <v>50</v>
      </c>
      <c r="K1012">
        <v>245</v>
      </c>
      <c r="L1012">
        <v>47</v>
      </c>
      <c r="M1012">
        <v>25</v>
      </c>
      <c r="N1012">
        <v>26.575579999999999</v>
      </c>
      <c r="O1012">
        <v>15.536619999999999</v>
      </c>
      <c r="P1012">
        <v>20.044139999999999</v>
      </c>
      <c r="Q1012">
        <v>51333</v>
      </c>
    </row>
    <row r="1013" spans="1:17" x14ac:dyDescent="0.25">
      <c r="A1013" t="s">
        <v>22</v>
      </c>
      <c r="B1013">
        <v>51</v>
      </c>
      <c r="C1013">
        <v>0.74</v>
      </c>
      <c r="D1013">
        <v>2012</v>
      </c>
      <c r="E1013" t="s">
        <v>18</v>
      </c>
      <c r="F1013">
        <v>2012075</v>
      </c>
      <c r="G1013">
        <v>2012147</v>
      </c>
      <c r="H1013">
        <v>6677</v>
      </c>
      <c r="I1013">
        <v>2560</v>
      </c>
      <c r="J1013">
        <v>50</v>
      </c>
      <c r="K1013">
        <v>144</v>
      </c>
      <c r="L1013">
        <v>277</v>
      </c>
      <c r="M1013">
        <v>25</v>
      </c>
      <c r="N1013">
        <v>26.712679999999999</v>
      </c>
      <c r="O1013">
        <v>14.931929999999999</v>
      </c>
      <c r="P1013">
        <v>19.115020000000001</v>
      </c>
      <c r="Q1013">
        <v>64006</v>
      </c>
    </row>
    <row r="1014" spans="1:17" x14ac:dyDescent="0.25">
      <c r="A1014" t="s">
        <v>22</v>
      </c>
      <c r="B1014">
        <v>51</v>
      </c>
      <c r="C1014">
        <v>0.74</v>
      </c>
      <c r="D1014">
        <v>2013</v>
      </c>
      <c r="E1014" t="s">
        <v>18</v>
      </c>
      <c r="F1014">
        <v>2013075</v>
      </c>
      <c r="G1014">
        <v>2013148</v>
      </c>
      <c r="H1014">
        <v>6877</v>
      </c>
      <c r="I1014">
        <v>2764</v>
      </c>
      <c r="J1014">
        <v>50</v>
      </c>
      <c r="K1014">
        <v>328</v>
      </c>
      <c r="L1014">
        <v>119</v>
      </c>
      <c r="M1014">
        <v>25</v>
      </c>
      <c r="N1014">
        <v>25.902819999999998</v>
      </c>
      <c r="O1014">
        <v>14.50892</v>
      </c>
      <c r="P1014">
        <v>20.789200000000001</v>
      </c>
      <c r="Q1014">
        <v>69092</v>
      </c>
    </row>
    <row r="1015" spans="1:17" x14ac:dyDescent="0.25">
      <c r="A1015" t="s">
        <v>22</v>
      </c>
      <c r="B1015">
        <v>51</v>
      </c>
      <c r="C1015">
        <v>0.74</v>
      </c>
      <c r="D1015">
        <v>2014</v>
      </c>
      <c r="E1015" t="s">
        <v>18</v>
      </c>
      <c r="F1015">
        <v>2014075</v>
      </c>
      <c r="G1015">
        <v>2014148</v>
      </c>
      <c r="H1015">
        <v>3131</v>
      </c>
      <c r="I1015">
        <v>1357</v>
      </c>
      <c r="J1015">
        <v>50</v>
      </c>
      <c r="K1015">
        <v>208</v>
      </c>
      <c r="L1015">
        <v>48</v>
      </c>
      <c r="M1015">
        <v>25</v>
      </c>
      <c r="N1015">
        <v>26.17558</v>
      </c>
      <c r="O1015">
        <v>15.128170000000001</v>
      </c>
      <c r="P1015">
        <v>21.437080000000002</v>
      </c>
      <c r="Q1015">
        <v>33927</v>
      </c>
    </row>
    <row r="1016" spans="1:17" x14ac:dyDescent="0.25">
      <c r="A1016" t="s">
        <v>22</v>
      </c>
      <c r="B1016">
        <v>51</v>
      </c>
      <c r="C1016">
        <v>0.74</v>
      </c>
      <c r="D1016">
        <v>2015</v>
      </c>
      <c r="E1016" t="s">
        <v>18</v>
      </c>
      <c r="F1016">
        <v>2015075</v>
      </c>
      <c r="G1016">
        <v>2015146</v>
      </c>
      <c r="H1016">
        <v>6764</v>
      </c>
      <c r="I1016">
        <v>2491</v>
      </c>
      <c r="J1016">
        <v>50</v>
      </c>
      <c r="K1016">
        <v>517</v>
      </c>
      <c r="L1016">
        <v>167</v>
      </c>
      <c r="M1016">
        <v>25</v>
      </c>
      <c r="N1016">
        <v>26.67136</v>
      </c>
      <c r="O1016">
        <v>15.122540000000001</v>
      </c>
      <c r="P1016">
        <v>21.076989999999999</v>
      </c>
      <c r="Q1016">
        <v>62265</v>
      </c>
    </row>
    <row r="1017" spans="1:17" x14ac:dyDescent="0.25">
      <c r="A1017" t="s">
        <v>22</v>
      </c>
      <c r="B1017">
        <v>51</v>
      </c>
      <c r="C1017">
        <v>0.74</v>
      </c>
      <c r="D1017">
        <v>2016</v>
      </c>
      <c r="E1017" t="s">
        <v>18</v>
      </c>
      <c r="F1017">
        <v>2016075</v>
      </c>
      <c r="G1017">
        <v>2016147</v>
      </c>
      <c r="H1017">
        <v>6862</v>
      </c>
      <c r="I1017">
        <v>2005</v>
      </c>
      <c r="J1017">
        <v>50</v>
      </c>
      <c r="K1017">
        <v>172</v>
      </c>
      <c r="L1017">
        <v>94</v>
      </c>
      <c r="M1017">
        <v>25</v>
      </c>
      <c r="N1017">
        <v>26.4831</v>
      </c>
      <c r="O1017">
        <v>14.891080000000001</v>
      </c>
      <c r="P1017">
        <v>21.092009999999998</v>
      </c>
      <c r="Q1017">
        <v>50133</v>
      </c>
    </row>
    <row r="1018" spans="1:17" x14ac:dyDescent="0.25">
      <c r="A1018" t="s">
        <v>22</v>
      </c>
      <c r="B1018">
        <v>51</v>
      </c>
      <c r="C1018">
        <v>0.74</v>
      </c>
      <c r="D1018">
        <v>2017</v>
      </c>
      <c r="E1018" t="s">
        <v>18</v>
      </c>
      <c r="F1018">
        <v>2017075</v>
      </c>
      <c r="G1018">
        <v>2017144</v>
      </c>
      <c r="H1018">
        <v>6168</v>
      </c>
      <c r="I1018">
        <v>2588</v>
      </c>
      <c r="J1018">
        <v>50</v>
      </c>
      <c r="K1018">
        <v>128</v>
      </c>
      <c r="L1018">
        <v>416</v>
      </c>
      <c r="M1018">
        <v>25</v>
      </c>
      <c r="N1018">
        <v>27.065259999999999</v>
      </c>
      <c r="O1018">
        <v>14.944129999999999</v>
      </c>
      <c r="P1018">
        <v>20.8338</v>
      </c>
      <c r="Q1018">
        <v>64689</v>
      </c>
    </row>
    <row r="1019" spans="1:17" x14ac:dyDescent="0.25">
      <c r="A1019" t="s">
        <v>22</v>
      </c>
      <c r="B1019">
        <v>51</v>
      </c>
      <c r="C1019">
        <v>0.74</v>
      </c>
      <c r="D1019">
        <v>2018</v>
      </c>
      <c r="E1019" t="s">
        <v>18</v>
      </c>
      <c r="F1019">
        <v>2018075</v>
      </c>
      <c r="G1019">
        <v>2018147</v>
      </c>
      <c r="H1019">
        <v>4367</v>
      </c>
      <c r="I1019">
        <v>2081</v>
      </c>
      <c r="J1019">
        <v>50</v>
      </c>
      <c r="K1019">
        <v>328</v>
      </c>
      <c r="L1019">
        <v>76</v>
      </c>
      <c r="M1019">
        <v>25</v>
      </c>
      <c r="N1019">
        <v>26.701889999999999</v>
      </c>
      <c r="O1019">
        <v>15.35164</v>
      </c>
      <c r="P1019">
        <v>20.764779999999998</v>
      </c>
      <c r="Q1019">
        <v>52029</v>
      </c>
    </row>
    <row r="1020" spans="1:17" x14ac:dyDescent="0.25">
      <c r="A1020" t="s">
        <v>22</v>
      </c>
      <c r="B1020">
        <v>51</v>
      </c>
      <c r="C1020">
        <v>0.74</v>
      </c>
      <c r="D1020">
        <v>2019</v>
      </c>
      <c r="E1020" t="s">
        <v>18</v>
      </c>
      <c r="F1020">
        <v>2019075</v>
      </c>
      <c r="G1020">
        <v>2019154</v>
      </c>
      <c r="H1020">
        <v>7404</v>
      </c>
      <c r="I1020">
        <v>2698</v>
      </c>
      <c r="J1020">
        <v>50</v>
      </c>
      <c r="K1020">
        <v>180</v>
      </c>
      <c r="L1020">
        <v>228</v>
      </c>
      <c r="M1020">
        <v>25</v>
      </c>
      <c r="N1020">
        <v>26.593889999999998</v>
      </c>
      <c r="O1020">
        <v>14.99155</v>
      </c>
      <c r="P1020">
        <v>21.042719999999999</v>
      </c>
      <c r="Q1020">
        <v>67442</v>
      </c>
    </row>
    <row r="1021" spans="1:17" x14ac:dyDescent="0.25">
      <c r="A1021" t="s">
        <v>22</v>
      </c>
      <c r="B1021">
        <v>51</v>
      </c>
      <c r="C1021">
        <v>0.74</v>
      </c>
      <c r="D1021">
        <v>2020</v>
      </c>
      <c r="E1021" t="s">
        <v>18</v>
      </c>
      <c r="F1021">
        <v>2020075</v>
      </c>
      <c r="G1021">
        <v>2020144</v>
      </c>
      <c r="H1021">
        <v>5160</v>
      </c>
      <c r="I1021">
        <v>2361</v>
      </c>
      <c r="J1021">
        <v>50</v>
      </c>
      <c r="K1021">
        <v>318</v>
      </c>
      <c r="L1021">
        <v>223</v>
      </c>
      <c r="M1021">
        <v>25</v>
      </c>
      <c r="N1021">
        <v>26.579339999999998</v>
      </c>
      <c r="O1021">
        <v>15.15305</v>
      </c>
      <c r="P1021">
        <v>19.32348</v>
      </c>
      <c r="Q1021">
        <v>59018</v>
      </c>
    </row>
    <row r="1022" spans="1:17" x14ac:dyDescent="0.25">
      <c r="A1022" t="s">
        <v>22</v>
      </c>
      <c r="B1022">
        <v>52</v>
      </c>
      <c r="C1022">
        <v>0.72</v>
      </c>
      <c r="D1022">
        <v>2001</v>
      </c>
      <c r="E1022" t="s">
        <v>17</v>
      </c>
      <c r="F1022">
        <v>2001091</v>
      </c>
      <c r="G1022">
        <v>2001159</v>
      </c>
      <c r="H1022">
        <v>8530</v>
      </c>
      <c r="I1022">
        <v>2053</v>
      </c>
      <c r="J1022">
        <v>50</v>
      </c>
      <c r="K1022">
        <v>259</v>
      </c>
      <c r="L1022">
        <v>235</v>
      </c>
      <c r="M1022">
        <v>75</v>
      </c>
      <c r="N1022">
        <v>26.408629999999999</v>
      </c>
      <c r="O1022">
        <v>15.918279999999999</v>
      </c>
      <c r="P1022">
        <v>20.468019999999999</v>
      </c>
      <c r="Q1022">
        <v>41069</v>
      </c>
    </row>
    <row r="1023" spans="1:17" x14ac:dyDescent="0.25">
      <c r="A1023" t="s">
        <v>22</v>
      </c>
      <c r="B1023">
        <v>52</v>
      </c>
      <c r="C1023">
        <v>0.72</v>
      </c>
      <c r="D1023">
        <v>2002</v>
      </c>
      <c r="E1023" t="s">
        <v>17</v>
      </c>
      <c r="F1023">
        <v>2002091</v>
      </c>
      <c r="G1023">
        <v>2002162</v>
      </c>
      <c r="H1023">
        <v>7938</v>
      </c>
      <c r="I1023">
        <v>2132</v>
      </c>
      <c r="J1023">
        <v>50</v>
      </c>
      <c r="K1023">
        <v>363</v>
      </c>
      <c r="L1023">
        <v>179</v>
      </c>
      <c r="M1023">
        <v>75</v>
      </c>
      <c r="N1023">
        <v>25.41929</v>
      </c>
      <c r="O1023">
        <v>15.13603</v>
      </c>
      <c r="P1023">
        <v>19.985790000000001</v>
      </c>
      <c r="Q1023">
        <v>42642</v>
      </c>
    </row>
    <row r="1024" spans="1:17" x14ac:dyDescent="0.25">
      <c r="A1024" t="s">
        <v>22</v>
      </c>
      <c r="B1024">
        <v>52</v>
      </c>
      <c r="C1024">
        <v>0.72</v>
      </c>
      <c r="D1024">
        <v>2003</v>
      </c>
      <c r="E1024" t="s">
        <v>17</v>
      </c>
      <c r="F1024">
        <v>2003091</v>
      </c>
      <c r="G1024">
        <v>2003160</v>
      </c>
      <c r="H1024">
        <v>7528</v>
      </c>
      <c r="I1024">
        <v>2053</v>
      </c>
      <c r="J1024">
        <v>50</v>
      </c>
      <c r="K1024">
        <v>510</v>
      </c>
      <c r="L1024">
        <v>72</v>
      </c>
      <c r="M1024">
        <v>75</v>
      </c>
      <c r="N1024">
        <v>26.93451</v>
      </c>
      <c r="O1024">
        <v>16.563960000000002</v>
      </c>
      <c r="P1024">
        <v>21.28173</v>
      </c>
      <c r="Q1024">
        <v>41060</v>
      </c>
    </row>
    <row r="1025" spans="1:17" x14ac:dyDescent="0.25">
      <c r="A1025" t="s">
        <v>22</v>
      </c>
      <c r="B1025">
        <v>52</v>
      </c>
      <c r="C1025">
        <v>0.72</v>
      </c>
      <c r="D1025">
        <v>2004</v>
      </c>
      <c r="E1025" t="s">
        <v>17</v>
      </c>
      <c r="F1025">
        <v>2004091</v>
      </c>
      <c r="G1025">
        <v>2004164</v>
      </c>
      <c r="H1025">
        <v>7623</v>
      </c>
      <c r="I1025">
        <v>2086</v>
      </c>
      <c r="J1025">
        <v>50</v>
      </c>
      <c r="K1025">
        <v>454</v>
      </c>
      <c r="L1025">
        <v>103</v>
      </c>
      <c r="M1025">
        <v>75</v>
      </c>
      <c r="N1025">
        <v>25.963950000000001</v>
      </c>
      <c r="O1025">
        <v>15.55025</v>
      </c>
      <c r="P1025">
        <v>20.337050000000001</v>
      </c>
      <c r="Q1025">
        <v>41711</v>
      </c>
    </row>
    <row r="1026" spans="1:17" x14ac:dyDescent="0.25">
      <c r="A1026" t="s">
        <v>22</v>
      </c>
      <c r="B1026">
        <v>52</v>
      </c>
      <c r="C1026">
        <v>0.72</v>
      </c>
      <c r="D1026">
        <v>2005</v>
      </c>
      <c r="E1026" t="s">
        <v>17</v>
      </c>
      <c r="F1026">
        <v>2005091</v>
      </c>
      <c r="G1026">
        <v>2005161</v>
      </c>
      <c r="H1026">
        <v>4133</v>
      </c>
      <c r="I1026">
        <v>503</v>
      </c>
      <c r="J1026">
        <v>50</v>
      </c>
      <c r="K1026">
        <v>164</v>
      </c>
      <c r="L1026">
        <v>123</v>
      </c>
      <c r="M1026">
        <v>75</v>
      </c>
      <c r="N1026">
        <v>25.985800000000001</v>
      </c>
      <c r="O1026">
        <v>15.52792</v>
      </c>
      <c r="P1026">
        <v>20.501519999999999</v>
      </c>
      <c r="Q1026">
        <v>10062</v>
      </c>
    </row>
    <row r="1027" spans="1:17" x14ac:dyDescent="0.25">
      <c r="A1027" t="s">
        <v>22</v>
      </c>
      <c r="B1027">
        <v>52</v>
      </c>
      <c r="C1027">
        <v>0.72</v>
      </c>
      <c r="D1027">
        <v>2006</v>
      </c>
      <c r="E1027" t="s">
        <v>17</v>
      </c>
      <c r="F1027">
        <v>2006091</v>
      </c>
      <c r="G1027">
        <v>2006159</v>
      </c>
      <c r="H1027">
        <v>9542</v>
      </c>
      <c r="I1027">
        <v>2820</v>
      </c>
      <c r="J1027">
        <v>50</v>
      </c>
      <c r="K1027">
        <v>240</v>
      </c>
      <c r="L1027">
        <v>396</v>
      </c>
      <c r="M1027">
        <v>75</v>
      </c>
      <c r="N1027">
        <v>26.63147</v>
      </c>
      <c r="O1027">
        <v>15.99391</v>
      </c>
      <c r="P1027">
        <v>21.116250000000001</v>
      </c>
      <c r="Q1027">
        <v>56403</v>
      </c>
    </row>
    <row r="1028" spans="1:17" x14ac:dyDescent="0.25">
      <c r="A1028" t="s">
        <v>22</v>
      </c>
      <c r="B1028">
        <v>52</v>
      </c>
      <c r="C1028">
        <v>0.72</v>
      </c>
      <c r="D1028">
        <v>2007</v>
      </c>
      <c r="E1028" t="s">
        <v>17</v>
      </c>
      <c r="F1028">
        <v>2007091</v>
      </c>
      <c r="G1028">
        <v>2007159</v>
      </c>
      <c r="H1028">
        <v>8751</v>
      </c>
      <c r="I1028">
        <v>2408</v>
      </c>
      <c r="J1028">
        <v>50</v>
      </c>
      <c r="K1028">
        <v>382</v>
      </c>
      <c r="L1028">
        <v>163</v>
      </c>
      <c r="M1028">
        <v>75</v>
      </c>
      <c r="N1028">
        <v>26.015219999999999</v>
      </c>
      <c r="O1028">
        <v>15.520300000000001</v>
      </c>
      <c r="P1028">
        <v>21.56447</v>
      </c>
      <c r="Q1028">
        <v>48156</v>
      </c>
    </row>
    <row r="1029" spans="1:17" x14ac:dyDescent="0.25">
      <c r="A1029" t="s">
        <v>22</v>
      </c>
      <c r="B1029">
        <v>52</v>
      </c>
      <c r="C1029">
        <v>0.72</v>
      </c>
      <c r="D1029">
        <v>2008</v>
      </c>
      <c r="E1029" t="s">
        <v>17</v>
      </c>
      <c r="F1029">
        <v>2008091</v>
      </c>
      <c r="G1029">
        <v>2008164</v>
      </c>
      <c r="H1029">
        <v>9762</v>
      </c>
      <c r="I1029">
        <v>3397</v>
      </c>
      <c r="J1029">
        <v>50</v>
      </c>
      <c r="K1029">
        <v>301</v>
      </c>
      <c r="L1029">
        <v>309</v>
      </c>
      <c r="M1029">
        <v>75</v>
      </c>
      <c r="N1029">
        <v>25.65635</v>
      </c>
      <c r="O1029">
        <v>14.63655</v>
      </c>
      <c r="P1029">
        <v>20.479189999999999</v>
      </c>
      <c r="Q1029">
        <v>67940</v>
      </c>
    </row>
    <row r="1030" spans="1:17" x14ac:dyDescent="0.25">
      <c r="A1030" t="s">
        <v>22</v>
      </c>
      <c r="B1030">
        <v>52</v>
      </c>
      <c r="C1030">
        <v>0.72</v>
      </c>
      <c r="D1030">
        <v>2009</v>
      </c>
      <c r="E1030" t="s">
        <v>17</v>
      </c>
      <c r="F1030">
        <v>2009091</v>
      </c>
      <c r="G1030">
        <v>2009160</v>
      </c>
      <c r="H1030">
        <v>8091</v>
      </c>
      <c r="I1030">
        <v>1912</v>
      </c>
      <c r="J1030">
        <v>50</v>
      </c>
      <c r="K1030">
        <v>425</v>
      </c>
      <c r="L1030">
        <v>200</v>
      </c>
      <c r="M1030">
        <v>75</v>
      </c>
      <c r="N1030">
        <v>26.786799999999999</v>
      </c>
      <c r="O1030">
        <v>15.775130000000001</v>
      </c>
      <c r="P1030">
        <v>22.241109999999999</v>
      </c>
      <c r="Q1030">
        <v>38232</v>
      </c>
    </row>
    <row r="1031" spans="1:17" x14ac:dyDescent="0.25">
      <c r="A1031" t="s">
        <v>22</v>
      </c>
      <c r="B1031">
        <v>52</v>
      </c>
      <c r="C1031">
        <v>0.72</v>
      </c>
      <c r="D1031">
        <v>2010</v>
      </c>
      <c r="E1031" t="s">
        <v>17</v>
      </c>
      <c r="F1031">
        <v>2010091</v>
      </c>
      <c r="G1031">
        <v>2010168</v>
      </c>
      <c r="H1031">
        <v>8541</v>
      </c>
      <c r="I1031">
        <v>2240</v>
      </c>
      <c r="J1031">
        <v>50</v>
      </c>
      <c r="K1031">
        <v>275</v>
      </c>
      <c r="L1031">
        <v>162</v>
      </c>
      <c r="M1031">
        <v>75</v>
      </c>
      <c r="N1031">
        <v>26.232990000000001</v>
      </c>
      <c r="O1031">
        <v>15.13705</v>
      </c>
      <c r="P1031">
        <v>20.60304</v>
      </c>
      <c r="Q1031">
        <v>44792</v>
      </c>
    </row>
    <row r="1032" spans="1:17" x14ac:dyDescent="0.25">
      <c r="A1032" t="s">
        <v>22</v>
      </c>
      <c r="B1032">
        <v>52</v>
      </c>
      <c r="C1032">
        <v>0.72</v>
      </c>
      <c r="D1032">
        <v>2011</v>
      </c>
      <c r="E1032" t="s">
        <v>17</v>
      </c>
      <c r="F1032">
        <v>2011091</v>
      </c>
      <c r="G1032">
        <v>2011157</v>
      </c>
      <c r="H1032">
        <v>7041</v>
      </c>
      <c r="I1032">
        <v>1359</v>
      </c>
      <c r="J1032">
        <v>50</v>
      </c>
      <c r="K1032">
        <v>245</v>
      </c>
      <c r="L1032">
        <v>47</v>
      </c>
      <c r="M1032">
        <v>75</v>
      </c>
      <c r="N1032">
        <v>27.194420000000001</v>
      </c>
      <c r="O1032">
        <v>16.110150000000001</v>
      </c>
      <c r="P1032">
        <v>20.407109999999999</v>
      </c>
      <c r="Q1032">
        <v>27176</v>
      </c>
    </row>
    <row r="1033" spans="1:17" x14ac:dyDescent="0.25">
      <c r="A1033" t="s">
        <v>22</v>
      </c>
      <c r="B1033">
        <v>52</v>
      </c>
      <c r="C1033">
        <v>0.72</v>
      </c>
      <c r="D1033">
        <v>2012</v>
      </c>
      <c r="E1033" t="s">
        <v>18</v>
      </c>
      <c r="F1033">
        <v>2012091</v>
      </c>
      <c r="G1033">
        <v>2012153</v>
      </c>
      <c r="H1033">
        <v>8857</v>
      </c>
      <c r="I1033">
        <v>2919</v>
      </c>
      <c r="J1033">
        <v>50</v>
      </c>
      <c r="K1033">
        <v>144</v>
      </c>
      <c r="L1033">
        <v>277</v>
      </c>
      <c r="M1033">
        <v>75</v>
      </c>
      <c r="N1033">
        <v>27.3203</v>
      </c>
      <c r="O1033">
        <v>15.66193</v>
      </c>
      <c r="P1033">
        <v>19.26193</v>
      </c>
      <c r="Q1033">
        <v>58388</v>
      </c>
    </row>
    <row r="1034" spans="1:17" x14ac:dyDescent="0.25">
      <c r="A1034" t="s">
        <v>22</v>
      </c>
      <c r="B1034">
        <v>52</v>
      </c>
      <c r="C1034">
        <v>0.72</v>
      </c>
      <c r="D1034">
        <v>2013</v>
      </c>
      <c r="E1034" t="s">
        <v>18</v>
      </c>
      <c r="F1034">
        <v>2013091</v>
      </c>
      <c r="G1034">
        <v>2013159</v>
      </c>
      <c r="H1034">
        <v>8372</v>
      </c>
      <c r="I1034">
        <v>3120</v>
      </c>
      <c r="J1034">
        <v>50</v>
      </c>
      <c r="K1034">
        <v>328</v>
      </c>
      <c r="L1034">
        <v>119</v>
      </c>
      <c r="M1034">
        <v>75</v>
      </c>
      <c r="N1034">
        <v>26.344169999999998</v>
      </c>
      <c r="O1034">
        <v>15.06091</v>
      </c>
      <c r="P1034">
        <v>21.1599</v>
      </c>
      <c r="Q1034">
        <v>62393</v>
      </c>
    </row>
    <row r="1035" spans="1:17" x14ac:dyDescent="0.25">
      <c r="A1035" t="s">
        <v>22</v>
      </c>
      <c r="B1035">
        <v>52</v>
      </c>
      <c r="C1035">
        <v>0.72</v>
      </c>
      <c r="D1035">
        <v>2014</v>
      </c>
      <c r="E1035" t="s">
        <v>18</v>
      </c>
      <c r="F1035">
        <v>2014091</v>
      </c>
      <c r="G1035">
        <v>2014153</v>
      </c>
      <c r="H1035">
        <v>4060</v>
      </c>
      <c r="I1035">
        <v>1130</v>
      </c>
      <c r="J1035">
        <v>50</v>
      </c>
      <c r="K1035">
        <v>208</v>
      </c>
      <c r="L1035">
        <v>48</v>
      </c>
      <c r="M1035">
        <v>75</v>
      </c>
      <c r="N1035">
        <v>26.70711</v>
      </c>
      <c r="O1035">
        <v>15.78528</v>
      </c>
      <c r="P1035">
        <v>21.783249999999999</v>
      </c>
      <c r="Q1035">
        <v>22600</v>
      </c>
    </row>
    <row r="1036" spans="1:17" x14ac:dyDescent="0.25">
      <c r="A1036" t="s">
        <v>22</v>
      </c>
      <c r="B1036">
        <v>52</v>
      </c>
      <c r="C1036">
        <v>0.72</v>
      </c>
      <c r="D1036">
        <v>2015</v>
      </c>
      <c r="E1036" t="s">
        <v>18</v>
      </c>
      <c r="F1036">
        <v>2015091</v>
      </c>
      <c r="G1036">
        <v>2015154</v>
      </c>
      <c r="H1036">
        <v>8693</v>
      </c>
      <c r="I1036">
        <v>2902</v>
      </c>
      <c r="J1036">
        <v>50</v>
      </c>
      <c r="K1036">
        <v>517</v>
      </c>
      <c r="L1036">
        <v>167</v>
      </c>
      <c r="M1036">
        <v>75</v>
      </c>
      <c r="N1036">
        <v>27.431470000000001</v>
      </c>
      <c r="O1036">
        <v>15.718780000000001</v>
      </c>
      <c r="P1036">
        <v>21.78274</v>
      </c>
      <c r="Q1036">
        <v>58036</v>
      </c>
    </row>
    <row r="1037" spans="1:17" x14ac:dyDescent="0.25">
      <c r="A1037" t="s">
        <v>22</v>
      </c>
      <c r="B1037">
        <v>52</v>
      </c>
      <c r="C1037">
        <v>0.72</v>
      </c>
      <c r="D1037">
        <v>2016</v>
      </c>
      <c r="E1037" t="s">
        <v>18</v>
      </c>
      <c r="F1037">
        <v>2016091</v>
      </c>
      <c r="G1037">
        <v>2016155</v>
      </c>
      <c r="H1037">
        <v>8638</v>
      </c>
      <c r="I1037">
        <v>2165</v>
      </c>
      <c r="J1037">
        <v>50</v>
      </c>
      <c r="K1037">
        <v>172</v>
      </c>
      <c r="L1037">
        <v>94</v>
      </c>
      <c r="M1037">
        <v>75</v>
      </c>
      <c r="N1037">
        <v>27.10051</v>
      </c>
      <c r="O1037">
        <v>15.495430000000001</v>
      </c>
      <c r="P1037">
        <v>21.545680000000001</v>
      </c>
      <c r="Q1037">
        <v>43304</v>
      </c>
    </row>
    <row r="1038" spans="1:17" x14ac:dyDescent="0.25">
      <c r="A1038" t="s">
        <v>22</v>
      </c>
      <c r="B1038">
        <v>52</v>
      </c>
      <c r="C1038">
        <v>0.72</v>
      </c>
      <c r="D1038">
        <v>2017</v>
      </c>
      <c r="E1038" t="s">
        <v>18</v>
      </c>
      <c r="F1038">
        <v>2017091</v>
      </c>
      <c r="G1038">
        <v>2017153</v>
      </c>
      <c r="H1038">
        <v>8567</v>
      </c>
      <c r="I1038">
        <v>3009</v>
      </c>
      <c r="J1038">
        <v>50</v>
      </c>
      <c r="K1038">
        <v>128</v>
      </c>
      <c r="L1038">
        <v>416</v>
      </c>
      <c r="M1038">
        <v>75</v>
      </c>
      <c r="N1038">
        <v>27.654309999999999</v>
      </c>
      <c r="O1038">
        <v>15.598470000000001</v>
      </c>
      <c r="P1038">
        <v>21.013200000000001</v>
      </c>
      <c r="Q1038">
        <v>60178</v>
      </c>
    </row>
    <row r="1039" spans="1:17" x14ac:dyDescent="0.25">
      <c r="A1039" t="s">
        <v>22</v>
      </c>
      <c r="B1039">
        <v>52</v>
      </c>
      <c r="C1039">
        <v>0.72</v>
      </c>
      <c r="D1039">
        <v>2018</v>
      </c>
      <c r="E1039" t="s">
        <v>18</v>
      </c>
      <c r="F1039">
        <v>2018091</v>
      </c>
      <c r="G1039">
        <v>2018153</v>
      </c>
      <c r="H1039">
        <v>6899</v>
      </c>
      <c r="I1039">
        <v>2652</v>
      </c>
      <c r="J1039">
        <v>50</v>
      </c>
      <c r="K1039">
        <v>328</v>
      </c>
      <c r="L1039">
        <v>76</v>
      </c>
      <c r="M1039">
        <v>75</v>
      </c>
      <c r="N1039">
        <v>27.341629999999999</v>
      </c>
      <c r="O1039">
        <v>16.137560000000001</v>
      </c>
      <c r="P1039">
        <v>21.01117</v>
      </c>
      <c r="Q1039">
        <v>53034</v>
      </c>
    </row>
    <row r="1040" spans="1:17" x14ac:dyDescent="0.25">
      <c r="A1040" t="s">
        <v>22</v>
      </c>
      <c r="B1040">
        <v>52</v>
      </c>
      <c r="C1040">
        <v>0.72</v>
      </c>
      <c r="D1040">
        <v>2019</v>
      </c>
      <c r="E1040" t="s">
        <v>18</v>
      </c>
      <c r="F1040">
        <v>2019091</v>
      </c>
      <c r="G1040">
        <v>2019155</v>
      </c>
      <c r="H1040">
        <v>9506</v>
      </c>
      <c r="I1040">
        <v>2831</v>
      </c>
      <c r="J1040">
        <v>50</v>
      </c>
      <c r="K1040">
        <v>180</v>
      </c>
      <c r="L1040">
        <v>228</v>
      </c>
      <c r="M1040">
        <v>75</v>
      </c>
      <c r="N1040">
        <v>27.189340000000001</v>
      </c>
      <c r="O1040">
        <v>15.69797</v>
      </c>
      <c r="P1040">
        <v>21.196950000000001</v>
      </c>
      <c r="Q1040">
        <v>56620</v>
      </c>
    </row>
    <row r="1041" spans="1:17" x14ac:dyDescent="0.25">
      <c r="A1041" t="s">
        <v>22</v>
      </c>
      <c r="B1041">
        <v>52</v>
      </c>
      <c r="C1041">
        <v>0.72</v>
      </c>
      <c r="D1041">
        <v>2020</v>
      </c>
      <c r="E1041" t="s">
        <v>18</v>
      </c>
      <c r="F1041">
        <v>2020091</v>
      </c>
      <c r="G1041">
        <v>2020152</v>
      </c>
      <c r="H1041">
        <v>9018</v>
      </c>
      <c r="I1041">
        <v>3517</v>
      </c>
      <c r="J1041">
        <v>50</v>
      </c>
      <c r="K1041">
        <v>318</v>
      </c>
      <c r="L1041">
        <v>223</v>
      </c>
      <c r="M1041">
        <v>75</v>
      </c>
      <c r="N1041">
        <v>27.467510000000001</v>
      </c>
      <c r="O1041">
        <v>15.74314</v>
      </c>
      <c r="P1041">
        <v>20.123360000000002</v>
      </c>
      <c r="Q1041">
        <v>70348</v>
      </c>
    </row>
    <row r="1042" spans="1:17" x14ac:dyDescent="0.25">
      <c r="A1042" t="s">
        <v>22</v>
      </c>
      <c r="B1042">
        <v>53</v>
      </c>
      <c r="C1042">
        <v>0.72</v>
      </c>
      <c r="D1042">
        <v>2001</v>
      </c>
      <c r="E1042" t="s">
        <v>17</v>
      </c>
      <c r="F1042">
        <v>2001061</v>
      </c>
      <c r="G1042">
        <v>2001142</v>
      </c>
      <c r="H1042">
        <v>8732</v>
      </c>
      <c r="I1042">
        <v>2805</v>
      </c>
      <c r="J1042">
        <v>50</v>
      </c>
      <c r="K1042">
        <v>259</v>
      </c>
      <c r="L1042">
        <v>235</v>
      </c>
      <c r="M1042">
        <v>75</v>
      </c>
      <c r="N1042">
        <v>25.964320000000001</v>
      </c>
      <c r="O1042">
        <v>15.076650000000001</v>
      </c>
      <c r="P1042">
        <v>19.807040000000001</v>
      </c>
      <c r="Q1042">
        <v>75737</v>
      </c>
    </row>
    <row r="1043" spans="1:17" x14ac:dyDescent="0.25">
      <c r="A1043" t="s">
        <v>22</v>
      </c>
      <c r="B1043">
        <v>53</v>
      </c>
      <c r="C1043">
        <v>0.72</v>
      </c>
      <c r="D1043">
        <v>2002</v>
      </c>
      <c r="E1043" t="s">
        <v>17</v>
      </c>
      <c r="F1043">
        <v>2002061</v>
      </c>
      <c r="G1043">
        <v>2002147</v>
      </c>
      <c r="H1043">
        <v>10397</v>
      </c>
      <c r="I1043">
        <v>3419</v>
      </c>
      <c r="J1043">
        <v>50</v>
      </c>
      <c r="K1043">
        <v>363</v>
      </c>
      <c r="L1043">
        <v>179</v>
      </c>
      <c r="M1043">
        <v>75</v>
      </c>
      <c r="N1043">
        <v>24.52599</v>
      </c>
      <c r="O1043">
        <v>14.152850000000001</v>
      </c>
      <c r="P1043">
        <v>19.114979999999999</v>
      </c>
      <c r="Q1043">
        <v>92302</v>
      </c>
    </row>
    <row r="1044" spans="1:17" x14ac:dyDescent="0.25">
      <c r="A1044" t="s">
        <v>22</v>
      </c>
      <c r="B1044">
        <v>53</v>
      </c>
      <c r="C1044">
        <v>0.72</v>
      </c>
      <c r="D1044">
        <v>2003</v>
      </c>
      <c r="E1044" t="s">
        <v>17</v>
      </c>
      <c r="F1044">
        <v>2003061</v>
      </c>
      <c r="G1044">
        <v>2003148</v>
      </c>
      <c r="H1044">
        <v>8834</v>
      </c>
      <c r="I1044">
        <v>2567</v>
      </c>
      <c r="J1044">
        <v>50</v>
      </c>
      <c r="K1044">
        <v>510</v>
      </c>
      <c r="L1044">
        <v>72</v>
      </c>
      <c r="M1044">
        <v>75</v>
      </c>
      <c r="N1044">
        <v>25.71321</v>
      </c>
      <c r="O1044">
        <v>15.29735</v>
      </c>
      <c r="P1044">
        <v>20.313220000000001</v>
      </c>
      <c r="Q1044">
        <v>69301</v>
      </c>
    </row>
    <row r="1045" spans="1:17" x14ac:dyDescent="0.25">
      <c r="A1045" t="s">
        <v>22</v>
      </c>
      <c r="B1045">
        <v>53</v>
      </c>
      <c r="C1045">
        <v>0.72</v>
      </c>
      <c r="D1045">
        <v>2004</v>
      </c>
      <c r="E1045" t="s">
        <v>17</v>
      </c>
      <c r="F1045">
        <v>2004061</v>
      </c>
      <c r="G1045">
        <v>2004153</v>
      </c>
      <c r="H1045">
        <v>9176</v>
      </c>
      <c r="I1045">
        <v>3092</v>
      </c>
      <c r="J1045">
        <v>50</v>
      </c>
      <c r="K1045">
        <v>454</v>
      </c>
      <c r="L1045">
        <v>103</v>
      </c>
      <c r="M1045">
        <v>75</v>
      </c>
      <c r="N1045">
        <v>24.564309999999999</v>
      </c>
      <c r="O1045">
        <v>14.287660000000001</v>
      </c>
      <c r="P1045">
        <v>19.062560000000001</v>
      </c>
      <c r="Q1045">
        <v>83473</v>
      </c>
    </row>
    <row r="1046" spans="1:17" x14ac:dyDescent="0.25">
      <c r="A1046" t="s">
        <v>22</v>
      </c>
      <c r="B1046">
        <v>53</v>
      </c>
      <c r="C1046">
        <v>0.72</v>
      </c>
      <c r="D1046">
        <v>2005</v>
      </c>
      <c r="E1046" t="s">
        <v>17</v>
      </c>
      <c r="F1046">
        <v>2005061</v>
      </c>
      <c r="G1046">
        <v>2005147</v>
      </c>
      <c r="H1046">
        <v>5406</v>
      </c>
      <c r="I1046">
        <v>766</v>
      </c>
      <c r="J1046">
        <v>50</v>
      </c>
      <c r="K1046">
        <v>164</v>
      </c>
      <c r="L1046">
        <v>123</v>
      </c>
      <c r="M1046">
        <v>75</v>
      </c>
      <c r="N1046">
        <v>24.805299999999999</v>
      </c>
      <c r="O1046">
        <v>14.27445</v>
      </c>
      <c r="P1046">
        <v>19.76784</v>
      </c>
      <c r="Q1046">
        <v>20688</v>
      </c>
    </row>
    <row r="1047" spans="1:17" x14ac:dyDescent="0.25">
      <c r="A1047" t="s">
        <v>22</v>
      </c>
      <c r="B1047">
        <v>53</v>
      </c>
      <c r="C1047">
        <v>0.72</v>
      </c>
      <c r="D1047">
        <v>2006</v>
      </c>
      <c r="E1047" t="s">
        <v>17</v>
      </c>
      <c r="F1047">
        <v>2006061</v>
      </c>
      <c r="G1047">
        <v>2006140</v>
      </c>
      <c r="H1047">
        <v>9445</v>
      </c>
      <c r="I1047">
        <v>2899</v>
      </c>
      <c r="J1047">
        <v>50</v>
      </c>
      <c r="K1047">
        <v>240</v>
      </c>
      <c r="L1047">
        <v>396</v>
      </c>
      <c r="M1047">
        <v>75</v>
      </c>
      <c r="N1047">
        <v>25.702190000000002</v>
      </c>
      <c r="O1047">
        <v>14.981059999999999</v>
      </c>
      <c r="P1047">
        <v>20.3674</v>
      </c>
      <c r="Q1047">
        <v>78285</v>
      </c>
    </row>
    <row r="1048" spans="1:17" x14ac:dyDescent="0.25">
      <c r="A1048" t="s">
        <v>22</v>
      </c>
      <c r="B1048">
        <v>53</v>
      </c>
      <c r="C1048">
        <v>0.72</v>
      </c>
      <c r="D1048">
        <v>2007</v>
      </c>
      <c r="E1048" t="s">
        <v>17</v>
      </c>
      <c r="F1048">
        <v>2007061</v>
      </c>
      <c r="G1048">
        <v>2007145</v>
      </c>
      <c r="H1048">
        <v>9444</v>
      </c>
      <c r="I1048">
        <v>2996</v>
      </c>
      <c r="J1048">
        <v>50</v>
      </c>
      <c r="K1048">
        <v>382</v>
      </c>
      <c r="L1048">
        <v>163</v>
      </c>
      <c r="M1048">
        <v>75</v>
      </c>
      <c r="N1048">
        <v>25.051100000000002</v>
      </c>
      <c r="O1048">
        <v>14.36872</v>
      </c>
      <c r="P1048">
        <v>20.97533</v>
      </c>
      <c r="Q1048">
        <v>80892</v>
      </c>
    </row>
    <row r="1049" spans="1:17" x14ac:dyDescent="0.25">
      <c r="A1049" t="s">
        <v>22</v>
      </c>
      <c r="B1049">
        <v>53</v>
      </c>
      <c r="C1049">
        <v>0.72</v>
      </c>
      <c r="D1049">
        <v>2008</v>
      </c>
      <c r="E1049" t="s">
        <v>17</v>
      </c>
      <c r="F1049">
        <v>2008061</v>
      </c>
      <c r="G1049">
        <v>2008146</v>
      </c>
      <c r="H1049">
        <v>10097</v>
      </c>
      <c r="I1049">
        <v>3539</v>
      </c>
      <c r="J1049">
        <v>50</v>
      </c>
      <c r="K1049">
        <v>301</v>
      </c>
      <c r="L1049">
        <v>309</v>
      </c>
      <c r="M1049">
        <v>75</v>
      </c>
      <c r="N1049">
        <v>24.779299999999999</v>
      </c>
      <c r="O1049">
        <v>13.50353</v>
      </c>
      <c r="P1049">
        <v>20.051110000000001</v>
      </c>
      <c r="Q1049">
        <v>95544</v>
      </c>
    </row>
    <row r="1050" spans="1:17" x14ac:dyDescent="0.25">
      <c r="A1050" t="s">
        <v>22</v>
      </c>
      <c r="B1050">
        <v>53</v>
      </c>
      <c r="C1050">
        <v>0.72</v>
      </c>
      <c r="D1050">
        <v>2009</v>
      </c>
      <c r="E1050" t="s">
        <v>17</v>
      </c>
      <c r="F1050">
        <v>2009061</v>
      </c>
      <c r="G1050">
        <v>2009146</v>
      </c>
      <c r="H1050">
        <v>7118</v>
      </c>
      <c r="I1050">
        <v>1374</v>
      </c>
      <c r="J1050">
        <v>50</v>
      </c>
      <c r="K1050">
        <v>425</v>
      </c>
      <c r="L1050">
        <v>200</v>
      </c>
      <c r="M1050">
        <v>75</v>
      </c>
      <c r="N1050">
        <v>25.596910000000001</v>
      </c>
      <c r="O1050">
        <v>14.48723</v>
      </c>
      <c r="P1050">
        <v>21.38898</v>
      </c>
      <c r="Q1050">
        <v>37101</v>
      </c>
    </row>
    <row r="1051" spans="1:17" x14ac:dyDescent="0.25">
      <c r="A1051" t="s">
        <v>22</v>
      </c>
      <c r="B1051">
        <v>53</v>
      </c>
      <c r="C1051">
        <v>0.72</v>
      </c>
      <c r="D1051">
        <v>2010</v>
      </c>
      <c r="E1051" t="s">
        <v>17</v>
      </c>
      <c r="F1051">
        <v>2010061</v>
      </c>
      <c r="G1051">
        <v>2010152</v>
      </c>
      <c r="H1051">
        <v>10480</v>
      </c>
      <c r="I1051">
        <v>3328</v>
      </c>
      <c r="J1051">
        <v>50</v>
      </c>
      <c r="K1051">
        <v>275</v>
      </c>
      <c r="L1051">
        <v>162</v>
      </c>
      <c r="M1051">
        <v>75</v>
      </c>
      <c r="N1051">
        <v>24.91938</v>
      </c>
      <c r="O1051">
        <v>13.80044</v>
      </c>
      <c r="P1051">
        <v>19.719380000000001</v>
      </c>
      <c r="Q1051">
        <v>89844</v>
      </c>
    </row>
    <row r="1052" spans="1:17" x14ac:dyDescent="0.25">
      <c r="A1052" t="s">
        <v>22</v>
      </c>
      <c r="B1052">
        <v>53</v>
      </c>
      <c r="C1052">
        <v>0.72</v>
      </c>
      <c r="D1052">
        <v>2011</v>
      </c>
      <c r="E1052" t="s">
        <v>17</v>
      </c>
      <c r="F1052">
        <v>2011061</v>
      </c>
      <c r="G1052">
        <v>2011143</v>
      </c>
      <c r="H1052">
        <v>7559</v>
      </c>
      <c r="I1052">
        <v>2307</v>
      </c>
      <c r="J1052">
        <v>50</v>
      </c>
      <c r="K1052">
        <v>245</v>
      </c>
      <c r="L1052">
        <v>47</v>
      </c>
      <c r="M1052">
        <v>75</v>
      </c>
      <c r="N1052">
        <v>25.877970000000001</v>
      </c>
      <c r="O1052">
        <v>14.94229</v>
      </c>
      <c r="P1052">
        <v>19.41189</v>
      </c>
      <c r="Q1052">
        <v>62291</v>
      </c>
    </row>
    <row r="1053" spans="1:17" x14ac:dyDescent="0.25">
      <c r="A1053" t="s">
        <v>22</v>
      </c>
      <c r="B1053">
        <v>53</v>
      </c>
      <c r="C1053">
        <v>0.72</v>
      </c>
      <c r="D1053">
        <v>2012</v>
      </c>
      <c r="E1053" t="s">
        <v>18</v>
      </c>
      <c r="F1053">
        <v>2012061</v>
      </c>
      <c r="G1053">
        <v>2012147</v>
      </c>
      <c r="H1053">
        <v>8592</v>
      </c>
      <c r="I1053">
        <v>2843</v>
      </c>
      <c r="J1053">
        <v>50</v>
      </c>
      <c r="K1053">
        <v>144</v>
      </c>
      <c r="L1053">
        <v>277</v>
      </c>
      <c r="M1053">
        <v>75</v>
      </c>
      <c r="N1053">
        <v>26.235240000000001</v>
      </c>
      <c r="O1053">
        <v>14.305289999999999</v>
      </c>
      <c r="P1053">
        <v>18.859470000000002</v>
      </c>
      <c r="Q1053">
        <v>76765</v>
      </c>
    </row>
    <row r="1054" spans="1:17" x14ac:dyDescent="0.25">
      <c r="A1054" t="s">
        <v>22</v>
      </c>
      <c r="B1054">
        <v>53</v>
      </c>
      <c r="C1054">
        <v>0.72</v>
      </c>
      <c r="D1054">
        <v>2013</v>
      </c>
      <c r="E1054" t="s">
        <v>18</v>
      </c>
      <c r="F1054">
        <v>2013061</v>
      </c>
      <c r="G1054">
        <v>2013140</v>
      </c>
      <c r="H1054">
        <v>10145</v>
      </c>
      <c r="I1054">
        <v>4189</v>
      </c>
      <c r="J1054">
        <v>50</v>
      </c>
      <c r="K1054">
        <v>328</v>
      </c>
      <c r="L1054">
        <v>119</v>
      </c>
      <c r="M1054">
        <v>75</v>
      </c>
      <c r="N1054">
        <v>25.42643</v>
      </c>
      <c r="O1054">
        <v>14.00881</v>
      </c>
      <c r="P1054">
        <v>20.36476</v>
      </c>
      <c r="Q1054">
        <v>113104</v>
      </c>
    </row>
    <row r="1055" spans="1:17" x14ac:dyDescent="0.25">
      <c r="A1055" t="s">
        <v>22</v>
      </c>
      <c r="B1055">
        <v>53</v>
      </c>
      <c r="C1055">
        <v>0.72</v>
      </c>
      <c r="D1055">
        <v>2014</v>
      </c>
      <c r="E1055" t="s">
        <v>18</v>
      </c>
      <c r="F1055">
        <v>2014061</v>
      </c>
      <c r="G1055">
        <v>2014141</v>
      </c>
      <c r="H1055">
        <v>1710</v>
      </c>
      <c r="I1055">
        <v>1352</v>
      </c>
      <c r="J1055">
        <v>50</v>
      </c>
      <c r="K1055">
        <v>208</v>
      </c>
      <c r="L1055">
        <v>48</v>
      </c>
      <c r="M1055">
        <v>75</v>
      </c>
      <c r="N1055">
        <v>25.705279999999998</v>
      </c>
      <c r="O1055">
        <v>14.537879999999999</v>
      </c>
      <c r="P1055">
        <v>21.123339999999999</v>
      </c>
      <c r="Q1055">
        <v>36501</v>
      </c>
    </row>
    <row r="1056" spans="1:17" x14ac:dyDescent="0.25">
      <c r="A1056" t="s">
        <v>22</v>
      </c>
      <c r="B1056">
        <v>53</v>
      </c>
      <c r="C1056">
        <v>0.72</v>
      </c>
      <c r="D1056">
        <v>2015</v>
      </c>
      <c r="E1056" t="s">
        <v>18</v>
      </c>
      <c r="F1056">
        <v>2015061</v>
      </c>
      <c r="G1056">
        <v>2015146</v>
      </c>
      <c r="H1056">
        <v>8231</v>
      </c>
      <c r="I1056">
        <v>2742</v>
      </c>
      <c r="J1056">
        <v>50</v>
      </c>
      <c r="K1056">
        <v>517</v>
      </c>
      <c r="L1056">
        <v>167</v>
      </c>
      <c r="M1056">
        <v>75</v>
      </c>
      <c r="N1056">
        <v>26.207930000000001</v>
      </c>
      <c r="O1056">
        <v>14.4978</v>
      </c>
      <c r="P1056">
        <v>20.777529999999999</v>
      </c>
      <c r="Q1056">
        <v>74041</v>
      </c>
    </row>
    <row r="1057" spans="1:17" x14ac:dyDescent="0.25">
      <c r="A1057" t="s">
        <v>22</v>
      </c>
      <c r="B1057">
        <v>53</v>
      </c>
      <c r="C1057">
        <v>0.72</v>
      </c>
      <c r="D1057">
        <v>2016</v>
      </c>
      <c r="E1057" t="s">
        <v>18</v>
      </c>
      <c r="F1057">
        <v>2016061</v>
      </c>
      <c r="G1057">
        <v>2016146</v>
      </c>
      <c r="H1057">
        <v>7051</v>
      </c>
      <c r="I1057">
        <v>1425</v>
      </c>
      <c r="J1057">
        <v>50</v>
      </c>
      <c r="K1057">
        <v>172</v>
      </c>
      <c r="L1057">
        <v>94</v>
      </c>
      <c r="M1057">
        <v>75</v>
      </c>
      <c r="N1057">
        <v>25.967400000000001</v>
      </c>
      <c r="O1057">
        <v>14.266959999999999</v>
      </c>
      <c r="P1057">
        <v>20.68458</v>
      </c>
      <c r="Q1057">
        <v>38462</v>
      </c>
    </row>
    <row r="1058" spans="1:17" x14ac:dyDescent="0.25">
      <c r="A1058" t="s">
        <v>22</v>
      </c>
      <c r="B1058">
        <v>53</v>
      </c>
      <c r="C1058">
        <v>0.72</v>
      </c>
      <c r="D1058">
        <v>2017</v>
      </c>
      <c r="E1058" t="s">
        <v>18</v>
      </c>
      <c r="F1058">
        <v>2017061</v>
      </c>
      <c r="G1058">
        <v>2017137</v>
      </c>
      <c r="H1058">
        <v>8302</v>
      </c>
      <c r="I1058">
        <v>3102</v>
      </c>
      <c r="J1058">
        <v>50</v>
      </c>
      <c r="K1058">
        <v>128</v>
      </c>
      <c r="L1058">
        <v>416</v>
      </c>
      <c r="M1058">
        <v>75</v>
      </c>
      <c r="N1058">
        <v>26.67313</v>
      </c>
      <c r="O1058">
        <v>14.5022</v>
      </c>
      <c r="P1058">
        <v>20.432600000000001</v>
      </c>
      <c r="Q1058">
        <v>83766</v>
      </c>
    </row>
    <row r="1059" spans="1:17" x14ac:dyDescent="0.25">
      <c r="A1059" t="s">
        <v>22</v>
      </c>
      <c r="B1059">
        <v>53</v>
      </c>
      <c r="C1059">
        <v>0.72</v>
      </c>
      <c r="D1059">
        <v>2018</v>
      </c>
      <c r="E1059" t="s">
        <v>18</v>
      </c>
      <c r="F1059">
        <v>2018061</v>
      </c>
      <c r="G1059">
        <v>2018138</v>
      </c>
      <c r="H1059">
        <v>5730</v>
      </c>
      <c r="I1059">
        <v>3594</v>
      </c>
      <c r="J1059">
        <v>50</v>
      </c>
      <c r="K1059">
        <v>328</v>
      </c>
      <c r="L1059">
        <v>76</v>
      </c>
      <c r="M1059">
        <v>75</v>
      </c>
      <c r="N1059">
        <v>26.23658</v>
      </c>
      <c r="O1059">
        <v>14.86476</v>
      </c>
      <c r="P1059">
        <v>20.315850000000001</v>
      </c>
      <c r="Q1059">
        <v>97024</v>
      </c>
    </row>
    <row r="1060" spans="1:17" x14ac:dyDescent="0.25">
      <c r="A1060" t="s">
        <v>22</v>
      </c>
      <c r="B1060">
        <v>53</v>
      </c>
      <c r="C1060">
        <v>0.72</v>
      </c>
      <c r="D1060">
        <v>2019</v>
      </c>
      <c r="E1060" t="s">
        <v>18</v>
      </c>
      <c r="F1060">
        <v>2019061</v>
      </c>
      <c r="G1060">
        <v>2019154</v>
      </c>
      <c r="H1060">
        <v>9410</v>
      </c>
      <c r="I1060">
        <v>2902</v>
      </c>
      <c r="J1060">
        <v>50</v>
      </c>
      <c r="K1060">
        <v>180</v>
      </c>
      <c r="L1060">
        <v>228</v>
      </c>
      <c r="M1060">
        <v>75</v>
      </c>
      <c r="N1060">
        <v>26.27665</v>
      </c>
      <c r="O1060">
        <v>14.49075</v>
      </c>
      <c r="P1060">
        <v>20.80219</v>
      </c>
      <c r="Q1060">
        <v>78359</v>
      </c>
    </row>
    <row r="1061" spans="1:17" x14ac:dyDescent="0.25">
      <c r="A1061" t="s">
        <v>22</v>
      </c>
      <c r="B1061">
        <v>53</v>
      </c>
      <c r="C1061">
        <v>0.72</v>
      </c>
      <c r="D1061">
        <v>2020</v>
      </c>
      <c r="E1061" t="s">
        <v>18</v>
      </c>
      <c r="F1061">
        <v>2020061</v>
      </c>
      <c r="G1061">
        <v>2020144</v>
      </c>
      <c r="H1061">
        <v>7809</v>
      </c>
      <c r="I1061">
        <v>3209</v>
      </c>
      <c r="J1061">
        <v>50</v>
      </c>
      <c r="K1061">
        <v>318</v>
      </c>
      <c r="L1061">
        <v>223</v>
      </c>
      <c r="M1061">
        <v>75</v>
      </c>
      <c r="N1061">
        <v>26.21321</v>
      </c>
      <c r="O1061">
        <v>14.70837</v>
      </c>
      <c r="P1061">
        <v>19.073139999999999</v>
      </c>
      <c r="Q1061">
        <v>86655</v>
      </c>
    </row>
    <row r="1062" spans="1:17" x14ac:dyDescent="0.25">
      <c r="A1062" t="s">
        <v>22</v>
      </c>
      <c r="B1062">
        <v>54</v>
      </c>
      <c r="C1062">
        <v>0.71</v>
      </c>
      <c r="D1062">
        <v>2001</v>
      </c>
      <c r="E1062" t="s">
        <v>17</v>
      </c>
      <c r="F1062">
        <v>2001091</v>
      </c>
      <c r="G1062">
        <v>2001159</v>
      </c>
      <c r="H1062">
        <v>7634</v>
      </c>
      <c r="I1062">
        <v>1953</v>
      </c>
      <c r="J1062">
        <v>50</v>
      </c>
      <c r="K1062">
        <v>259</v>
      </c>
      <c r="L1062">
        <v>235</v>
      </c>
      <c r="M1062">
        <v>50</v>
      </c>
      <c r="N1062">
        <v>26.408629999999999</v>
      </c>
      <c r="O1062">
        <v>15.918279999999999</v>
      </c>
      <c r="P1062">
        <v>20.468019999999999</v>
      </c>
      <c r="Q1062">
        <v>44921</v>
      </c>
    </row>
    <row r="1063" spans="1:17" x14ac:dyDescent="0.25">
      <c r="A1063" t="s">
        <v>22</v>
      </c>
      <c r="B1063">
        <v>54</v>
      </c>
      <c r="C1063">
        <v>0.71</v>
      </c>
      <c r="D1063">
        <v>2002</v>
      </c>
      <c r="E1063" t="s">
        <v>17</v>
      </c>
      <c r="F1063">
        <v>2002091</v>
      </c>
      <c r="G1063">
        <v>2002162</v>
      </c>
      <c r="H1063">
        <v>6900</v>
      </c>
      <c r="I1063">
        <v>1896</v>
      </c>
      <c r="J1063">
        <v>50</v>
      </c>
      <c r="K1063">
        <v>363</v>
      </c>
      <c r="L1063">
        <v>179</v>
      </c>
      <c r="M1063">
        <v>50</v>
      </c>
      <c r="N1063">
        <v>25.41929</v>
      </c>
      <c r="O1063">
        <v>15.13603</v>
      </c>
      <c r="P1063">
        <v>19.985790000000001</v>
      </c>
      <c r="Q1063">
        <v>43598</v>
      </c>
    </row>
    <row r="1064" spans="1:17" x14ac:dyDescent="0.25">
      <c r="A1064" t="s">
        <v>22</v>
      </c>
      <c r="B1064">
        <v>54</v>
      </c>
      <c r="C1064">
        <v>0.71</v>
      </c>
      <c r="D1064">
        <v>2003</v>
      </c>
      <c r="E1064" t="s">
        <v>17</v>
      </c>
      <c r="F1064">
        <v>2003091</v>
      </c>
      <c r="G1064">
        <v>2003160</v>
      </c>
      <c r="H1064">
        <v>6482</v>
      </c>
      <c r="I1064">
        <v>1844</v>
      </c>
      <c r="J1064">
        <v>50</v>
      </c>
      <c r="K1064">
        <v>510</v>
      </c>
      <c r="L1064">
        <v>72</v>
      </c>
      <c r="M1064">
        <v>50</v>
      </c>
      <c r="N1064">
        <v>26.93451</v>
      </c>
      <c r="O1064">
        <v>16.563960000000002</v>
      </c>
      <c r="P1064">
        <v>21.28173</v>
      </c>
      <c r="Q1064">
        <v>42406</v>
      </c>
    </row>
    <row r="1065" spans="1:17" x14ac:dyDescent="0.25">
      <c r="A1065" t="s">
        <v>22</v>
      </c>
      <c r="B1065">
        <v>54</v>
      </c>
      <c r="C1065">
        <v>0.71</v>
      </c>
      <c r="D1065">
        <v>2004</v>
      </c>
      <c r="E1065" t="s">
        <v>17</v>
      </c>
      <c r="F1065">
        <v>2004091</v>
      </c>
      <c r="G1065">
        <v>2004164</v>
      </c>
      <c r="H1065">
        <v>6580</v>
      </c>
      <c r="I1065">
        <v>1879</v>
      </c>
      <c r="J1065">
        <v>50</v>
      </c>
      <c r="K1065">
        <v>454</v>
      </c>
      <c r="L1065">
        <v>103</v>
      </c>
      <c r="M1065">
        <v>50</v>
      </c>
      <c r="N1065">
        <v>25.963950000000001</v>
      </c>
      <c r="O1065">
        <v>15.55025</v>
      </c>
      <c r="P1065">
        <v>20.337050000000001</v>
      </c>
      <c r="Q1065">
        <v>43228</v>
      </c>
    </row>
    <row r="1066" spans="1:17" x14ac:dyDescent="0.25">
      <c r="A1066" t="s">
        <v>22</v>
      </c>
      <c r="B1066">
        <v>54</v>
      </c>
      <c r="C1066">
        <v>0.71</v>
      </c>
      <c r="D1066">
        <v>2005</v>
      </c>
      <c r="E1066" t="s">
        <v>17</v>
      </c>
      <c r="F1066">
        <v>2005091</v>
      </c>
      <c r="G1066">
        <v>2005161</v>
      </c>
      <c r="H1066">
        <v>4001</v>
      </c>
      <c r="I1066">
        <v>440</v>
      </c>
      <c r="J1066">
        <v>50</v>
      </c>
      <c r="K1066">
        <v>164</v>
      </c>
      <c r="L1066">
        <v>123</v>
      </c>
      <c r="M1066">
        <v>50</v>
      </c>
      <c r="N1066">
        <v>25.985800000000001</v>
      </c>
      <c r="O1066">
        <v>15.52792</v>
      </c>
      <c r="P1066">
        <v>20.501519999999999</v>
      </c>
      <c r="Q1066">
        <v>10116</v>
      </c>
    </row>
    <row r="1067" spans="1:17" x14ac:dyDescent="0.25">
      <c r="A1067" t="s">
        <v>22</v>
      </c>
      <c r="B1067">
        <v>54</v>
      </c>
      <c r="C1067">
        <v>0.71</v>
      </c>
      <c r="D1067">
        <v>2006</v>
      </c>
      <c r="E1067" t="s">
        <v>17</v>
      </c>
      <c r="F1067">
        <v>2006091</v>
      </c>
      <c r="G1067">
        <v>2006159</v>
      </c>
      <c r="H1067">
        <v>8523</v>
      </c>
      <c r="I1067">
        <v>2638</v>
      </c>
      <c r="J1067">
        <v>50</v>
      </c>
      <c r="K1067">
        <v>240</v>
      </c>
      <c r="L1067">
        <v>396</v>
      </c>
      <c r="M1067">
        <v>50</v>
      </c>
      <c r="N1067">
        <v>26.63147</v>
      </c>
      <c r="O1067">
        <v>15.99391</v>
      </c>
      <c r="P1067">
        <v>21.116250000000001</v>
      </c>
      <c r="Q1067">
        <v>60675</v>
      </c>
    </row>
    <row r="1068" spans="1:17" x14ac:dyDescent="0.25">
      <c r="A1068" t="s">
        <v>22</v>
      </c>
      <c r="B1068">
        <v>54</v>
      </c>
      <c r="C1068">
        <v>0.71</v>
      </c>
      <c r="D1068">
        <v>2007</v>
      </c>
      <c r="E1068" t="s">
        <v>17</v>
      </c>
      <c r="F1068">
        <v>2007091</v>
      </c>
      <c r="G1068">
        <v>2007159</v>
      </c>
      <c r="H1068">
        <v>7675</v>
      </c>
      <c r="I1068">
        <v>2167</v>
      </c>
      <c r="J1068">
        <v>50</v>
      </c>
      <c r="K1068">
        <v>382</v>
      </c>
      <c r="L1068">
        <v>163</v>
      </c>
      <c r="M1068">
        <v>50</v>
      </c>
      <c r="N1068">
        <v>26.015219999999999</v>
      </c>
      <c r="O1068">
        <v>15.520300000000001</v>
      </c>
      <c r="P1068">
        <v>21.56447</v>
      </c>
      <c r="Q1068">
        <v>49836</v>
      </c>
    </row>
    <row r="1069" spans="1:17" x14ac:dyDescent="0.25">
      <c r="A1069" t="s">
        <v>22</v>
      </c>
      <c r="B1069">
        <v>54</v>
      </c>
      <c r="C1069">
        <v>0.71</v>
      </c>
      <c r="D1069">
        <v>2008</v>
      </c>
      <c r="E1069" t="s">
        <v>18</v>
      </c>
      <c r="F1069">
        <v>2008091</v>
      </c>
      <c r="G1069">
        <v>2008156</v>
      </c>
      <c r="H1069">
        <v>8443</v>
      </c>
      <c r="I1069">
        <v>3725</v>
      </c>
      <c r="J1069">
        <v>50</v>
      </c>
      <c r="K1069">
        <v>301</v>
      </c>
      <c r="L1069">
        <v>309</v>
      </c>
      <c r="M1069">
        <v>50</v>
      </c>
      <c r="N1069">
        <v>25.65635</v>
      </c>
      <c r="O1069">
        <v>14.63655</v>
      </c>
      <c r="P1069">
        <v>20.479189999999999</v>
      </c>
      <c r="Q1069">
        <v>85671</v>
      </c>
    </row>
    <row r="1070" spans="1:17" x14ac:dyDescent="0.25">
      <c r="A1070" t="s">
        <v>22</v>
      </c>
      <c r="B1070">
        <v>54</v>
      </c>
      <c r="C1070">
        <v>0.71</v>
      </c>
      <c r="D1070">
        <v>2009</v>
      </c>
      <c r="E1070" t="s">
        <v>18</v>
      </c>
      <c r="F1070">
        <v>2009091</v>
      </c>
      <c r="G1070">
        <v>2009154</v>
      </c>
      <c r="H1070">
        <v>7409</v>
      </c>
      <c r="I1070">
        <v>2567</v>
      </c>
      <c r="J1070">
        <v>50</v>
      </c>
      <c r="K1070">
        <v>425</v>
      </c>
      <c r="L1070">
        <v>200</v>
      </c>
      <c r="M1070">
        <v>50</v>
      </c>
      <c r="N1070">
        <v>26.786799999999999</v>
      </c>
      <c r="O1070">
        <v>15.775130000000001</v>
      </c>
      <c r="P1070">
        <v>22.241109999999999</v>
      </c>
      <c r="Q1070">
        <v>59038</v>
      </c>
    </row>
    <row r="1071" spans="1:17" x14ac:dyDescent="0.25">
      <c r="A1071" t="s">
        <v>22</v>
      </c>
      <c r="B1071">
        <v>54</v>
      </c>
      <c r="C1071">
        <v>0.71</v>
      </c>
      <c r="D1071">
        <v>2010</v>
      </c>
      <c r="E1071" t="s">
        <v>18</v>
      </c>
      <c r="F1071">
        <v>2010091</v>
      </c>
      <c r="G1071">
        <v>2010162</v>
      </c>
      <c r="H1071">
        <v>7633</v>
      </c>
      <c r="I1071">
        <v>3142</v>
      </c>
      <c r="J1071">
        <v>50</v>
      </c>
      <c r="K1071">
        <v>275</v>
      </c>
      <c r="L1071">
        <v>162</v>
      </c>
      <c r="M1071">
        <v>50</v>
      </c>
      <c r="N1071">
        <v>26.232990000000001</v>
      </c>
      <c r="O1071">
        <v>15.13705</v>
      </c>
      <c r="P1071">
        <v>20.60304</v>
      </c>
      <c r="Q1071">
        <v>72260</v>
      </c>
    </row>
    <row r="1072" spans="1:17" x14ac:dyDescent="0.25">
      <c r="A1072" t="s">
        <v>22</v>
      </c>
      <c r="B1072">
        <v>54</v>
      </c>
      <c r="C1072">
        <v>0.71</v>
      </c>
      <c r="D1072">
        <v>2011</v>
      </c>
      <c r="E1072" t="s">
        <v>18</v>
      </c>
      <c r="F1072">
        <v>2011091</v>
      </c>
      <c r="G1072">
        <v>2011150</v>
      </c>
      <c r="H1072">
        <v>6165</v>
      </c>
      <c r="I1072">
        <v>2056</v>
      </c>
      <c r="J1072">
        <v>50</v>
      </c>
      <c r="K1072">
        <v>245</v>
      </c>
      <c r="L1072">
        <v>47</v>
      </c>
      <c r="M1072">
        <v>50</v>
      </c>
      <c r="N1072">
        <v>27.194420000000001</v>
      </c>
      <c r="O1072">
        <v>16.110150000000001</v>
      </c>
      <c r="P1072">
        <v>20.407109999999999</v>
      </c>
      <c r="Q1072">
        <v>47291</v>
      </c>
    </row>
    <row r="1073" spans="1:17" x14ac:dyDescent="0.25">
      <c r="A1073" t="s">
        <v>22</v>
      </c>
      <c r="B1073">
        <v>54</v>
      </c>
      <c r="C1073">
        <v>0.71</v>
      </c>
      <c r="D1073">
        <v>2012</v>
      </c>
      <c r="E1073" t="s">
        <v>18</v>
      </c>
      <c r="F1073">
        <v>2012091</v>
      </c>
      <c r="G1073">
        <v>2012153</v>
      </c>
      <c r="H1073">
        <v>7980</v>
      </c>
      <c r="I1073">
        <v>2833</v>
      </c>
      <c r="J1073">
        <v>50</v>
      </c>
      <c r="K1073">
        <v>144</v>
      </c>
      <c r="L1073">
        <v>277</v>
      </c>
      <c r="M1073">
        <v>50</v>
      </c>
      <c r="N1073">
        <v>27.3203</v>
      </c>
      <c r="O1073">
        <v>15.66193</v>
      </c>
      <c r="P1073">
        <v>19.26193</v>
      </c>
      <c r="Q1073">
        <v>65154</v>
      </c>
    </row>
    <row r="1074" spans="1:17" x14ac:dyDescent="0.25">
      <c r="A1074" t="s">
        <v>22</v>
      </c>
      <c r="B1074">
        <v>54</v>
      </c>
      <c r="C1074">
        <v>0.71</v>
      </c>
      <c r="D1074">
        <v>2013</v>
      </c>
      <c r="E1074" t="s">
        <v>18</v>
      </c>
      <c r="F1074">
        <v>2013091</v>
      </c>
      <c r="G1074">
        <v>2013159</v>
      </c>
      <c r="H1074">
        <v>7343</v>
      </c>
      <c r="I1074">
        <v>2876</v>
      </c>
      <c r="J1074">
        <v>50</v>
      </c>
      <c r="K1074">
        <v>328</v>
      </c>
      <c r="L1074">
        <v>119</v>
      </c>
      <c r="M1074">
        <v>50</v>
      </c>
      <c r="N1074">
        <v>26.344169999999998</v>
      </c>
      <c r="O1074">
        <v>15.06091</v>
      </c>
      <c r="P1074">
        <v>21.1599</v>
      </c>
      <c r="Q1074">
        <v>66148</v>
      </c>
    </row>
    <row r="1075" spans="1:17" x14ac:dyDescent="0.25">
      <c r="A1075" t="s">
        <v>22</v>
      </c>
      <c r="B1075">
        <v>54</v>
      </c>
      <c r="C1075">
        <v>0.71</v>
      </c>
      <c r="D1075">
        <v>2014</v>
      </c>
      <c r="E1075" t="s">
        <v>18</v>
      </c>
      <c r="F1075">
        <v>2014091</v>
      </c>
      <c r="G1075">
        <v>2014153</v>
      </c>
      <c r="H1075">
        <v>3823</v>
      </c>
      <c r="I1075">
        <v>1063</v>
      </c>
      <c r="J1075">
        <v>50</v>
      </c>
      <c r="K1075">
        <v>208</v>
      </c>
      <c r="L1075">
        <v>48</v>
      </c>
      <c r="M1075">
        <v>50</v>
      </c>
      <c r="N1075">
        <v>26.70711</v>
      </c>
      <c r="O1075">
        <v>15.78528</v>
      </c>
      <c r="P1075">
        <v>21.783249999999999</v>
      </c>
      <c r="Q1075">
        <v>24460</v>
      </c>
    </row>
    <row r="1076" spans="1:17" x14ac:dyDescent="0.25">
      <c r="A1076" t="s">
        <v>22</v>
      </c>
      <c r="B1076">
        <v>54</v>
      </c>
      <c r="C1076">
        <v>0.71</v>
      </c>
      <c r="D1076">
        <v>2015</v>
      </c>
      <c r="E1076" t="s">
        <v>18</v>
      </c>
      <c r="F1076">
        <v>2015091</v>
      </c>
      <c r="G1076">
        <v>2015154</v>
      </c>
      <c r="H1076">
        <v>6760</v>
      </c>
      <c r="I1076">
        <v>2550</v>
      </c>
      <c r="J1076">
        <v>50</v>
      </c>
      <c r="K1076">
        <v>517</v>
      </c>
      <c r="L1076">
        <v>167</v>
      </c>
      <c r="M1076">
        <v>50</v>
      </c>
      <c r="N1076">
        <v>27.431470000000001</v>
      </c>
      <c r="O1076">
        <v>15.718780000000001</v>
      </c>
      <c r="P1076">
        <v>21.78274</v>
      </c>
      <c r="Q1076">
        <v>58644</v>
      </c>
    </row>
    <row r="1077" spans="1:17" x14ac:dyDescent="0.25">
      <c r="A1077" t="s">
        <v>22</v>
      </c>
      <c r="B1077">
        <v>54</v>
      </c>
      <c r="C1077">
        <v>0.71</v>
      </c>
      <c r="D1077">
        <v>2016</v>
      </c>
      <c r="E1077" t="s">
        <v>18</v>
      </c>
      <c r="F1077">
        <v>2016091</v>
      </c>
      <c r="G1077">
        <v>2016155</v>
      </c>
      <c r="H1077">
        <v>8297</v>
      </c>
      <c r="I1077">
        <v>2422</v>
      </c>
      <c r="J1077">
        <v>50</v>
      </c>
      <c r="K1077">
        <v>172</v>
      </c>
      <c r="L1077">
        <v>94</v>
      </c>
      <c r="M1077">
        <v>50</v>
      </c>
      <c r="N1077">
        <v>27.10051</v>
      </c>
      <c r="O1077">
        <v>15.495430000000001</v>
      </c>
      <c r="P1077">
        <v>21.545680000000001</v>
      </c>
      <c r="Q1077">
        <v>55712</v>
      </c>
    </row>
    <row r="1078" spans="1:17" x14ac:dyDescent="0.25">
      <c r="A1078" t="s">
        <v>22</v>
      </c>
      <c r="B1078">
        <v>54</v>
      </c>
      <c r="C1078">
        <v>0.71</v>
      </c>
      <c r="D1078">
        <v>2017</v>
      </c>
      <c r="E1078" t="s">
        <v>18</v>
      </c>
      <c r="F1078">
        <v>2017091</v>
      </c>
      <c r="G1078">
        <v>2017153</v>
      </c>
      <c r="H1078">
        <v>7202</v>
      </c>
      <c r="I1078">
        <v>2877</v>
      </c>
      <c r="J1078">
        <v>50</v>
      </c>
      <c r="K1078">
        <v>128</v>
      </c>
      <c r="L1078">
        <v>416</v>
      </c>
      <c r="M1078">
        <v>50</v>
      </c>
      <c r="N1078">
        <v>27.654309999999999</v>
      </c>
      <c r="O1078">
        <v>15.598470000000001</v>
      </c>
      <c r="P1078">
        <v>21.013200000000001</v>
      </c>
      <c r="Q1078">
        <v>66160</v>
      </c>
    </row>
    <row r="1079" spans="1:17" x14ac:dyDescent="0.25">
      <c r="A1079" t="s">
        <v>22</v>
      </c>
      <c r="B1079">
        <v>54</v>
      </c>
      <c r="C1079">
        <v>0.71</v>
      </c>
      <c r="D1079">
        <v>2018</v>
      </c>
      <c r="E1079" t="s">
        <v>18</v>
      </c>
      <c r="F1079">
        <v>2018091</v>
      </c>
      <c r="G1079">
        <v>2018153</v>
      </c>
      <c r="H1079">
        <v>5723</v>
      </c>
      <c r="I1079">
        <v>2315</v>
      </c>
      <c r="J1079">
        <v>50</v>
      </c>
      <c r="K1079">
        <v>328</v>
      </c>
      <c r="L1079">
        <v>76</v>
      </c>
      <c r="M1079">
        <v>50</v>
      </c>
      <c r="N1079">
        <v>27.341629999999999</v>
      </c>
      <c r="O1079">
        <v>16.137560000000001</v>
      </c>
      <c r="P1079">
        <v>21.01117</v>
      </c>
      <c r="Q1079">
        <v>53254</v>
      </c>
    </row>
    <row r="1080" spans="1:17" x14ac:dyDescent="0.25">
      <c r="A1080" t="s">
        <v>22</v>
      </c>
      <c r="B1080">
        <v>54</v>
      </c>
      <c r="C1080">
        <v>0.71</v>
      </c>
      <c r="D1080">
        <v>2019</v>
      </c>
      <c r="E1080" t="s">
        <v>18</v>
      </c>
      <c r="F1080">
        <v>2019091</v>
      </c>
      <c r="G1080">
        <v>2019155</v>
      </c>
      <c r="H1080">
        <v>8347</v>
      </c>
      <c r="I1080">
        <v>2797</v>
      </c>
      <c r="J1080">
        <v>50</v>
      </c>
      <c r="K1080">
        <v>180</v>
      </c>
      <c r="L1080">
        <v>228</v>
      </c>
      <c r="M1080">
        <v>50</v>
      </c>
      <c r="N1080">
        <v>27.189340000000001</v>
      </c>
      <c r="O1080">
        <v>15.69797</v>
      </c>
      <c r="P1080">
        <v>21.196950000000001</v>
      </c>
      <c r="Q1080">
        <v>64328</v>
      </c>
    </row>
    <row r="1081" spans="1:17" x14ac:dyDescent="0.25">
      <c r="A1081" t="s">
        <v>22</v>
      </c>
      <c r="B1081">
        <v>54</v>
      </c>
      <c r="C1081">
        <v>0.71</v>
      </c>
      <c r="D1081">
        <v>2020</v>
      </c>
      <c r="E1081" t="s">
        <v>18</v>
      </c>
      <c r="F1081">
        <v>2020091</v>
      </c>
      <c r="G1081">
        <v>2020152</v>
      </c>
      <c r="H1081">
        <v>7150</v>
      </c>
      <c r="I1081">
        <v>3018</v>
      </c>
      <c r="J1081">
        <v>50</v>
      </c>
      <c r="K1081">
        <v>318</v>
      </c>
      <c r="L1081">
        <v>223</v>
      </c>
      <c r="M1081">
        <v>50</v>
      </c>
      <c r="N1081">
        <v>27.467510000000001</v>
      </c>
      <c r="O1081">
        <v>15.74314</v>
      </c>
      <c r="P1081">
        <v>20.123360000000002</v>
      </c>
      <c r="Q1081">
        <v>69414</v>
      </c>
    </row>
    <row r="1082" spans="1:17" x14ac:dyDescent="0.25">
      <c r="A1082" t="s">
        <v>22</v>
      </c>
      <c r="B1082">
        <v>55</v>
      </c>
      <c r="C1082">
        <v>0.79</v>
      </c>
      <c r="D1082">
        <v>2001</v>
      </c>
      <c r="E1082" t="s">
        <v>17</v>
      </c>
      <c r="F1082">
        <v>2001061</v>
      </c>
      <c r="G1082">
        <v>2001142</v>
      </c>
      <c r="H1082">
        <v>7685</v>
      </c>
      <c r="I1082">
        <v>2483</v>
      </c>
      <c r="J1082">
        <v>50</v>
      </c>
      <c r="K1082">
        <v>259</v>
      </c>
      <c r="L1082">
        <v>235</v>
      </c>
      <c r="M1082">
        <v>50</v>
      </c>
      <c r="N1082">
        <v>25.964320000000001</v>
      </c>
      <c r="O1082">
        <v>15.076650000000001</v>
      </c>
      <c r="P1082">
        <v>19.807040000000001</v>
      </c>
      <c r="Q1082">
        <v>69533</v>
      </c>
    </row>
    <row r="1083" spans="1:17" x14ac:dyDescent="0.25">
      <c r="A1083" t="s">
        <v>22</v>
      </c>
      <c r="B1083">
        <v>55</v>
      </c>
      <c r="C1083">
        <v>0.79</v>
      </c>
      <c r="D1083">
        <v>2002</v>
      </c>
      <c r="E1083" t="s">
        <v>17</v>
      </c>
      <c r="F1083">
        <v>2002061</v>
      </c>
      <c r="G1083">
        <v>2002147</v>
      </c>
      <c r="H1083">
        <v>9372</v>
      </c>
      <c r="I1083">
        <v>3063</v>
      </c>
      <c r="J1083">
        <v>50</v>
      </c>
      <c r="K1083">
        <v>363</v>
      </c>
      <c r="L1083">
        <v>179</v>
      </c>
      <c r="M1083">
        <v>50</v>
      </c>
      <c r="N1083">
        <v>24.52599</v>
      </c>
      <c r="O1083">
        <v>14.152850000000001</v>
      </c>
      <c r="P1083">
        <v>19.114979999999999</v>
      </c>
      <c r="Q1083">
        <v>85778</v>
      </c>
    </row>
    <row r="1084" spans="1:17" x14ac:dyDescent="0.25">
      <c r="A1084" t="s">
        <v>22</v>
      </c>
      <c r="B1084">
        <v>55</v>
      </c>
      <c r="C1084">
        <v>0.79</v>
      </c>
      <c r="D1084">
        <v>2003</v>
      </c>
      <c r="E1084" t="s">
        <v>17</v>
      </c>
      <c r="F1084">
        <v>2003061</v>
      </c>
      <c r="G1084">
        <v>2003148</v>
      </c>
      <c r="H1084">
        <v>7503</v>
      </c>
      <c r="I1084">
        <v>2148</v>
      </c>
      <c r="J1084">
        <v>50</v>
      </c>
      <c r="K1084">
        <v>510</v>
      </c>
      <c r="L1084">
        <v>72</v>
      </c>
      <c r="M1084">
        <v>50</v>
      </c>
      <c r="N1084">
        <v>25.71321</v>
      </c>
      <c r="O1084">
        <v>15.29735</v>
      </c>
      <c r="P1084">
        <v>20.313220000000001</v>
      </c>
      <c r="Q1084">
        <v>60132</v>
      </c>
    </row>
    <row r="1085" spans="1:17" x14ac:dyDescent="0.25">
      <c r="A1085" t="s">
        <v>22</v>
      </c>
      <c r="B1085">
        <v>55</v>
      </c>
      <c r="C1085">
        <v>0.79</v>
      </c>
      <c r="D1085">
        <v>2004</v>
      </c>
      <c r="E1085" t="s">
        <v>17</v>
      </c>
      <c r="F1085">
        <v>2004061</v>
      </c>
      <c r="G1085">
        <v>2004153</v>
      </c>
      <c r="H1085">
        <v>8099</v>
      </c>
      <c r="I1085">
        <v>2756</v>
      </c>
      <c r="J1085">
        <v>50</v>
      </c>
      <c r="K1085">
        <v>454</v>
      </c>
      <c r="L1085">
        <v>103</v>
      </c>
      <c r="M1085">
        <v>50</v>
      </c>
      <c r="N1085">
        <v>24.564309999999999</v>
      </c>
      <c r="O1085">
        <v>14.287660000000001</v>
      </c>
      <c r="P1085">
        <v>19.062560000000001</v>
      </c>
      <c r="Q1085">
        <v>77157</v>
      </c>
    </row>
    <row r="1086" spans="1:17" x14ac:dyDescent="0.25">
      <c r="A1086" t="s">
        <v>22</v>
      </c>
      <c r="B1086">
        <v>55</v>
      </c>
      <c r="C1086">
        <v>0.79</v>
      </c>
      <c r="D1086">
        <v>2005</v>
      </c>
      <c r="E1086" t="s">
        <v>17</v>
      </c>
      <c r="F1086">
        <v>2005061</v>
      </c>
      <c r="G1086">
        <v>2005147</v>
      </c>
      <c r="H1086">
        <v>4917</v>
      </c>
      <c r="I1086">
        <v>756</v>
      </c>
      <c r="J1086">
        <v>50</v>
      </c>
      <c r="K1086">
        <v>164</v>
      </c>
      <c r="L1086">
        <v>123</v>
      </c>
      <c r="M1086">
        <v>50</v>
      </c>
      <c r="N1086">
        <v>24.805299999999999</v>
      </c>
      <c r="O1086">
        <v>14.27445</v>
      </c>
      <c r="P1086">
        <v>19.76784</v>
      </c>
      <c r="Q1086">
        <v>21166</v>
      </c>
    </row>
    <row r="1087" spans="1:17" x14ac:dyDescent="0.25">
      <c r="A1087" t="s">
        <v>22</v>
      </c>
      <c r="B1087">
        <v>55</v>
      </c>
      <c r="C1087">
        <v>0.79</v>
      </c>
      <c r="D1087">
        <v>2006</v>
      </c>
      <c r="E1087" t="s">
        <v>17</v>
      </c>
      <c r="F1087">
        <v>2006061</v>
      </c>
      <c r="G1087">
        <v>2006140</v>
      </c>
      <c r="H1087">
        <v>8298</v>
      </c>
      <c r="I1087">
        <v>2633</v>
      </c>
      <c r="J1087">
        <v>50</v>
      </c>
      <c r="K1087">
        <v>240</v>
      </c>
      <c r="L1087">
        <v>396</v>
      </c>
      <c r="M1087">
        <v>50</v>
      </c>
      <c r="N1087">
        <v>25.702190000000002</v>
      </c>
      <c r="O1087">
        <v>14.981059999999999</v>
      </c>
      <c r="P1087">
        <v>20.3674</v>
      </c>
      <c r="Q1087">
        <v>73723</v>
      </c>
    </row>
    <row r="1088" spans="1:17" x14ac:dyDescent="0.25">
      <c r="A1088" t="s">
        <v>22</v>
      </c>
      <c r="B1088">
        <v>55</v>
      </c>
      <c r="C1088">
        <v>0.79</v>
      </c>
      <c r="D1088">
        <v>2007</v>
      </c>
      <c r="E1088" t="s">
        <v>17</v>
      </c>
      <c r="F1088">
        <v>2007061</v>
      </c>
      <c r="G1088">
        <v>2007145</v>
      </c>
      <c r="H1088">
        <v>8492</v>
      </c>
      <c r="I1088">
        <v>2777</v>
      </c>
      <c r="J1088">
        <v>50</v>
      </c>
      <c r="K1088">
        <v>382</v>
      </c>
      <c r="L1088">
        <v>163</v>
      </c>
      <c r="M1088">
        <v>50</v>
      </c>
      <c r="N1088">
        <v>25.051100000000002</v>
      </c>
      <c r="O1088">
        <v>14.36872</v>
      </c>
      <c r="P1088">
        <v>20.97533</v>
      </c>
      <c r="Q1088">
        <v>77762</v>
      </c>
    </row>
    <row r="1089" spans="1:17" x14ac:dyDescent="0.25">
      <c r="A1089" t="s">
        <v>22</v>
      </c>
      <c r="B1089">
        <v>55</v>
      </c>
      <c r="C1089">
        <v>0.79</v>
      </c>
      <c r="D1089">
        <v>2008</v>
      </c>
      <c r="E1089" t="s">
        <v>17</v>
      </c>
      <c r="F1089">
        <v>2008061</v>
      </c>
      <c r="G1089">
        <v>2008146</v>
      </c>
      <c r="H1089">
        <v>8824</v>
      </c>
      <c r="I1089">
        <v>3059</v>
      </c>
      <c r="J1089">
        <v>50</v>
      </c>
      <c r="K1089">
        <v>301</v>
      </c>
      <c r="L1089">
        <v>309</v>
      </c>
      <c r="M1089">
        <v>50</v>
      </c>
      <c r="N1089">
        <v>24.779299999999999</v>
      </c>
      <c r="O1089">
        <v>13.50353</v>
      </c>
      <c r="P1089">
        <v>20.051110000000001</v>
      </c>
      <c r="Q1089">
        <v>85662</v>
      </c>
    </row>
    <row r="1090" spans="1:17" x14ac:dyDescent="0.25">
      <c r="A1090" t="s">
        <v>22</v>
      </c>
      <c r="B1090">
        <v>55</v>
      </c>
      <c r="C1090">
        <v>0.79</v>
      </c>
      <c r="D1090">
        <v>2009</v>
      </c>
      <c r="E1090" t="s">
        <v>18</v>
      </c>
      <c r="F1090">
        <v>2009061</v>
      </c>
      <c r="G1090">
        <v>2009140</v>
      </c>
      <c r="H1090">
        <v>7239</v>
      </c>
      <c r="I1090">
        <v>2323</v>
      </c>
      <c r="J1090">
        <v>50</v>
      </c>
      <c r="K1090">
        <v>425</v>
      </c>
      <c r="L1090">
        <v>200</v>
      </c>
      <c r="M1090">
        <v>50</v>
      </c>
      <c r="N1090">
        <v>25.596910000000001</v>
      </c>
      <c r="O1090">
        <v>14.48723</v>
      </c>
      <c r="P1090">
        <v>21.38898</v>
      </c>
      <c r="Q1090">
        <v>65032</v>
      </c>
    </row>
    <row r="1091" spans="1:17" x14ac:dyDescent="0.25">
      <c r="A1091" t="s">
        <v>22</v>
      </c>
      <c r="B1091">
        <v>55</v>
      </c>
      <c r="C1091">
        <v>0.79</v>
      </c>
      <c r="D1091">
        <v>2010</v>
      </c>
      <c r="E1091" t="s">
        <v>18</v>
      </c>
      <c r="F1091">
        <v>2010061</v>
      </c>
      <c r="G1091">
        <v>2010145</v>
      </c>
      <c r="H1091">
        <v>9240</v>
      </c>
      <c r="I1091">
        <v>3697</v>
      </c>
      <c r="J1091">
        <v>50</v>
      </c>
      <c r="K1091">
        <v>275</v>
      </c>
      <c r="L1091">
        <v>162</v>
      </c>
      <c r="M1091">
        <v>50</v>
      </c>
      <c r="N1091">
        <v>24.91938</v>
      </c>
      <c r="O1091">
        <v>13.80044</v>
      </c>
      <c r="P1091">
        <v>19.719380000000001</v>
      </c>
      <c r="Q1091">
        <v>103507</v>
      </c>
    </row>
    <row r="1092" spans="1:17" x14ac:dyDescent="0.25">
      <c r="A1092" t="s">
        <v>22</v>
      </c>
      <c r="B1092">
        <v>55</v>
      </c>
      <c r="C1092">
        <v>0.79</v>
      </c>
      <c r="D1092">
        <v>2011</v>
      </c>
      <c r="E1092" t="s">
        <v>18</v>
      </c>
      <c r="F1092">
        <v>2011061</v>
      </c>
      <c r="G1092">
        <v>2011138</v>
      </c>
      <c r="H1092">
        <v>6255</v>
      </c>
      <c r="I1092">
        <v>2300</v>
      </c>
      <c r="J1092">
        <v>50</v>
      </c>
      <c r="K1092">
        <v>245</v>
      </c>
      <c r="L1092">
        <v>47</v>
      </c>
      <c r="M1092">
        <v>50</v>
      </c>
      <c r="N1092">
        <v>25.877970000000001</v>
      </c>
      <c r="O1092">
        <v>14.94229</v>
      </c>
      <c r="P1092">
        <v>19.41189</v>
      </c>
      <c r="Q1092">
        <v>64394</v>
      </c>
    </row>
    <row r="1093" spans="1:17" x14ac:dyDescent="0.25">
      <c r="A1093" t="s">
        <v>22</v>
      </c>
      <c r="B1093">
        <v>55</v>
      </c>
      <c r="C1093">
        <v>0.79</v>
      </c>
      <c r="D1093">
        <v>2012</v>
      </c>
      <c r="E1093" t="s">
        <v>18</v>
      </c>
      <c r="F1093">
        <v>2012061</v>
      </c>
      <c r="G1093">
        <v>2012147</v>
      </c>
      <c r="H1093">
        <v>7886</v>
      </c>
      <c r="I1093">
        <v>2843</v>
      </c>
      <c r="J1093">
        <v>50</v>
      </c>
      <c r="K1093">
        <v>144</v>
      </c>
      <c r="L1093">
        <v>277</v>
      </c>
      <c r="M1093">
        <v>50</v>
      </c>
      <c r="N1093">
        <v>26.235240000000001</v>
      </c>
      <c r="O1093">
        <v>14.305289999999999</v>
      </c>
      <c r="P1093">
        <v>18.859470000000002</v>
      </c>
      <c r="Q1093">
        <v>79604</v>
      </c>
    </row>
    <row r="1094" spans="1:17" x14ac:dyDescent="0.25">
      <c r="A1094" t="s">
        <v>22</v>
      </c>
      <c r="B1094">
        <v>55</v>
      </c>
      <c r="C1094">
        <v>0.79</v>
      </c>
      <c r="D1094">
        <v>2013</v>
      </c>
      <c r="E1094" t="s">
        <v>18</v>
      </c>
      <c r="F1094">
        <v>2013061</v>
      </c>
      <c r="G1094">
        <v>2013140</v>
      </c>
      <c r="H1094">
        <v>8798</v>
      </c>
      <c r="I1094">
        <v>3743</v>
      </c>
      <c r="J1094">
        <v>50</v>
      </c>
      <c r="K1094">
        <v>328</v>
      </c>
      <c r="L1094">
        <v>119</v>
      </c>
      <c r="M1094">
        <v>50</v>
      </c>
      <c r="N1094">
        <v>25.42643</v>
      </c>
      <c r="O1094">
        <v>14.00881</v>
      </c>
      <c r="P1094">
        <v>20.36476</v>
      </c>
      <c r="Q1094">
        <v>104813</v>
      </c>
    </row>
    <row r="1095" spans="1:17" x14ac:dyDescent="0.25">
      <c r="A1095" t="s">
        <v>22</v>
      </c>
      <c r="B1095">
        <v>55</v>
      </c>
      <c r="C1095">
        <v>0.79</v>
      </c>
      <c r="D1095">
        <v>2014</v>
      </c>
      <c r="E1095" t="s">
        <v>18</v>
      </c>
      <c r="F1095">
        <v>2014061</v>
      </c>
      <c r="G1095">
        <v>2014141</v>
      </c>
      <c r="H1095">
        <v>1892</v>
      </c>
      <c r="I1095">
        <v>1506</v>
      </c>
      <c r="J1095">
        <v>50</v>
      </c>
      <c r="K1095">
        <v>208</v>
      </c>
      <c r="L1095">
        <v>48</v>
      </c>
      <c r="M1095">
        <v>50</v>
      </c>
      <c r="N1095">
        <v>25.705279999999998</v>
      </c>
      <c r="O1095">
        <v>14.537879999999999</v>
      </c>
      <c r="P1095">
        <v>21.123339999999999</v>
      </c>
      <c r="Q1095">
        <v>42171</v>
      </c>
    </row>
    <row r="1096" spans="1:17" x14ac:dyDescent="0.25">
      <c r="A1096" t="s">
        <v>22</v>
      </c>
      <c r="B1096">
        <v>55</v>
      </c>
      <c r="C1096">
        <v>0.79</v>
      </c>
      <c r="D1096">
        <v>2015</v>
      </c>
      <c r="E1096" t="s">
        <v>18</v>
      </c>
      <c r="F1096">
        <v>2015061</v>
      </c>
      <c r="G1096">
        <v>2015146</v>
      </c>
      <c r="H1096">
        <v>7096</v>
      </c>
      <c r="I1096">
        <v>2665</v>
      </c>
      <c r="J1096">
        <v>50</v>
      </c>
      <c r="K1096">
        <v>517</v>
      </c>
      <c r="L1096">
        <v>167</v>
      </c>
      <c r="M1096">
        <v>50</v>
      </c>
      <c r="N1096">
        <v>26.207930000000001</v>
      </c>
      <c r="O1096">
        <v>14.4978</v>
      </c>
      <c r="P1096">
        <v>20.777529999999999</v>
      </c>
      <c r="Q1096">
        <v>74622</v>
      </c>
    </row>
    <row r="1097" spans="1:17" x14ac:dyDescent="0.25">
      <c r="A1097" t="s">
        <v>22</v>
      </c>
      <c r="B1097">
        <v>55</v>
      </c>
      <c r="C1097">
        <v>0.79</v>
      </c>
      <c r="D1097">
        <v>2016</v>
      </c>
      <c r="E1097" t="s">
        <v>18</v>
      </c>
      <c r="F1097">
        <v>2016061</v>
      </c>
      <c r="G1097">
        <v>2016146</v>
      </c>
      <c r="H1097">
        <v>6748</v>
      </c>
      <c r="I1097">
        <v>1509</v>
      </c>
      <c r="J1097">
        <v>50</v>
      </c>
      <c r="K1097">
        <v>172</v>
      </c>
      <c r="L1097">
        <v>94</v>
      </c>
      <c r="M1097">
        <v>50</v>
      </c>
      <c r="N1097">
        <v>25.967400000000001</v>
      </c>
      <c r="O1097">
        <v>14.266959999999999</v>
      </c>
      <c r="P1097">
        <v>20.68458</v>
      </c>
      <c r="Q1097">
        <v>42257</v>
      </c>
    </row>
    <row r="1098" spans="1:17" x14ac:dyDescent="0.25">
      <c r="A1098" t="s">
        <v>22</v>
      </c>
      <c r="B1098">
        <v>55</v>
      </c>
      <c r="C1098">
        <v>0.79</v>
      </c>
      <c r="D1098">
        <v>2017</v>
      </c>
      <c r="E1098" t="s">
        <v>18</v>
      </c>
      <c r="F1098">
        <v>2017061</v>
      </c>
      <c r="G1098">
        <v>2017137</v>
      </c>
      <c r="H1098">
        <v>7293</v>
      </c>
      <c r="I1098">
        <v>2880</v>
      </c>
      <c r="J1098">
        <v>50</v>
      </c>
      <c r="K1098">
        <v>128</v>
      </c>
      <c r="L1098">
        <v>416</v>
      </c>
      <c r="M1098">
        <v>50</v>
      </c>
      <c r="N1098">
        <v>26.67313</v>
      </c>
      <c r="O1098">
        <v>14.5022</v>
      </c>
      <c r="P1098">
        <v>20.432600000000001</v>
      </c>
      <c r="Q1098">
        <v>80648</v>
      </c>
    </row>
    <row r="1099" spans="1:17" x14ac:dyDescent="0.25">
      <c r="A1099" t="s">
        <v>22</v>
      </c>
      <c r="B1099">
        <v>55</v>
      </c>
      <c r="C1099">
        <v>0.79</v>
      </c>
      <c r="D1099">
        <v>2018</v>
      </c>
      <c r="E1099" t="s">
        <v>18</v>
      </c>
      <c r="F1099">
        <v>2018061</v>
      </c>
      <c r="G1099">
        <v>2018138</v>
      </c>
      <c r="H1099">
        <v>5287</v>
      </c>
      <c r="I1099">
        <v>3066</v>
      </c>
      <c r="J1099">
        <v>50</v>
      </c>
      <c r="K1099">
        <v>328</v>
      </c>
      <c r="L1099">
        <v>76</v>
      </c>
      <c r="M1099">
        <v>50</v>
      </c>
      <c r="N1099">
        <v>26.23658</v>
      </c>
      <c r="O1099">
        <v>14.86476</v>
      </c>
      <c r="P1099">
        <v>20.315850000000001</v>
      </c>
      <c r="Q1099">
        <v>85854</v>
      </c>
    </row>
    <row r="1100" spans="1:17" x14ac:dyDescent="0.25">
      <c r="A1100" t="s">
        <v>22</v>
      </c>
      <c r="B1100">
        <v>55</v>
      </c>
      <c r="C1100">
        <v>0.79</v>
      </c>
      <c r="D1100">
        <v>2019</v>
      </c>
      <c r="E1100" t="s">
        <v>18</v>
      </c>
      <c r="F1100">
        <v>2019061</v>
      </c>
      <c r="G1100">
        <v>2019154</v>
      </c>
      <c r="H1100">
        <v>8684</v>
      </c>
      <c r="I1100">
        <v>2996</v>
      </c>
      <c r="J1100">
        <v>50</v>
      </c>
      <c r="K1100">
        <v>180</v>
      </c>
      <c r="L1100">
        <v>228</v>
      </c>
      <c r="M1100">
        <v>50</v>
      </c>
      <c r="N1100">
        <v>26.27665</v>
      </c>
      <c r="O1100">
        <v>14.49075</v>
      </c>
      <c r="P1100">
        <v>20.80219</v>
      </c>
      <c r="Q1100">
        <v>83887</v>
      </c>
    </row>
    <row r="1101" spans="1:17" x14ac:dyDescent="0.25">
      <c r="A1101" t="s">
        <v>22</v>
      </c>
      <c r="B1101">
        <v>55</v>
      </c>
      <c r="C1101">
        <v>0.79</v>
      </c>
      <c r="D1101">
        <v>2020</v>
      </c>
      <c r="E1101" t="s">
        <v>18</v>
      </c>
      <c r="F1101">
        <v>2020061</v>
      </c>
      <c r="G1101">
        <v>2020144</v>
      </c>
      <c r="H1101">
        <v>6688</v>
      </c>
      <c r="I1101">
        <v>2914</v>
      </c>
      <c r="J1101">
        <v>50</v>
      </c>
      <c r="K1101">
        <v>318</v>
      </c>
      <c r="L1101">
        <v>223</v>
      </c>
      <c r="M1101">
        <v>50</v>
      </c>
      <c r="N1101">
        <v>26.21321</v>
      </c>
      <c r="O1101">
        <v>14.70837</v>
      </c>
      <c r="P1101">
        <v>19.073139999999999</v>
      </c>
      <c r="Q1101">
        <v>81597</v>
      </c>
    </row>
    <row r="1102" spans="1:17" x14ac:dyDescent="0.25">
      <c r="A1102" t="s">
        <v>22</v>
      </c>
      <c r="B1102">
        <v>56</v>
      </c>
      <c r="C1102">
        <v>0.63</v>
      </c>
      <c r="D1102">
        <v>2001</v>
      </c>
      <c r="E1102" t="s">
        <v>17</v>
      </c>
      <c r="F1102">
        <v>2001061</v>
      </c>
      <c r="G1102">
        <v>2001142</v>
      </c>
      <c r="H1102">
        <v>5864</v>
      </c>
      <c r="I1102">
        <v>1721</v>
      </c>
      <c r="J1102">
        <v>50</v>
      </c>
      <c r="K1102">
        <v>259</v>
      </c>
      <c r="L1102">
        <v>235</v>
      </c>
      <c r="M1102">
        <v>25</v>
      </c>
      <c r="N1102">
        <v>25.964320000000001</v>
      </c>
      <c r="O1102">
        <v>15.076650000000001</v>
      </c>
      <c r="P1102">
        <v>19.807040000000001</v>
      </c>
      <c r="Q1102">
        <v>48182</v>
      </c>
    </row>
    <row r="1103" spans="1:17" x14ac:dyDescent="0.25">
      <c r="A1103" t="s">
        <v>22</v>
      </c>
      <c r="B1103">
        <v>56</v>
      </c>
      <c r="C1103">
        <v>0.63</v>
      </c>
      <c r="D1103">
        <v>2002</v>
      </c>
      <c r="E1103" t="s">
        <v>17</v>
      </c>
      <c r="F1103">
        <v>2002061</v>
      </c>
      <c r="G1103">
        <v>2002147</v>
      </c>
      <c r="H1103">
        <v>7731</v>
      </c>
      <c r="I1103">
        <v>2400</v>
      </c>
      <c r="J1103">
        <v>50</v>
      </c>
      <c r="K1103">
        <v>363</v>
      </c>
      <c r="L1103">
        <v>179</v>
      </c>
      <c r="M1103">
        <v>25</v>
      </c>
      <c r="N1103">
        <v>24.52599</v>
      </c>
      <c r="O1103">
        <v>14.152850000000001</v>
      </c>
      <c r="P1103">
        <v>19.114979999999999</v>
      </c>
      <c r="Q1103">
        <v>67199</v>
      </c>
    </row>
    <row r="1104" spans="1:17" x14ac:dyDescent="0.25">
      <c r="A1104" t="s">
        <v>22</v>
      </c>
      <c r="B1104">
        <v>56</v>
      </c>
      <c r="C1104">
        <v>0.63</v>
      </c>
      <c r="D1104">
        <v>2003</v>
      </c>
      <c r="E1104" t="s">
        <v>17</v>
      </c>
      <c r="F1104">
        <v>2003061</v>
      </c>
      <c r="G1104">
        <v>2003148</v>
      </c>
      <c r="H1104">
        <v>5947</v>
      </c>
      <c r="I1104">
        <v>1617</v>
      </c>
      <c r="J1104">
        <v>50</v>
      </c>
      <c r="K1104">
        <v>510</v>
      </c>
      <c r="L1104">
        <v>72</v>
      </c>
      <c r="M1104">
        <v>25</v>
      </c>
      <c r="N1104">
        <v>25.71321</v>
      </c>
      <c r="O1104">
        <v>15.29735</v>
      </c>
      <c r="P1104">
        <v>20.313220000000001</v>
      </c>
      <c r="Q1104">
        <v>45279</v>
      </c>
    </row>
    <row r="1105" spans="1:17" x14ac:dyDescent="0.25">
      <c r="A1105" t="s">
        <v>22</v>
      </c>
      <c r="B1105">
        <v>56</v>
      </c>
      <c r="C1105">
        <v>0.63</v>
      </c>
      <c r="D1105">
        <v>2004</v>
      </c>
      <c r="E1105" t="s">
        <v>17</v>
      </c>
      <c r="F1105">
        <v>2004061</v>
      </c>
      <c r="G1105">
        <v>2004153</v>
      </c>
      <c r="H1105">
        <v>6718</v>
      </c>
      <c r="I1105">
        <v>2219</v>
      </c>
      <c r="J1105">
        <v>50</v>
      </c>
      <c r="K1105">
        <v>454</v>
      </c>
      <c r="L1105">
        <v>103</v>
      </c>
      <c r="M1105">
        <v>25</v>
      </c>
      <c r="N1105">
        <v>24.564309999999999</v>
      </c>
      <c r="O1105">
        <v>14.287660000000001</v>
      </c>
      <c r="P1105">
        <v>19.062560000000001</v>
      </c>
      <c r="Q1105">
        <v>62133</v>
      </c>
    </row>
    <row r="1106" spans="1:17" x14ac:dyDescent="0.25">
      <c r="A1106" t="s">
        <v>22</v>
      </c>
      <c r="B1106">
        <v>56</v>
      </c>
      <c r="C1106">
        <v>0.63</v>
      </c>
      <c r="D1106">
        <v>2005</v>
      </c>
      <c r="E1106" t="s">
        <v>17</v>
      </c>
      <c r="F1106">
        <v>2005061</v>
      </c>
      <c r="G1106">
        <v>2005147</v>
      </c>
      <c r="H1106">
        <v>4238</v>
      </c>
      <c r="I1106">
        <v>640</v>
      </c>
      <c r="J1106">
        <v>50</v>
      </c>
      <c r="K1106">
        <v>164</v>
      </c>
      <c r="L1106">
        <v>123</v>
      </c>
      <c r="M1106">
        <v>25</v>
      </c>
      <c r="N1106">
        <v>24.805299999999999</v>
      </c>
      <c r="O1106">
        <v>14.27445</v>
      </c>
      <c r="P1106">
        <v>19.76784</v>
      </c>
      <c r="Q1106">
        <v>17911</v>
      </c>
    </row>
    <row r="1107" spans="1:17" x14ac:dyDescent="0.25">
      <c r="A1107" t="s">
        <v>22</v>
      </c>
      <c r="B1107">
        <v>56</v>
      </c>
      <c r="C1107">
        <v>0.63</v>
      </c>
      <c r="D1107">
        <v>2006</v>
      </c>
      <c r="E1107" t="s">
        <v>17</v>
      </c>
      <c r="F1107">
        <v>2006061</v>
      </c>
      <c r="G1107">
        <v>2006140</v>
      </c>
      <c r="H1107">
        <v>6477</v>
      </c>
      <c r="I1107">
        <v>1920</v>
      </c>
      <c r="J1107">
        <v>50</v>
      </c>
      <c r="K1107">
        <v>240</v>
      </c>
      <c r="L1107">
        <v>396</v>
      </c>
      <c r="M1107">
        <v>25</v>
      </c>
      <c r="N1107">
        <v>25.702190000000002</v>
      </c>
      <c r="O1107">
        <v>14.981059999999999</v>
      </c>
      <c r="P1107">
        <v>20.3674</v>
      </c>
      <c r="Q1107">
        <v>53762</v>
      </c>
    </row>
    <row r="1108" spans="1:17" x14ac:dyDescent="0.25">
      <c r="A1108" t="s">
        <v>22</v>
      </c>
      <c r="B1108">
        <v>56</v>
      </c>
      <c r="C1108">
        <v>0.63</v>
      </c>
      <c r="D1108">
        <v>2007</v>
      </c>
      <c r="E1108" t="s">
        <v>17</v>
      </c>
      <c r="F1108">
        <v>2007061</v>
      </c>
      <c r="G1108">
        <v>2007145</v>
      </c>
      <c r="H1108">
        <v>6877</v>
      </c>
      <c r="I1108">
        <v>2095</v>
      </c>
      <c r="J1108">
        <v>50</v>
      </c>
      <c r="K1108">
        <v>382</v>
      </c>
      <c r="L1108">
        <v>163</v>
      </c>
      <c r="M1108">
        <v>25</v>
      </c>
      <c r="N1108">
        <v>25.051100000000002</v>
      </c>
      <c r="O1108">
        <v>14.36872</v>
      </c>
      <c r="P1108">
        <v>20.97533</v>
      </c>
      <c r="Q1108">
        <v>58661</v>
      </c>
    </row>
    <row r="1109" spans="1:17" x14ac:dyDescent="0.25">
      <c r="A1109" t="s">
        <v>22</v>
      </c>
      <c r="B1109">
        <v>56</v>
      </c>
      <c r="C1109">
        <v>0.63</v>
      </c>
      <c r="D1109">
        <v>2008</v>
      </c>
      <c r="E1109" t="s">
        <v>17</v>
      </c>
      <c r="F1109">
        <v>2008061</v>
      </c>
      <c r="G1109">
        <v>2008146</v>
      </c>
      <c r="H1109">
        <v>7270</v>
      </c>
      <c r="I1109">
        <v>2444</v>
      </c>
      <c r="J1109">
        <v>50</v>
      </c>
      <c r="K1109">
        <v>301</v>
      </c>
      <c r="L1109">
        <v>309</v>
      </c>
      <c r="M1109">
        <v>25</v>
      </c>
      <c r="N1109">
        <v>24.779299999999999</v>
      </c>
      <c r="O1109">
        <v>13.50353</v>
      </c>
      <c r="P1109">
        <v>20.051110000000001</v>
      </c>
      <c r="Q1109">
        <v>68441</v>
      </c>
    </row>
    <row r="1110" spans="1:17" x14ac:dyDescent="0.25">
      <c r="A1110" t="s">
        <v>22</v>
      </c>
      <c r="B1110">
        <v>56</v>
      </c>
      <c r="C1110">
        <v>0.63</v>
      </c>
      <c r="D1110">
        <v>2009</v>
      </c>
      <c r="E1110" t="s">
        <v>18</v>
      </c>
      <c r="F1110">
        <v>2009061</v>
      </c>
      <c r="G1110">
        <v>2009140</v>
      </c>
      <c r="H1110">
        <v>5897</v>
      </c>
      <c r="I1110">
        <v>1852</v>
      </c>
      <c r="J1110">
        <v>50</v>
      </c>
      <c r="K1110">
        <v>425</v>
      </c>
      <c r="L1110">
        <v>200</v>
      </c>
      <c r="M1110">
        <v>25</v>
      </c>
      <c r="N1110">
        <v>25.596910000000001</v>
      </c>
      <c r="O1110">
        <v>14.48723</v>
      </c>
      <c r="P1110">
        <v>21.38898</v>
      </c>
      <c r="Q1110">
        <v>51856</v>
      </c>
    </row>
    <row r="1111" spans="1:17" x14ac:dyDescent="0.25">
      <c r="A1111" t="s">
        <v>22</v>
      </c>
      <c r="B1111">
        <v>56</v>
      </c>
      <c r="C1111">
        <v>0.63</v>
      </c>
      <c r="D1111">
        <v>2010</v>
      </c>
      <c r="E1111" t="s">
        <v>18</v>
      </c>
      <c r="F1111">
        <v>2010061</v>
      </c>
      <c r="G1111">
        <v>2010145</v>
      </c>
      <c r="H1111">
        <v>7474</v>
      </c>
      <c r="I1111">
        <v>3010</v>
      </c>
      <c r="J1111">
        <v>50</v>
      </c>
      <c r="K1111">
        <v>275</v>
      </c>
      <c r="L1111">
        <v>162</v>
      </c>
      <c r="M1111">
        <v>25</v>
      </c>
      <c r="N1111">
        <v>24.91938</v>
      </c>
      <c r="O1111">
        <v>13.80044</v>
      </c>
      <c r="P1111">
        <v>19.719380000000001</v>
      </c>
      <c r="Q1111">
        <v>84274</v>
      </c>
    </row>
    <row r="1112" spans="1:17" x14ac:dyDescent="0.25">
      <c r="A1112" t="s">
        <v>22</v>
      </c>
      <c r="B1112">
        <v>56</v>
      </c>
      <c r="C1112">
        <v>0.63</v>
      </c>
      <c r="D1112">
        <v>2011</v>
      </c>
      <c r="E1112" t="s">
        <v>18</v>
      </c>
      <c r="F1112">
        <v>2011061</v>
      </c>
      <c r="G1112">
        <v>2011138</v>
      </c>
      <c r="H1112">
        <v>4946</v>
      </c>
      <c r="I1112">
        <v>1888</v>
      </c>
      <c r="J1112">
        <v>50</v>
      </c>
      <c r="K1112">
        <v>245</v>
      </c>
      <c r="L1112">
        <v>47</v>
      </c>
      <c r="M1112">
        <v>25</v>
      </c>
      <c r="N1112">
        <v>25.877970000000001</v>
      </c>
      <c r="O1112">
        <v>14.94229</v>
      </c>
      <c r="P1112">
        <v>19.41189</v>
      </c>
      <c r="Q1112">
        <v>52877</v>
      </c>
    </row>
    <row r="1113" spans="1:17" x14ac:dyDescent="0.25">
      <c r="A1113" t="s">
        <v>22</v>
      </c>
      <c r="B1113">
        <v>56</v>
      </c>
      <c r="C1113">
        <v>0.63</v>
      </c>
      <c r="D1113">
        <v>2012</v>
      </c>
      <c r="E1113" t="s">
        <v>18</v>
      </c>
      <c r="F1113">
        <v>2012061</v>
      </c>
      <c r="G1113">
        <v>2012147</v>
      </c>
      <c r="H1113">
        <v>6518</v>
      </c>
      <c r="I1113">
        <v>2397</v>
      </c>
      <c r="J1113">
        <v>50</v>
      </c>
      <c r="K1113">
        <v>144</v>
      </c>
      <c r="L1113">
        <v>277</v>
      </c>
      <c r="M1113">
        <v>25</v>
      </c>
      <c r="N1113">
        <v>26.235240000000001</v>
      </c>
      <c r="O1113">
        <v>14.305289999999999</v>
      </c>
      <c r="P1113">
        <v>18.859470000000002</v>
      </c>
      <c r="Q1113">
        <v>67117</v>
      </c>
    </row>
    <row r="1114" spans="1:17" x14ac:dyDescent="0.25">
      <c r="A1114" t="s">
        <v>22</v>
      </c>
      <c r="B1114">
        <v>56</v>
      </c>
      <c r="C1114">
        <v>0.63</v>
      </c>
      <c r="D1114">
        <v>2013</v>
      </c>
      <c r="E1114" t="s">
        <v>18</v>
      </c>
      <c r="F1114">
        <v>2013061</v>
      </c>
      <c r="G1114">
        <v>2013140</v>
      </c>
      <c r="H1114">
        <v>7025</v>
      </c>
      <c r="I1114">
        <v>3018</v>
      </c>
      <c r="J1114">
        <v>50</v>
      </c>
      <c r="K1114">
        <v>328</v>
      </c>
      <c r="L1114">
        <v>119</v>
      </c>
      <c r="M1114">
        <v>25</v>
      </c>
      <c r="N1114">
        <v>25.42643</v>
      </c>
      <c r="O1114">
        <v>14.00881</v>
      </c>
      <c r="P1114">
        <v>20.36476</v>
      </c>
      <c r="Q1114">
        <v>84498</v>
      </c>
    </row>
    <row r="1115" spans="1:17" x14ac:dyDescent="0.25">
      <c r="A1115" t="s">
        <v>22</v>
      </c>
      <c r="B1115">
        <v>56</v>
      </c>
      <c r="C1115">
        <v>0.63</v>
      </c>
      <c r="D1115">
        <v>2014</v>
      </c>
      <c r="E1115" t="s">
        <v>18</v>
      </c>
      <c r="F1115">
        <v>2014061</v>
      </c>
      <c r="G1115">
        <v>2014141</v>
      </c>
      <c r="H1115">
        <v>3125</v>
      </c>
      <c r="I1115">
        <v>2137</v>
      </c>
      <c r="J1115">
        <v>50</v>
      </c>
      <c r="K1115">
        <v>208</v>
      </c>
      <c r="L1115">
        <v>48</v>
      </c>
      <c r="M1115">
        <v>25</v>
      </c>
      <c r="N1115">
        <v>25.705279999999998</v>
      </c>
      <c r="O1115">
        <v>14.537879999999999</v>
      </c>
      <c r="P1115">
        <v>21.123339999999999</v>
      </c>
      <c r="Q1115">
        <v>59825</v>
      </c>
    </row>
    <row r="1116" spans="1:17" x14ac:dyDescent="0.25">
      <c r="A1116" t="s">
        <v>22</v>
      </c>
      <c r="B1116">
        <v>56</v>
      </c>
      <c r="C1116">
        <v>0.63</v>
      </c>
      <c r="D1116">
        <v>2015</v>
      </c>
      <c r="E1116" t="s">
        <v>18</v>
      </c>
      <c r="F1116">
        <v>2015061</v>
      </c>
      <c r="G1116">
        <v>2015146</v>
      </c>
      <c r="H1116">
        <v>5009</v>
      </c>
      <c r="I1116">
        <v>1937</v>
      </c>
      <c r="J1116">
        <v>50</v>
      </c>
      <c r="K1116">
        <v>517</v>
      </c>
      <c r="L1116">
        <v>167</v>
      </c>
      <c r="M1116">
        <v>25</v>
      </c>
      <c r="N1116">
        <v>26.207930000000001</v>
      </c>
      <c r="O1116">
        <v>14.4978</v>
      </c>
      <c r="P1116">
        <v>20.777529999999999</v>
      </c>
      <c r="Q1116">
        <v>54241</v>
      </c>
    </row>
    <row r="1117" spans="1:17" x14ac:dyDescent="0.25">
      <c r="A1117" t="s">
        <v>22</v>
      </c>
      <c r="B1117">
        <v>56</v>
      </c>
      <c r="C1117">
        <v>0.63</v>
      </c>
      <c r="D1117">
        <v>2016</v>
      </c>
      <c r="E1117" t="s">
        <v>18</v>
      </c>
      <c r="F1117">
        <v>2016061</v>
      </c>
      <c r="G1117">
        <v>2016146</v>
      </c>
      <c r="H1117">
        <v>7339</v>
      </c>
      <c r="I1117">
        <v>2355</v>
      </c>
      <c r="J1117">
        <v>50</v>
      </c>
      <c r="K1117">
        <v>172</v>
      </c>
      <c r="L1117">
        <v>94</v>
      </c>
      <c r="M1117">
        <v>25</v>
      </c>
      <c r="N1117">
        <v>25.967400000000001</v>
      </c>
      <c r="O1117">
        <v>14.266959999999999</v>
      </c>
      <c r="P1117">
        <v>20.68458</v>
      </c>
      <c r="Q1117">
        <v>65929</v>
      </c>
    </row>
    <row r="1118" spans="1:17" x14ac:dyDescent="0.25">
      <c r="A1118" t="s">
        <v>22</v>
      </c>
      <c r="B1118">
        <v>56</v>
      </c>
      <c r="C1118">
        <v>0.63</v>
      </c>
      <c r="D1118">
        <v>2017</v>
      </c>
      <c r="E1118" t="s">
        <v>18</v>
      </c>
      <c r="F1118">
        <v>2017061</v>
      </c>
      <c r="G1118">
        <v>2017137</v>
      </c>
      <c r="H1118">
        <v>5443</v>
      </c>
      <c r="I1118">
        <v>2197</v>
      </c>
      <c r="J1118">
        <v>50</v>
      </c>
      <c r="K1118">
        <v>128</v>
      </c>
      <c r="L1118">
        <v>416</v>
      </c>
      <c r="M1118">
        <v>25</v>
      </c>
      <c r="N1118">
        <v>26.67313</v>
      </c>
      <c r="O1118">
        <v>14.5022</v>
      </c>
      <c r="P1118">
        <v>20.432600000000001</v>
      </c>
      <c r="Q1118">
        <v>61518</v>
      </c>
    </row>
    <row r="1119" spans="1:17" x14ac:dyDescent="0.25">
      <c r="A1119" t="s">
        <v>22</v>
      </c>
      <c r="B1119">
        <v>56</v>
      </c>
      <c r="C1119">
        <v>0.63</v>
      </c>
      <c r="D1119">
        <v>2018</v>
      </c>
      <c r="E1119" t="s">
        <v>18</v>
      </c>
      <c r="F1119">
        <v>2018061</v>
      </c>
      <c r="G1119">
        <v>2018138</v>
      </c>
      <c r="H1119">
        <v>4194</v>
      </c>
      <c r="I1119">
        <v>2260</v>
      </c>
      <c r="J1119">
        <v>50</v>
      </c>
      <c r="K1119">
        <v>328</v>
      </c>
      <c r="L1119">
        <v>76</v>
      </c>
      <c r="M1119">
        <v>25</v>
      </c>
      <c r="N1119">
        <v>26.23658</v>
      </c>
      <c r="O1119">
        <v>14.86476</v>
      </c>
      <c r="P1119">
        <v>20.315850000000001</v>
      </c>
      <c r="Q1119">
        <v>63286</v>
      </c>
    </row>
    <row r="1120" spans="1:17" x14ac:dyDescent="0.25">
      <c r="A1120" t="s">
        <v>22</v>
      </c>
      <c r="B1120">
        <v>56</v>
      </c>
      <c r="C1120">
        <v>0.63</v>
      </c>
      <c r="D1120">
        <v>2019</v>
      </c>
      <c r="E1120" t="s">
        <v>18</v>
      </c>
      <c r="F1120">
        <v>2019061</v>
      </c>
      <c r="G1120">
        <v>2019154</v>
      </c>
      <c r="H1120">
        <v>7080</v>
      </c>
      <c r="I1120">
        <v>2394</v>
      </c>
      <c r="J1120">
        <v>50</v>
      </c>
      <c r="K1120">
        <v>180</v>
      </c>
      <c r="L1120">
        <v>228</v>
      </c>
      <c r="M1120">
        <v>25</v>
      </c>
      <c r="N1120">
        <v>26.27665</v>
      </c>
      <c r="O1120">
        <v>14.49075</v>
      </c>
      <c r="P1120">
        <v>20.80219</v>
      </c>
      <c r="Q1120">
        <v>67031</v>
      </c>
    </row>
    <row r="1121" spans="1:17" x14ac:dyDescent="0.25">
      <c r="A1121" t="s">
        <v>22</v>
      </c>
      <c r="B1121">
        <v>56</v>
      </c>
      <c r="C1121">
        <v>0.63</v>
      </c>
      <c r="D1121">
        <v>2020</v>
      </c>
      <c r="E1121" t="s">
        <v>18</v>
      </c>
      <c r="F1121">
        <v>2020061</v>
      </c>
      <c r="G1121">
        <v>2020144</v>
      </c>
      <c r="H1121">
        <v>4911</v>
      </c>
      <c r="I1121">
        <v>2176</v>
      </c>
      <c r="J1121">
        <v>50</v>
      </c>
      <c r="K1121">
        <v>318</v>
      </c>
      <c r="L1121">
        <v>223</v>
      </c>
      <c r="M1121">
        <v>25</v>
      </c>
      <c r="N1121">
        <v>26.21321</v>
      </c>
      <c r="O1121">
        <v>14.70837</v>
      </c>
      <c r="P1121">
        <v>19.073139999999999</v>
      </c>
      <c r="Q1121">
        <v>60915</v>
      </c>
    </row>
    <row r="1122" spans="1:17" x14ac:dyDescent="0.25">
      <c r="A1122" t="s">
        <v>22</v>
      </c>
      <c r="B1122">
        <v>57</v>
      </c>
      <c r="C1122">
        <v>0.87</v>
      </c>
      <c r="D1122">
        <v>2001</v>
      </c>
      <c r="E1122" t="s">
        <v>17</v>
      </c>
      <c r="F1122">
        <v>2001075</v>
      </c>
      <c r="G1122">
        <v>2001148</v>
      </c>
      <c r="H1122">
        <v>6735</v>
      </c>
      <c r="I1122">
        <v>2121</v>
      </c>
      <c r="J1122">
        <v>50</v>
      </c>
      <c r="K1122">
        <v>259</v>
      </c>
      <c r="L1122">
        <v>235</v>
      </c>
      <c r="M1122">
        <v>25</v>
      </c>
      <c r="N1122">
        <v>26.192959999999999</v>
      </c>
      <c r="O1122">
        <v>15.4277</v>
      </c>
      <c r="P1122">
        <v>20.232859999999999</v>
      </c>
      <c r="Q1122">
        <v>44534</v>
      </c>
    </row>
    <row r="1123" spans="1:17" x14ac:dyDescent="0.25">
      <c r="A1123" t="s">
        <v>22</v>
      </c>
      <c r="B1123">
        <v>57</v>
      </c>
      <c r="C1123">
        <v>0.87</v>
      </c>
      <c r="D1123">
        <v>2002</v>
      </c>
      <c r="E1123" t="s">
        <v>17</v>
      </c>
      <c r="F1123">
        <v>2002075</v>
      </c>
      <c r="G1123">
        <v>2002155</v>
      </c>
      <c r="H1123">
        <v>7343</v>
      </c>
      <c r="I1123">
        <v>2238</v>
      </c>
      <c r="J1123">
        <v>50</v>
      </c>
      <c r="K1123">
        <v>363</v>
      </c>
      <c r="L1123">
        <v>179</v>
      </c>
      <c r="M1123">
        <v>25</v>
      </c>
      <c r="N1123">
        <v>25.02206</v>
      </c>
      <c r="O1123">
        <v>14.641299999999999</v>
      </c>
      <c r="P1123">
        <v>19.64883</v>
      </c>
      <c r="Q1123">
        <v>46994</v>
      </c>
    </row>
    <row r="1124" spans="1:17" x14ac:dyDescent="0.25">
      <c r="A1124" t="s">
        <v>22</v>
      </c>
      <c r="B1124">
        <v>57</v>
      </c>
      <c r="C1124">
        <v>0.87</v>
      </c>
      <c r="D1124">
        <v>2003</v>
      </c>
      <c r="E1124" t="s">
        <v>17</v>
      </c>
      <c r="F1124">
        <v>2003075</v>
      </c>
      <c r="G1124">
        <v>2003154</v>
      </c>
      <c r="H1124">
        <v>5917</v>
      </c>
      <c r="I1124">
        <v>1662</v>
      </c>
      <c r="J1124">
        <v>50</v>
      </c>
      <c r="K1124">
        <v>510</v>
      </c>
      <c r="L1124">
        <v>72</v>
      </c>
      <c r="M1124">
        <v>25</v>
      </c>
      <c r="N1124">
        <v>26.204219999999999</v>
      </c>
      <c r="O1124">
        <v>15.82253</v>
      </c>
      <c r="P1124">
        <v>20.783100000000001</v>
      </c>
      <c r="Q1124">
        <v>34892</v>
      </c>
    </row>
    <row r="1125" spans="1:17" x14ac:dyDescent="0.25">
      <c r="A1125" t="s">
        <v>22</v>
      </c>
      <c r="B1125">
        <v>57</v>
      </c>
      <c r="C1125">
        <v>0.87</v>
      </c>
      <c r="D1125">
        <v>2004</v>
      </c>
      <c r="E1125" t="s">
        <v>17</v>
      </c>
      <c r="F1125">
        <v>2004075</v>
      </c>
      <c r="G1125">
        <v>2004158</v>
      </c>
      <c r="H1125">
        <v>6193</v>
      </c>
      <c r="I1125">
        <v>1986</v>
      </c>
      <c r="J1125">
        <v>50</v>
      </c>
      <c r="K1125">
        <v>454</v>
      </c>
      <c r="L1125">
        <v>103</v>
      </c>
      <c r="M1125">
        <v>25</v>
      </c>
      <c r="N1125">
        <v>25.152570000000001</v>
      </c>
      <c r="O1125">
        <v>14.92958</v>
      </c>
      <c r="P1125">
        <v>19.559149999999999</v>
      </c>
      <c r="Q1125">
        <v>41709</v>
      </c>
    </row>
    <row r="1126" spans="1:17" x14ac:dyDescent="0.25">
      <c r="A1126" t="s">
        <v>22</v>
      </c>
      <c r="B1126">
        <v>57</v>
      </c>
      <c r="C1126">
        <v>0.87</v>
      </c>
      <c r="D1126">
        <v>2005</v>
      </c>
      <c r="E1126" t="s">
        <v>17</v>
      </c>
      <c r="F1126">
        <v>2005075</v>
      </c>
      <c r="G1126">
        <v>2005151</v>
      </c>
      <c r="H1126">
        <v>4024</v>
      </c>
      <c r="I1126">
        <v>429</v>
      </c>
      <c r="J1126">
        <v>50</v>
      </c>
      <c r="K1126">
        <v>164</v>
      </c>
      <c r="L1126">
        <v>123</v>
      </c>
      <c r="M1126">
        <v>25</v>
      </c>
      <c r="N1126">
        <v>25.533809999999999</v>
      </c>
      <c r="O1126">
        <v>15.030989999999999</v>
      </c>
      <c r="P1126">
        <v>20.18169</v>
      </c>
      <c r="Q1126">
        <v>8999</v>
      </c>
    </row>
    <row r="1127" spans="1:17" x14ac:dyDescent="0.25">
      <c r="A1127" t="s">
        <v>22</v>
      </c>
      <c r="B1127">
        <v>57</v>
      </c>
      <c r="C1127">
        <v>0.87</v>
      </c>
      <c r="D1127">
        <v>2006</v>
      </c>
      <c r="E1127" t="s">
        <v>17</v>
      </c>
      <c r="F1127">
        <v>2006075</v>
      </c>
      <c r="G1127">
        <v>2006148</v>
      </c>
      <c r="H1127">
        <v>6972</v>
      </c>
      <c r="I1127">
        <v>2320</v>
      </c>
      <c r="J1127">
        <v>50</v>
      </c>
      <c r="K1127">
        <v>240</v>
      </c>
      <c r="L1127">
        <v>396</v>
      </c>
      <c r="M1127">
        <v>25</v>
      </c>
      <c r="N1127">
        <v>26.137080000000001</v>
      </c>
      <c r="O1127">
        <v>15.48826</v>
      </c>
      <c r="P1127">
        <v>20.66761</v>
      </c>
      <c r="Q1127">
        <v>48711</v>
      </c>
    </row>
    <row r="1128" spans="1:17" x14ac:dyDescent="0.25">
      <c r="A1128" t="s">
        <v>22</v>
      </c>
      <c r="B1128">
        <v>57</v>
      </c>
      <c r="C1128">
        <v>0.87</v>
      </c>
      <c r="D1128">
        <v>2007</v>
      </c>
      <c r="E1128" t="s">
        <v>17</v>
      </c>
      <c r="F1128">
        <v>2007075</v>
      </c>
      <c r="G1128">
        <v>2007152</v>
      </c>
      <c r="H1128">
        <v>6752</v>
      </c>
      <c r="I1128">
        <v>2165</v>
      </c>
      <c r="J1128">
        <v>50</v>
      </c>
      <c r="K1128">
        <v>382</v>
      </c>
      <c r="L1128">
        <v>163</v>
      </c>
      <c r="M1128">
        <v>25</v>
      </c>
      <c r="N1128">
        <v>25.3507</v>
      </c>
      <c r="O1128">
        <v>14.815020000000001</v>
      </c>
      <c r="P1128">
        <v>21.18075</v>
      </c>
      <c r="Q1128">
        <v>45470</v>
      </c>
    </row>
    <row r="1129" spans="1:17" x14ac:dyDescent="0.25">
      <c r="A1129" t="s">
        <v>22</v>
      </c>
      <c r="B1129">
        <v>57</v>
      </c>
      <c r="C1129">
        <v>0.87</v>
      </c>
      <c r="D1129">
        <v>2008</v>
      </c>
      <c r="E1129" t="s">
        <v>17</v>
      </c>
      <c r="F1129">
        <v>2008075</v>
      </c>
      <c r="G1129">
        <v>2008155</v>
      </c>
      <c r="H1129">
        <v>7872</v>
      </c>
      <c r="I1129">
        <v>2814</v>
      </c>
      <c r="J1129">
        <v>50</v>
      </c>
      <c r="K1129">
        <v>301</v>
      </c>
      <c r="L1129">
        <v>309</v>
      </c>
      <c r="M1129">
        <v>25</v>
      </c>
      <c r="N1129">
        <v>25.16855</v>
      </c>
      <c r="O1129">
        <v>14.024419999999999</v>
      </c>
      <c r="P1129">
        <v>20.277940000000001</v>
      </c>
      <c r="Q1129">
        <v>59099</v>
      </c>
    </row>
    <row r="1130" spans="1:17" x14ac:dyDescent="0.25">
      <c r="A1130" t="s">
        <v>22</v>
      </c>
      <c r="B1130">
        <v>57</v>
      </c>
      <c r="C1130">
        <v>0.87</v>
      </c>
      <c r="D1130">
        <v>2009</v>
      </c>
      <c r="E1130" t="s">
        <v>17</v>
      </c>
      <c r="F1130">
        <v>2009075</v>
      </c>
      <c r="G1130">
        <v>2009153</v>
      </c>
      <c r="H1130">
        <v>6835</v>
      </c>
      <c r="I1130">
        <v>1768</v>
      </c>
      <c r="J1130">
        <v>50</v>
      </c>
      <c r="K1130">
        <v>425</v>
      </c>
      <c r="L1130">
        <v>200</v>
      </c>
      <c r="M1130">
        <v>25</v>
      </c>
      <c r="N1130">
        <v>26.104220000000002</v>
      </c>
      <c r="O1130">
        <v>15.06667</v>
      </c>
      <c r="P1130">
        <v>21.802820000000001</v>
      </c>
      <c r="Q1130">
        <v>37133</v>
      </c>
    </row>
    <row r="1131" spans="1:17" x14ac:dyDescent="0.25">
      <c r="A1131" t="s">
        <v>22</v>
      </c>
      <c r="B1131">
        <v>57</v>
      </c>
      <c r="C1131">
        <v>0.87</v>
      </c>
      <c r="D1131">
        <v>2010</v>
      </c>
      <c r="E1131" t="s">
        <v>17</v>
      </c>
      <c r="F1131">
        <v>2010075</v>
      </c>
      <c r="G1131">
        <v>2010155</v>
      </c>
      <c r="H1131">
        <v>7584</v>
      </c>
      <c r="I1131">
        <v>2567</v>
      </c>
      <c r="J1131">
        <v>50</v>
      </c>
      <c r="K1131">
        <v>275</v>
      </c>
      <c r="L1131">
        <v>162</v>
      </c>
      <c r="M1131">
        <v>25</v>
      </c>
      <c r="N1131">
        <v>25.68544</v>
      </c>
      <c r="O1131">
        <v>14.51173</v>
      </c>
      <c r="P1131">
        <v>20.17417</v>
      </c>
      <c r="Q1131">
        <v>53907</v>
      </c>
    </row>
    <row r="1132" spans="1:17" x14ac:dyDescent="0.25">
      <c r="A1132" t="s">
        <v>22</v>
      </c>
      <c r="B1132">
        <v>57</v>
      </c>
      <c r="C1132">
        <v>0.87</v>
      </c>
      <c r="D1132">
        <v>2011</v>
      </c>
      <c r="E1132" t="s">
        <v>18</v>
      </c>
      <c r="F1132">
        <v>2011075</v>
      </c>
      <c r="G1132">
        <v>2011141</v>
      </c>
      <c r="H1132">
        <v>5055</v>
      </c>
      <c r="I1132">
        <v>2035</v>
      </c>
      <c r="J1132">
        <v>50</v>
      </c>
      <c r="K1132">
        <v>245</v>
      </c>
      <c r="L1132">
        <v>47</v>
      </c>
      <c r="M1132">
        <v>25</v>
      </c>
      <c r="N1132">
        <v>26.575579999999999</v>
      </c>
      <c r="O1132">
        <v>15.536619999999999</v>
      </c>
      <c r="P1132">
        <v>20.044139999999999</v>
      </c>
      <c r="Q1132">
        <v>42730</v>
      </c>
    </row>
    <row r="1133" spans="1:17" x14ac:dyDescent="0.25">
      <c r="A1133" t="s">
        <v>22</v>
      </c>
      <c r="B1133">
        <v>57</v>
      </c>
      <c r="C1133">
        <v>0.87</v>
      </c>
      <c r="D1133">
        <v>2012</v>
      </c>
      <c r="E1133" t="s">
        <v>18</v>
      </c>
      <c r="F1133">
        <v>2012075</v>
      </c>
      <c r="G1133">
        <v>2012147</v>
      </c>
      <c r="H1133">
        <v>6891</v>
      </c>
      <c r="I1133">
        <v>2750</v>
      </c>
      <c r="J1133">
        <v>50</v>
      </c>
      <c r="K1133">
        <v>144</v>
      </c>
      <c r="L1133">
        <v>277</v>
      </c>
      <c r="M1133">
        <v>25</v>
      </c>
      <c r="N1133">
        <v>26.712679999999999</v>
      </c>
      <c r="O1133">
        <v>14.931929999999999</v>
      </c>
      <c r="P1133">
        <v>19.115020000000001</v>
      </c>
      <c r="Q1133">
        <v>57740</v>
      </c>
    </row>
    <row r="1134" spans="1:17" x14ac:dyDescent="0.25">
      <c r="A1134" t="s">
        <v>22</v>
      </c>
      <c r="B1134">
        <v>57</v>
      </c>
      <c r="C1134">
        <v>0.87</v>
      </c>
      <c r="D1134">
        <v>2013</v>
      </c>
      <c r="E1134" t="s">
        <v>18</v>
      </c>
      <c r="F1134">
        <v>2013075</v>
      </c>
      <c r="G1134">
        <v>2013148</v>
      </c>
      <c r="H1134">
        <v>7064</v>
      </c>
      <c r="I1134">
        <v>2916</v>
      </c>
      <c r="J1134">
        <v>50</v>
      </c>
      <c r="K1134">
        <v>328</v>
      </c>
      <c r="L1134">
        <v>119</v>
      </c>
      <c r="M1134">
        <v>25</v>
      </c>
      <c r="N1134">
        <v>25.902819999999998</v>
      </c>
      <c r="O1134">
        <v>14.50892</v>
      </c>
      <c r="P1134">
        <v>20.789200000000001</v>
      </c>
      <c r="Q1134">
        <v>61244</v>
      </c>
    </row>
    <row r="1135" spans="1:17" x14ac:dyDescent="0.25">
      <c r="A1135" t="s">
        <v>22</v>
      </c>
      <c r="B1135">
        <v>57</v>
      </c>
      <c r="C1135">
        <v>0.87</v>
      </c>
      <c r="D1135">
        <v>2014</v>
      </c>
      <c r="E1135" t="s">
        <v>18</v>
      </c>
      <c r="F1135">
        <v>2014075</v>
      </c>
      <c r="G1135">
        <v>2014148</v>
      </c>
      <c r="H1135">
        <v>3099</v>
      </c>
      <c r="I1135">
        <v>1357</v>
      </c>
      <c r="J1135">
        <v>50</v>
      </c>
      <c r="K1135">
        <v>208</v>
      </c>
      <c r="L1135">
        <v>48</v>
      </c>
      <c r="M1135">
        <v>25</v>
      </c>
      <c r="N1135">
        <v>26.17558</v>
      </c>
      <c r="O1135">
        <v>15.128170000000001</v>
      </c>
      <c r="P1135">
        <v>21.437080000000002</v>
      </c>
      <c r="Q1135">
        <v>28496</v>
      </c>
    </row>
    <row r="1136" spans="1:17" x14ac:dyDescent="0.25">
      <c r="A1136" t="s">
        <v>22</v>
      </c>
      <c r="B1136">
        <v>57</v>
      </c>
      <c r="C1136">
        <v>0.87</v>
      </c>
      <c r="D1136">
        <v>2015</v>
      </c>
      <c r="E1136" t="s">
        <v>18</v>
      </c>
      <c r="F1136">
        <v>2015075</v>
      </c>
      <c r="G1136">
        <v>2015146</v>
      </c>
      <c r="H1136">
        <v>8211</v>
      </c>
      <c r="I1136">
        <v>2997</v>
      </c>
      <c r="J1136">
        <v>50</v>
      </c>
      <c r="K1136">
        <v>517</v>
      </c>
      <c r="L1136">
        <v>167</v>
      </c>
      <c r="M1136">
        <v>25</v>
      </c>
      <c r="N1136">
        <v>26.67136</v>
      </c>
      <c r="O1136">
        <v>15.122540000000001</v>
      </c>
      <c r="P1136">
        <v>21.076989999999999</v>
      </c>
      <c r="Q1136">
        <v>62946</v>
      </c>
    </row>
    <row r="1137" spans="1:17" x14ac:dyDescent="0.25">
      <c r="A1137" t="s">
        <v>22</v>
      </c>
      <c r="B1137">
        <v>57</v>
      </c>
      <c r="C1137">
        <v>0.87</v>
      </c>
      <c r="D1137">
        <v>2016</v>
      </c>
      <c r="E1137" t="s">
        <v>18</v>
      </c>
      <c r="F1137">
        <v>2016075</v>
      </c>
      <c r="G1137">
        <v>2016147</v>
      </c>
      <c r="H1137">
        <v>6408</v>
      </c>
      <c r="I1137">
        <v>1700</v>
      </c>
      <c r="J1137">
        <v>50</v>
      </c>
      <c r="K1137">
        <v>172</v>
      </c>
      <c r="L1137">
        <v>94</v>
      </c>
      <c r="M1137">
        <v>25</v>
      </c>
      <c r="N1137">
        <v>26.4831</v>
      </c>
      <c r="O1137">
        <v>14.891080000000001</v>
      </c>
      <c r="P1137">
        <v>21.092009999999998</v>
      </c>
      <c r="Q1137">
        <v>35695</v>
      </c>
    </row>
    <row r="1138" spans="1:17" x14ac:dyDescent="0.25">
      <c r="A1138" t="s">
        <v>22</v>
      </c>
      <c r="B1138">
        <v>57</v>
      </c>
      <c r="C1138">
        <v>0.87</v>
      </c>
      <c r="D1138">
        <v>2017</v>
      </c>
      <c r="E1138" t="s">
        <v>18</v>
      </c>
      <c r="F1138">
        <v>2017075</v>
      </c>
      <c r="G1138">
        <v>2017144</v>
      </c>
      <c r="H1138">
        <v>6566</v>
      </c>
      <c r="I1138">
        <v>2846</v>
      </c>
      <c r="J1138">
        <v>50</v>
      </c>
      <c r="K1138">
        <v>128</v>
      </c>
      <c r="L1138">
        <v>416</v>
      </c>
      <c r="M1138">
        <v>25</v>
      </c>
      <c r="N1138">
        <v>27.065259999999999</v>
      </c>
      <c r="O1138">
        <v>14.944129999999999</v>
      </c>
      <c r="P1138">
        <v>20.8338</v>
      </c>
      <c r="Q1138">
        <v>59768</v>
      </c>
    </row>
    <row r="1139" spans="1:17" x14ac:dyDescent="0.25">
      <c r="A1139" t="s">
        <v>22</v>
      </c>
      <c r="B1139">
        <v>57</v>
      </c>
      <c r="C1139">
        <v>0.87</v>
      </c>
      <c r="D1139">
        <v>2018</v>
      </c>
      <c r="E1139" t="s">
        <v>18</v>
      </c>
      <c r="F1139">
        <v>2018075</v>
      </c>
      <c r="G1139">
        <v>2018147</v>
      </c>
      <c r="H1139">
        <v>4313</v>
      </c>
      <c r="I1139">
        <v>2059</v>
      </c>
      <c r="J1139">
        <v>50</v>
      </c>
      <c r="K1139">
        <v>328</v>
      </c>
      <c r="L1139">
        <v>76</v>
      </c>
      <c r="M1139">
        <v>25</v>
      </c>
      <c r="N1139">
        <v>26.701889999999999</v>
      </c>
      <c r="O1139">
        <v>15.35164</v>
      </c>
      <c r="P1139">
        <v>20.764779999999998</v>
      </c>
      <c r="Q1139">
        <v>43234</v>
      </c>
    </row>
    <row r="1140" spans="1:17" x14ac:dyDescent="0.25">
      <c r="A1140" t="s">
        <v>22</v>
      </c>
      <c r="B1140">
        <v>57</v>
      </c>
      <c r="C1140">
        <v>0.87</v>
      </c>
      <c r="D1140">
        <v>2019</v>
      </c>
      <c r="E1140" t="s">
        <v>18</v>
      </c>
      <c r="F1140">
        <v>2019075</v>
      </c>
      <c r="G1140">
        <v>2019154</v>
      </c>
      <c r="H1140">
        <v>7812</v>
      </c>
      <c r="I1140">
        <v>3037</v>
      </c>
      <c r="J1140">
        <v>50</v>
      </c>
      <c r="K1140">
        <v>180</v>
      </c>
      <c r="L1140">
        <v>228</v>
      </c>
      <c r="M1140">
        <v>25</v>
      </c>
      <c r="N1140">
        <v>26.593889999999998</v>
      </c>
      <c r="O1140">
        <v>14.99155</v>
      </c>
      <c r="P1140">
        <v>21.042719999999999</v>
      </c>
      <c r="Q1140">
        <v>63784</v>
      </c>
    </row>
    <row r="1141" spans="1:17" x14ac:dyDescent="0.25">
      <c r="A1141" t="s">
        <v>22</v>
      </c>
      <c r="B1141">
        <v>57</v>
      </c>
      <c r="C1141">
        <v>0.87</v>
      </c>
      <c r="D1141">
        <v>2020</v>
      </c>
      <c r="E1141" t="s">
        <v>18</v>
      </c>
      <c r="F1141">
        <v>2020075</v>
      </c>
      <c r="G1141">
        <v>2020144</v>
      </c>
      <c r="H1141">
        <v>5402</v>
      </c>
      <c r="I1141">
        <v>2566</v>
      </c>
      <c r="J1141">
        <v>50</v>
      </c>
      <c r="K1141">
        <v>318</v>
      </c>
      <c r="L1141">
        <v>223</v>
      </c>
      <c r="M1141">
        <v>25</v>
      </c>
      <c r="N1141">
        <v>26.579339999999998</v>
      </c>
      <c r="O1141">
        <v>15.15305</v>
      </c>
      <c r="P1141">
        <v>19.32348</v>
      </c>
      <c r="Q1141">
        <v>53886</v>
      </c>
    </row>
    <row r="1142" spans="1:17" x14ac:dyDescent="0.25">
      <c r="A1142" t="s">
        <v>22</v>
      </c>
      <c r="B1142">
        <v>58</v>
      </c>
      <c r="C1142">
        <v>0.85</v>
      </c>
      <c r="D1142">
        <v>2001</v>
      </c>
      <c r="E1142" t="s">
        <v>17</v>
      </c>
      <c r="F1142">
        <v>2001091</v>
      </c>
      <c r="G1142">
        <v>2001159</v>
      </c>
      <c r="H1142">
        <v>6915</v>
      </c>
      <c r="I1142">
        <v>1908</v>
      </c>
      <c r="J1142">
        <v>50</v>
      </c>
      <c r="K1142">
        <v>259</v>
      </c>
      <c r="L1142">
        <v>235</v>
      </c>
      <c r="M1142">
        <v>25</v>
      </c>
      <c r="N1142">
        <v>26.408629999999999</v>
      </c>
      <c r="O1142">
        <v>15.918279999999999</v>
      </c>
      <c r="P1142">
        <v>20.468019999999999</v>
      </c>
      <c r="Q1142">
        <v>55341</v>
      </c>
    </row>
    <row r="1143" spans="1:17" x14ac:dyDescent="0.25">
      <c r="A1143" t="s">
        <v>22</v>
      </c>
      <c r="B1143">
        <v>58</v>
      </c>
      <c r="C1143">
        <v>0.85</v>
      </c>
      <c r="D1143">
        <v>2002</v>
      </c>
      <c r="E1143" t="s">
        <v>17</v>
      </c>
      <c r="F1143">
        <v>2002091</v>
      </c>
      <c r="G1143">
        <v>2002162</v>
      </c>
      <c r="H1143">
        <v>6030</v>
      </c>
      <c r="I1143">
        <v>1772</v>
      </c>
      <c r="J1143">
        <v>50</v>
      </c>
      <c r="K1143">
        <v>363</v>
      </c>
      <c r="L1143">
        <v>179</v>
      </c>
      <c r="M1143">
        <v>25</v>
      </c>
      <c r="N1143">
        <v>25.41929</v>
      </c>
      <c r="O1143">
        <v>15.13603</v>
      </c>
      <c r="P1143">
        <v>19.985790000000001</v>
      </c>
      <c r="Q1143">
        <v>51396</v>
      </c>
    </row>
    <row r="1144" spans="1:17" x14ac:dyDescent="0.25">
      <c r="A1144" t="s">
        <v>22</v>
      </c>
      <c r="B1144">
        <v>58</v>
      </c>
      <c r="C1144">
        <v>0.85</v>
      </c>
      <c r="D1144">
        <v>2003</v>
      </c>
      <c r="E1144" t="s">
        <v>17</v>
      </c>
      <c r="F1144">
        <v>2003091</v>
      </c>
      <c r="G1144">
        <v>2003160</v>
      </c>
      <c r="H1144">
        <v>5505</v>
      </c>
      <c r="I1144">
        <v>1752</v>
      </c>
      <c r="J1144">
        <v>50</v>
      </c>
      <c r="K1144">
        <v>510</v>
      </c>
      <c r="L1144">
        <v>72</v>
      </c>
      <c r="M1144">
        <v>25</v>
      </c>
      <c r="N1144">
        <v>26.93451</v>
      </c>
      <c r="O1144">
        <v>16.563960000000002</v>
      </c>
      <c r="P1144">
        <v>21.28173</v>
      </c>
      <c r="Q1144">
        <v>50806</v>
      </c>
    </row>
    <row r="1145" spans="1:17" x14ac:dyDescent="0.25">
      <c r="A1145" t="s">
        <v>22</v>
      </c>
      <c r="B1145">
        <v>58</v>
      </c>
      <c r="C1145">
        <v>0.85</v>
      </c>
      <c r="D1145">
        <v>2004</v>
      </c>
      <c r="E1145" t="s">
        <v>17</v>
      </c>
      <c r="F1145">
        <v>2004091</v>
      </c>
      <c r="G1145">
        <v>2004164</v>
      </c>
      <c r="H1145">
        <v>5597</v>
      </c>
      <c r="I1145">
        <v>1779</v>
      </c>
      <c r="J1145">
        <v>50</v>
      </c>
      <c r="K1145">
        <v>454</v>
      </c>
      <c r="L1145">
        <v>103</v>
      </c>
      <c r="M1145">
        <v>25</v>
      </c>
      <c r="N1145">
        <v>25.963950000000001</v>
      </c>
      <c r="O1145">
        <v>15.55025</v>
      </c>
      <c r="P1145">
        <v>20.337050000000001</v>
      </c>
      <c r="Q1145">
        <v>51604</v>
      </c>
    </row>
    <row r="1146" spans="1:17" x14ac:dyDescent="0.25">
      <c r="A1146" t="s">
        <v>22</v>
      </c>
      <c r="B1146">
        <v>58</v>
      </c>
      <c r="C1146">
        <v>0.85</v>
      </c>
      <c r="D1146">
        <v>2005</v>
      </c>
      <c r="E1146" t="s">
        <v>17</v>
      </c>
      <c r="F1146">
        <v>2005091</v>
      </c>
      <c r="G1146">
        <v>2005161</v>
      </c>
      <c r="H1146">
        <v>3318</v>
      </c>
      <c r="I1146">
        <v>346</v>
      </c>
      <c r="J1146">
        <v>50</v>
      </c>
      <c r="K1146">
        <v>164</v>
      </c>
      <c r="L1146">
        <v>123</v>
      </c>
      <c r="M1146">
        <v>25</v>
      </c>
      <c r="N1146">
        <v>25.985800000000001</v>
      </c>
      <c r="O1146">
        <v>15.52792</v>
      </c>
      <c r="P1146">
        <v>20.501519999999999</v>
      </c>
      <c r="Q1146">
        <v>10041</v>
      </c>
    </row>
    <row r="1147" spans="1:17" x14ac:dyDescent="0.25">
      <c r="A1147" t="s">
        <v>22</v>
      </c>
      <c r="B1147">
        <v>58</v>
      </c>
      <c r="C1147">
        <v>0.85</v>
      </c>
      <c r="D1147">
        <v>2006</v>
      </c>
      <c r="E1147" t="s">
        <v>17</v>
      </c>
      <c r="F1147">
        <v>2006091</v>
      </c>
      <c r="G1147">
        <v>2006159</v>
      </c>
      <c r="H1147">
        <v>7373</v>
      </c>
      <c r="I1147">
        <v>2461</v>
      </c>
      <c r="J1147">
        <v>50</v>
      </c>
      <c r="K1147">
        <v>240</v>
      </c>
      <c r="L1147">
        <v>396</v>
      </c>
      <c r="M1147">
        <v>25</v>
      </c>
      <c r="N1147">
        <v>26.63147</v>
      </c>
      <c r="O1147">
        <v>15.99391</v>
      </c>
      <c r="P1147">
        <v>21.116250000000001</v>
      </c>
      <c r="Q1147">
        <v>71364</v>
      </c>
    </row>
    <row r="1148" spans="1:17" x14ac:dyDescent="0.25">
      <c r="A1148" t="s">
        <v>22</v>
      </c>
      <c r="B1148">
        <v>58</v>
      </c>
      <c r="C1148">
        <v>0.85</v>
      </c>
      <c r="D1148">
        <v>2007</v>
      </c>
      <c r="E1148" t="s">
        <v>17</v>
      </c>
      <c r="F1148">
        <v>2007091</v>
      </c>
      <c r="G1148">
        <v>2007159</v>
      </c>
      <c r="H1148">
        <v>6771</v>
      </c>
      <c r="I1148">
        <v>2146</v>
      </c>
      <c r="J1148">
        <v>50</v>
      </c>
      <c r="K1148">
        <v>382</v>
      </c>
      <c r="L1148">
        <v>163</v>
      </c>
      <c r="M1148">
        <v>25</v>
      </c>
      <c r="N1148">
        <v>26.015219999999999</v>
      </c>
      <c r="O1148">
        <v>15.520300000000001</v>
      </c>
      <c r="P1148">
        <v>21.56447</v>
      </c>
      <c r="Q1148">
        <v>62240</v>
      </c>
    </row>
    <row r="1149" spans="1:17" x14ac:dyDescent="0.25">
      <c r="A1149" t="s">
        <v>22</v>
      </c>
      <c r="B1149">
        <v>58</v>
      </c>
      <c r="C1149">
        <v>0.85</v>
      </c>
      <c r="D1149">
        <v>2008</v>
      </c>
      <c r="E1149" t="s">
        <v>17</v>
      </c>
      <c r="F1149">
        <v>2008091</v>
      </c>
      <c r="G1149">
        <v>2008164</v>
      </c>
      <c r="H1149">
        <v>7194</v>
      </c>
      <c r="I1149">
        <v>2415</v>
      </c>
      <c r="J1149">
        <v>50</v>
      </c>
      <c r="K1149">
        <v>301</v>
      </c>
      <c r="L1149">
        <v>309</v>
      </c>
      <c r="M1149">
        <v>25</v>
      </c>
      <c r="N1149">
        <v>25.65635</v>
      </c>
      <c r="O1149">
        <v>14.63655</v>
      </c>
      <c r="P1149">
        <v>20.479189999999999</v>
      </c>
      <c r="Q1149">
        <v>70027</v>
      </c>
    </row>
    <row r="1150" spans="1:17" x14ac:dyDescent="0.25">
      <c r="A1150" t="s">
        <v>22</v>
      </c>
      <c r="B1150">
        <v>58</v>
      </c>
      <c r="C1150">
        <v>0.85</v>
      </c>
      <c r="D1150">
        <v>2009</v>
      </c>
      <c r="E1150" t="s">
        <v>17</v>
      </c>
      <c r="F1150">
        <v>2009091</v>
      </c>
      <c r="G1150">
        <v>2009160</v>
      </c>
      <c r="H1150">
        <v>6289</v>
      </c>
      <c r="I1150">
        <v>1617</v>
      </c>
      <c r="J1150">
        <v>50</v>
      </c>
      <c r="K1150">
        <v>425</v>
      </c>
      <c r="L1150">
        <v>200</v>
      </c>
      <c r="M1150">
        <v>25</v>
      </c>
      <c r="N1150">
        <v>26.786799999999999</v>
      </c>
      <c r="O1150">
        <v>15.775130000000001</v>
      </c>
      <c r="P1150">
        <v>22.241109999999999</v>
      </c>
      <c r="Q1150">
        <v>46888</v>
      </c>
    </row>
    <row r="1151" spans="1:17" x14ac:dyDescent="0.25">
      <c r="A1151" t="s">
        <v>22</v>
      </c>
      <c r="B1151">
        <v>58</v>
      </c>
      <c r="C1151">
        <v>0.85</v>
      </c>
      <c r="D1151">
        <v>2010</v>
      </c>
      <c r="E1151" t="s">
        <v>17</v>
      </c>
      <c r="F1151">
        <v>2010091</v>
      </c>
      <c r="G1151">
        <v>2010168</v>
      </c>
      <c r="H1151">
        <v>6804</v>
      </c>
      <c r="I1151">
        <v>2143</v>
      </c>
      <c r="J1151">
        <v>50</v>
      </c>
      <c r="K1151">
        <v>275</v>
      </c>
      <c r="L1151">
        <v>162</v>
      </c>
      <c r="M1151">
        <v>25</v>
      </c>
      <c r="N1151">
        <v>26.232990000000001</v>
      </c>
      <c r="O1151">
        <v>15.13705</v>
      </c>
      <c r="P1151">
        <v>20.60304</v>
      </c>
      <c r="Q1151">
        <v>62135</v>
      </c>
    </row>
    <row r="1152" spans="1:17" x14ac:dyDescent="0.25">
      <c r="A1152" t="s">
        <v>22</v>
      </c>
      <c r="B1152">
        <v>58</v>
      </c>
      <c r="C1152">
        <v>0.85</v>
      </c>
      <c r="D1152">
        <v>2011</v>
      </c>
      <c r="E1152" t="s">
        <v>17</v>
      </c>
      <c r="F1152">
        <v>2011091</v>
      </c>
      <c r="G1152">
        <v>2011157</v>
      </c>
      <c r="H1152">
        <v>4807</v>
      </c>
      <c r="I1152">
        <v>993</v>
      </c>
      <c r="J1152">
        <v>50</v>
      </c>
      <c r="K1152">
        <v>245</v>
      </c>
      <c r="L1152">
        <v>47</v>
      </c>
      <c r="M1152">
        <v>25</v>
      </c>
      <c r="N1152">
        <v>27.194420000000001</v>
      </c>
      <c r="O1152">
        <v>16.110150000000001</v>
      </c>
      <c r="P1152">
        <v>20.407109999999999</v>
      </c>
      <c r="Q1152">
        <v>28795</v>
      </c>
    </row>
    <row r="1153" spans="1:17" x14ac:dyDescent="0.25">
      <c r="A1153" t="s">
        <v>22</v>
      </c>
      <c r="B1153">
        <v>58</v>
      </c>
      <c r="C1153">
        <v>0.85</v>
      </c>
      <c r="D1153">
        <v>2012</v>
      </c>
      <c r="E1153" t="s">
        <v>18</v>
      </c>
      <c r="F1153">
        <v>2012091</v>
      </c>
      <c r="G1153">
        <v>2012153</v>
      </c>
      <c r="H1153">
        <v>6952</v>
      </c>
      <c r="I1153">
        <v>2841</v>
      </c>
      <c r="J1153">
        <v>50</v>
      </c>
      <c r="K1153">
        <v>144</v>
      </c>
      <c r="L1153">
        <v>277</v>
      </c>
      <c r="M1153">
        <v>25</v>
      </c>
      <c r="N1153">
        <v>27.3203</v>
      </c>
      <c r="O1153">
        <v>15.66193</v>
      </c>
      <c r="P1153">
        <v>19.26193</v>
      </c>
      <c r="Q1153">
        <v>82384</v>
      </c>
    </row>
    <row r="1154" spans="1:17" x14ac:dyDescent="0.25">
      <c r="A1154" t="s">
        <v>22</v>
      </c>
      <c r="B1154">
        <v>58</v>
      </c>
      <c r="C1154">
        <v>0.85</v>
      </c>
      <c r="D1154">
        <v>2013</v>
      </c>
      <c r="E1154" t="s">
        <v>18</v>
      </c>
      <c r="F1154">
        <v>2013091</v>
      </c>
      <c r="G1154">
        <v>2013159</v>
      </c>
      <c r="H1154">
        <v>6334</v>
      </c>
      <c r="I1154">
        <v>2664</v>
      </c>
      <c r="J1154">
        <v>50</v>
      </c>
      <c r="K1154">
        <v>328</v>
      </c>
      <c r="L1154">
        <v>119</v>
      </c>
      <c r="M1154">
        <v>25</v>
      </c>
      <c r="N1154">
        <v>26.344169999999998</v>
      </c>
      <c r="O1154">
        <v>15.06091</v>
      </c>
      <c r="P1154">
        <v>21.1599</v>
      </c>
      <c r="Q1154">
        <v>77245</v>
      </c>
    </row>
    <row r="1155" spans="1:17" x14ac:dyDescent="0.25">
      <c r="A1155" t="s">
        <v>22</v>
      </c>
      <c r="B1155">
        <v>58</v>
      </c>
      <c r="C1155">
        <v>0.85</v>
      </c>
      <c r="D1155">
        <v>2014</v>
      </c>
      <c r="E1155" t="s">
        <v>18</v>
      </c>
      <c r="F1155">
        <v>2014091</v>
      </c>
      <c r="G1155">
        <v>2014153</v>
      </c>
      <c r="H1155">
        <v>3190</v>
      </c>
      <c r="I1155">
        <v>952</v>
      </c>
      <c r="J1155">
        <v>50</v>
      </c>
      <c r="K1155">
        <v>208</v>
      </c>
      <c r="L1155">
        <v>48</v>
      </c>
      <c r="M1155">
        <v>25</v>
      </c>
      <c r="N1155">
        <v>26.70711</v>
      </c>
      <c r="O1155">
        <v>15.78528</v>
      </c>
      <c r="P1155">
        <v>21.783249999999999</v>
      </c>
      <c r="Q1155">
        <v>27594</v>
      </c>
    </row>
    <row r="1156" spans="1:17" x14ac:dyDescent="0.25">
      <c r="A1156" t="s">
        <v>22</v>
      </c>
      <c r="B1156">
        <v>58</v>
      </c>
      <c r="C1156">
        <v>0.85</v>
      </c>
      <c r="D1156">
        <v>2015</v>
      </c>
      <c r="E1156" t="s">
        <v>18</v>
      </c>
      <c r="F1156">
        <v>2015091</v>
      </c>
      <c r="G1156">
        <v>2015154</v>
      </c>
      <c r="H1156">
        <v>5804</v>
      </c>
      <c r="I1156">
        <v>2512</v>
      </c>
      <c r="J1156">
        <v>50</v>
      </c>
      <c r="K1156">
        <v>517</v>
      </c>
      <c r="L1156">
        <v>167</v>
      </c>
      <c r="M1156">
        <v>25</v>
      </c>
      <c r="N1156">
        <v>27.431470000000001</v>
      </c>
      <c r="O1156">
        <v>15.718780000000001</v>
      </c>
      <c r="P1156">
        <v>21.78274</v>
      </c>
      <c r="Q1156">
        <v>72860</v>
      </c>
    </row>
    <row r="1157" spans="1:17" x14ac:dyDescent="0.25">
      <c r="A1157" t="s">
        <v>22</v>
      </c>
      <c r="B1157">
        <v>58</v>
      </c>
      <c r="C1157">
        <v>0.85</v>
      </c>
      <c r="D1157">
        <v>2016</v>
      </c>
      <c r="E1157" t="s">
        <v>18</v>
      </c>
      <c r="F1157">
        <v>2016091</v>
      </c>
      <c r="G1157">
        <v>2016155</v>
      </c>
      <c r="H1157">
        <v>7335</v>
      </c>
      <c r="I1157">
        <v>2437</v>
      </c>
      <c r="J1157">
        <v>50</v>
      </c>
      <c r="K1157">
        <v>172</v>
      </c>
      <c r="L1157">
        <v>94</v>
      </c>
      <c r="M1157">
        <v>25</v>
      </c>
      <c r="N1157">
        <v>27.10051</v>
      </c>
      <c r="O1157">
        <v>15.495430000000001</v>
      </c>
      <c r="P1157">
        <v>21.545680000000001</v>
      </c>
      <c r="Q1157">
        <v>70660</v>
      </c>
    </row>
    <row r="1158" spans="1:17" x14ac:dyDescent="0.25">
      <c r="A1158" t="s">
        <v>22</v>
      </c>
      <c r="B1158">
        <v>58</v>
      </c>
      <c r="C1158">
        <v>0.85</v>
      </c>
      <c r="D1158">
        <v>2017</v>
      </c>
      <c r="E1158" t="s">
        <v>18</v>
      </c>
      <c r="F1158">
        <v>2017091</v>
      </c>
      <c r="G1158">
        <v>2017153</v>
      </c>
      <c r="H1158">
        <v>6076</v>
      </c>
      <c r="I1158">
        <v>2714</v>
      </c>
      <c r="J1158">
        <v>50</v>
      </c>
      <c r="K1158">
        <v>128</v>
      </c>
      <c r="L1158">
        <v>416</v>
      </c>
      <c r="M1158">
        <v>25</v>
      </c>
      <c r="N1158">
        <v>27.654309999999999</v>
      </c>
      <c r="O1158">
        <v>15.598470000000001</v>
      </c>
      <c r="P1158">
        <v>21.013200000000001</v>
      </c>
      <c r="Q1158">
        <v>78702</v>
      </c>
    </row>
    <row r="1159" spans="1:17" x14ac:dyDescent="0.25">
      <c r="A1159" t="s">
        <v>22</v>
      </c>
      <c r="B1159">
        <v>58</v>
      </c>
      <c r="C1159">
        <v>0.85</v>
      </c>
      <c r="D1159">
        <v>2018</v>
      </c>
      <c r="E1159" t="s">
        <v>18</v>
      </c>
      <c r="F1159">
        <v>2018091</v>
      </c>
      <c r="G1159">
        <v>2018153</v>
      </c>
      <c r="H1159">
        <v>4466</v>
      </c>
      <c r="I1159">
        <v>1953</v>
      </c>
      <c r="J1159">
        <v>50</v>
      </c>
      <c r="K1159">
        <v>328</v>
      </c>
      <c r="L1159">
        <v>76</v>
      </c>
      <c r="M1159">
        <v>25</v>
      </c>
      <c r="N1159">
        <v>27.341629999999999</v>
      </c>
      <c r="O1159">
        <v>16.137560000000001</v>
      </c>
      <c r="P1159">
        <v>21.01117</v>
      </c>
      <c r="Q1159">
        <v>56639</v>
      </c>
    </row>
    <row r="1160" spans="1:17" x14ac:dyDescent="0.25">
      <c r="A1160" t="s">
        <v>22</v>
      </c>
      <c r="B1160">
        <v>58</v>
      </c>
      <c r="C1160">
        <v>0.85</v>
      </c>
      <c r="D1160">
        <v>2019</v>
      </c>
      <c r="E1160" t="s">
        <v>18</v>
      </c>
      <c r="F1160">
        <v>2019091</v>
      </c>
      <c r="G1160">
        <v>2019155</v>
      </c>
      <c r="H1160">
        <v>7573</v>
      </c>
      <c r="I1160">
        <v>2946</v>
      </c>
      <c r="J1160">
        <v>50</v>
      </c>
      <c r="K1160">
        <v>180</v>
      </c>
      <c r="L1160">
        <v>228</v>
      </c>
      <c r="M1160">
        <v>25</v>
      </c>
      <c r="N1160">
        <v>27.189340000000001</v>
      </c>
      <c r="O1160">
        <v>15.69797</v>
      </c>
      <c r="P1160">
        <v>21.196950000000001</v>
      </c>
      <c r="Q1160">
        <v>85444</v>
      </c>
    </row>
    <row r="1161" spans="1:17" x14ac:dyDescent="0.25">
      <c r="A1161" t="s">
        <v>22</v>
      </c>
      <c r="B1161">
        <v>58</v>
      </c>
      <c r="C1161">
        <v>0.85</v>
      </c>
      <c r="D1161">
        <v>2020</v>
      </c>
      <c r="E1161" t="s">
        <v>18</v>
      </c>
      <c r="F1161">
        <v>2020091</v>
      </c>
      <c r="G1161">
        <v>2020152</v>
      </c>
      <c r="H1161">
        <v>5796</v>
      </c>
      <c r="I1161">
        <v>2644</v>
      </c>
      <c r="J1161">
        <v>50</v>
      </c>
      <c r="K1161">
        <v>318</v>
      </c>
      <c r="L1161">
        <v>223</v>
      </c>
      <c r="M1161">
        <v>25</v>
      </c>
      <c r="N1161">
        <v>27.467510000000001</v>
      </c>
      <c r="O1161">
        <v>15.74314</v>
      </c>
      <c r="P1161">
        <v>20.123360000000002</v>
      </c>
      <c r="Q1161">
        <v>76675</v>
      </c>
    </row>
    <row r="1162" spans="1:17" x14ac:dyDescent="0.25">
      <c r="A1162" t="s">
        <v>22</v>
      </c>
      <c r="B1162">
        <v>59</v>
      </c>
      <c r="C1162">
        <v>0.82</v>
      </c>
      <c r="D1162">
        <v>2001</v>
      </c>
      <c r="E1162" t="s">
        <v>17</v>
      </c>
      <c r="F1162">
        <v>2001091</v>
      </c>
      <c r="G1162">
        <v>2001159</v>
      </c>
      <c r="H1162">
        <v>8910</v>
      </c>
      <c r="I1162">
        <v>2261</v>
      </c>
      <c r="J1162">
        <v>50</v>
      </c>
      <c r="K1162">
        <v>259</v>
      </c>
      <c r="L1162">
        <v>235</v>
      </c>
      <c r="M1162">
        <v>75</v>
      </c>
      <c r="N1162">
        <v>26.408629999999999</v>
      </c>
      <c r="O1162">
        <v>15.918279999999999</v>
      </c>
      <c r="P1162">
        <v>20.468019999999999</v>
      </c>
      <c r="Q1162">
        <v>54270</v>
      </c>
    </row>
    <row r="1163" spans="1:17" x14ac:dyDescent="0.25">
      <c r="A1163" t="s">
        <v>22</v>
      </c>
      <c r="B1163">
        <v>59</v>
      </c>
      <c r="C1163">
        <v>0.82</v>
      </c>
      <c r="D1163">
        <v>2002</v>
      </c>
      <c r="E1163" t="s">
        <v>17</v>
      </c>
      <c r="F1163">
        <v>2002091</v>
      </c>
      <c r="G1163">
        <v>2002162</v>
      </c>
      <c r="H1163">
        <v>8245</v>
      </c>
      <c r="I1163">
        <v>2332</v>
      </c>
      <c r="J1163">
        <v>50</v>
      </c>
      <c r="K1163">
        <v>363</v>
      </c>
      <c r="L1163">
        <v>179</v>
      </c>
      <c r="M1163">
        <v>75</v>
      </c>
      <c r="N1163">
        <v>25.41929</v>
      </c>
      <c r="O1163">
        <v>15.13603</v>
      </c>
      <c r="P1163">
        <v>19.985790000000001</v>
      </c>
      <c r="Q1163">
        <v>55967</v>
      </c>
    </row>
    <row r="1164" spans="1:17" x14ac:dyDescent="0.25">
      <c r="A1164" t="s">
        <v>22</v>
      </c>
      <c r="B1164">
        <v>59</v>
      </c>
      <c r="C1164">
        <v>0.82</v>
      </c>
      <c r="D1164">
        <v>2003</v>
      </c>
      <c r="E1164" t="s">
        <v>17</v>
      </c>
      <c r="F1164">
        <v>2003091</v>
      </c>
      <c r="G1164">
        <v>2003160</v>
      </c>
      <c r="H1164">
        <v>7860</v>
      </c>
      <c r="I1164">
        <v>2298</v>
      </c>
      <c r="J1164">
        <v>50</v>
      </c>
      <c r="K1164">
        <v>510</v>
      </c>
      <c r="L1164">
        <v>72</v>
      </c>
      <c r="M1164">
        <v>75</v>
      </c>
      <c r="N1164">
        <v>26.93451</v>
      </c>
      <c r="O1164">
        <v>16.563960000000002</v>
      </c>
      <c r="P1164">
        <v>21.28173</v>
      </c>
      <c r="Q1164">
        <v>55157</v>
      </c>
    </row>
    <row r="1165" spans="1:17" x14ac:dyDescent="0.25">
      <c r="A1165" t="s">
        <v>22</v>
      </c>
      <c r="B1165">
        <v>59</v>
      </c>
      <c r="C1165">
        <v>0.82</v>
      </c>
      <c r="D1165">
        <v>2004</v>
      </c>
      <c r="E1165" t="s">
        <v>17</v>
      </c>
      <c r="F1165">
        <v>2004091</v>
      </c>
      <c r="G1165">
        <v>2004164</v>
      </c>
      <c r="H1165">
        <v>7888</v>
      </c>
      <c r="I1165">
        <v>2302</v>
      </c>
      <c r="J1165">
        <v>50</v>
      </c>
      <c r="K1165">
        <v>454</v>
      </c>
      <c r="L1165">
        <v>103</v>
      </c>
      <c r="M1165">
        <v>75</v>
      </c>
      <c r="N1165">
        <v>25.963950000000001</v>
      </c>
      <c r="O1165">
        <v>15.55025</v>
      </c>
      <c r="P1165">
        <v>20.337050000000001</v>
      </c>
      <c r="Q1165">
        <v>55244</v>
      </c>
    </row>
    <row r="1166" spans="1:17" x14ac:dyDescent="0.25">
      <c r="A1166" t="s">
        <v>22</v>
      </c>
      <c r="B1166">
        <v>59</v>
      </c>
      <c r="C1166">
        <v>0.82</v>
      </c>
      <c r="D1166">
        <v>2005</v>
      </c>
      <c r="E1166" t="s">
        <v>17</v>
      </c>
      <c r="F1166">
        <v>2005091</v>
      </c>
      <c r="G1166">
        <v>2005161</v>
      </c>
      <c r="H1166">
        <v>4018</v>
      </c>
      <c r="I1166">
        <v>485</v>
      </c>
      <c r="J1166">
        <v>50</v>
      </c>
      <c r="K1166">
        <v>164</v>
      </c>
      <c r="L1166">
        <v>123</v>
      </c>
      <c r="M1166">
        <v>75</v>
      </c>
      <c r="N1166">
        <v>25.985800000000001</v>
      </c>
      <c r="O1166">
        <v>15.52792</v>
      </c>
      <c r="P1166">
        <v>20.501519999999999</v>
      </c>
      <c r="Q1166">
        <v>11641</v>
      </c>
    </row>
    <row r="1167" spans="1:17" x14ac:dyDescent="0.25">
      <c r="A1167" t="s">
        <v>22</v>
      </c>
      <c r="B1167">
        <v>59</v>
      </c>
      <c r="C1167">
        <v>0.82</v>
      </c>
      <c r="D1167">
        <v>2006</v>
      </c>
      <c r="E1167" t="s">
        <v>17</v>
      </c>
      <c r="F1167">
        <v>2006091</v>
      </c>
      <c r="G1167">
        <v>2006159</v>
      </c>
      <c r="H1167">
        <v>9752</v>
      </c>
      <c r="I1167">
        <v>2982</v>
      </c>
      <c r="J1167">
        <v>50</v>
      </c>
      <c r="K1167">
        <v>240</v>
      </c>
      <c r="L1167">
        <v>396</v>
      </c>
      <c r="M1167">
        <v>75</v>
      </c>
      <c r="N1167">
        <v>26.63147</v>
      </c>
      <c r="O1167">
        <v>15.99391</v>
      </c>
      <c r="P1167">
        <v>21.116250000000001</v>
      </c>
      <c r="Q1167">
        <v>71560</v>
      </c>
    </row>
    <row r="1168" spans="1:17" x14ac:dyDescent="0.25">
      <c r="A1168" t="s">
        <v>22</v>
      </c>
      <c r="B1168">
        <v>59</v>
      </c>
      <c r="C1168">
        <v>0.82</v>
      </c>
      <c r="D1168">
        <v>2007</v>
      </c>
      <c r="E1168" t="s">
        <v>17</v>
      </c>
      <c r="F1168">
        <v>2007091</v>
      </c>
      <c r="G1168">
        <v>2007159</v>
      </c>
      <c r="H1168">
        <v>9130</v>
      </c>
      <c r="I1168">
        <v>2718</v>
      </c>
      <c r="J1168">
        <v>50</v>
      </c>
      <c r="K1168">
        <v>382</v>
      </c>
      <c r="L1168">
        <v>163</v>
      </c>
      <c r="M1168">
        <v>75</v>
      </c>
      <c r="N1168">
        <v>26.015219999999999</v>
      </c>
      <c r="O1168">
        <v>15.520300000000001</v>
      </c>
      <c r="P1168">
        <v>21.56447</v>
      </c>
      <c r="Q1168">
        <v>65240</v>
      </c>
    </row>
    <row r="1169" spans="1:17" x14ac:dyDescent="0.25">
      <c r="A1169" t="s">
        <v>22</v>
      </c>
      <c r="B1169">
        <v>59</v>
      </c>
      <c r="C1169">
        <v>0.82</v>
      </c>
      <c r="D1169">
        <v>2008</v>
      </c>
      <c r="E1169" t="s">
        <v>17</v>
      </c>
      <c r="F1169">
        <v>2008091</v>
      </c>
      <c r="G1169">
        <v>2008164</v>
      </c>
      <c r="H1169">
        <v>9871</v>
      </c>
      <c r="I1169">
        <v>3479</v>
      </c>
      <c r="J1169">
        <v>50</v>
      </c>
      <c r="K1169">
        <v>301</v>
      </c>
      <c r="L1169">
        <v>309</v>
      </c>
      <c r="M1169">
        <v>75</v>
      </c>
      <c r="N1169">
        <v>25.65635</v>
      </c>
      <c r="O1169">
        <v>14.63655</v>
      </c>
      <c r="P1169">
        <v>20.479189999999999</v>
      </c>
      <c r="Q1169">
        <v>83507</v>
      </c>
    </row>
    <row r="1170" spans="1:17" x14ac:dyDescent="0.25">
      <c r="A1170" t="s">
        <v>22</v>
      </c>
      <c r="B1170">
        <v>59</v>
      </c>
      <c r="C1170">
        <v>0.82</v>
      </c>
      <c r="D1170">
        <v>2009</v>
      </c>
      <c r="E1170" t="s">
        <v>17</v>
      </c>
      <c r="F1170">
        <v>2009091</v>
      </c>
      <c r="G1170">
        <v>2009160</v>
      </c>
      <c r="H1170">
        <v>8219</v>
      </c>
      <c r="I1170">
        <v>1990</v>
      </c>
      <c r="J1170">
        <v>50</v>
      </c>
      <c r="K1170">
        <v>425</v>
      </c>
      <c r="L1170">
        <v>200</v>
      </c>
      <c r="M1170">
        <v>75</v>
      </c>
      <c r="N1170">
        <v>26.786799999999999</v>
      </c>
      <c r="O1170">
        <v>15.775130000000001</v>
      </c>
      <c r="P1170">
        <v>22.241109999999999</v>
      </c>
      <c r="Q1170">
        <v>47760</v>
      </c>
    </row>
    <row r="1171" spans="1:17" x14ac:dyDescent="0.25">
      <c r="A1171" t="s">
        <v>22</v>
      </c>
      <c r="B1171">
        <v>59</v>
      </c>
      <c r="C1171">
        <v>0.82</v>
      </c>
      <c r="D1171">
        <v>2010</v>
      </c>
      <c r="E1171" t="s">
        <v>17</v>
      </c>
      <c r="F1171">
        <v>2010091</v>
      </c>
      <c r="G1171">
        <v>2010168</v>
      </c>
      <c r="H1171">
        <v>8881</v>
      </c>
      <c r="I1171">
        <v>2487</v>
      </c>
      <c r="J1171">
        <v>50</v>
      </c>
      <c r="K1171">
        <v>275</v>
      </c>
      <c r="L1171">
        <v>162</v>
      </c>
      <c r="M1171">
        <v>75</v>
      </c>
      <c r="N1171">
        <v>26.232990000000001</v>
      </c>
      <c r="O1171">
        <v>15.13705</v>
      </c>
      <c r="P1171">
        <v>20.60304</v>
      </c>
      <c r="Q1171">
        <v>59687</v>
      </c>
    </row>
    <row r="1172" spans="1:17" x14ac:dyDescent="0.25">
      <c r="A1172" t="s">
        <v>22</v>
      </c>
      <c r="B1172">
        <v>59</v>
      </c>
      <c r="C1172">
        <v>0.82</v>
      </c>
      <c r="D1172">
        <v>2011</v>
      </c>
      <c r="E1172" t="s">
        <v>17</v>
      </c>
      <c r="F1172">
        <v>2011091</v>
      </c>
      <c r="G1172">
        <v>2011157</v>
      </c>
      <c r="H1172">
        <v>7011</v>
      </c>
      <c r="I1172">
        <v>1360</v>
      </c>
      <c r="J1172">
        <v>50</v>
      </c>
      <c r="K1172">
        <v>245</v>
      </c>
      <c r="L1172">
        <v>47</v>
      </c>
      <c r="M1172">
        <v>75</v>
      </c>
      <c r="N1172">
        <v>27.194420000000001</v>
      </c>
      <c r="O1172">
        <v>16.110150000000001</v>
      </c>
      <c r="P1172">
        <v>20.407109999999999</v>
      </c>
      <c r="Q1172">
        <v>32641</v>
      </c>
    </row>
    <row r="1173" spans="1:17" x14ac:dyDescent="0.25">
      <c r="A1173" t="s">
        <v>22</v>
      </c>
      <c r="B1173">
        <v>59</v>
      </c>
      <c r="C1173">
        <v>0.82</v>
      </c>
      <c r="D1173">
        <v>2012</v>
      </c>
      <c r="E1173" t="s">
        <v>18</v>
      </c>
      <c r="F1173">
        <v>2012091</v>
      </c>
      <c r="G1173">
        <v>2012153</v>
      </c>
      <c r="H1173">
        <v>9096</v>
      </c>
      <c r="I1173">
        <v>3128</v>
      </c>
      <c r="J1173">
        <v>50</v>
      </c>
      <c r="K1173">
        <v>144</v>
      </c>
      <c r="L1173">
        <v>277</v>
      </c>
      <c r="M1173">
        <v>75</v>
      </c>
      <c r="N1173">
        <v>27.3203</v>
      </c>
      <c r="O1173">
        <v>15.66193</v>
      </c>
      <c r="P1173">
        <v>19.26193</v>
      </c>
      <c r="Q1173">
        <v>75070</v>
      </c>
    </row>
    <row r="1174" spans="1:17" x14ac:dyDescent="0.25">
      <c r="A1174" t="s">
        <v>22</v>
      </c>
      <c r="B1174">
        <v>59</v>
      </c>
      <c r="C1174">
        <v>0.82</v>
      </c>
      <c r="D1174">
        <v>2013</v>
      </c>
      <c r="E1174" t="s">
        <v>18</v>
      </c>
      <c r="F1174">
        <v>2013091</v>
      </c>
      <c r="G1174">
        <v>2013159</v>
      </c>
      <c r="H1174">
        <v>8614</v>
      </c>
      <c r="I1174">
        <v>3319</v>
      </c>
      <c r="J1174">
        <v>50</v>
      </c>
      <c r="K1174">
        <v>328</v>
      </c>
      <c r="L1174">
        <v>119</v>
      </c>
      <c r="M1174">
        <v>75</v>
      </c>
      <c r="N1174">
        <v>26.344169999999998</v>
      </c>
      <c r="O1174">
        <v>15.06091</v>
      </c>
      <c r="P1174">
        <v>21.1599</v>
      </c>
      <c r="Q1174">
        <v>79667</v>
      </c>
    </row>
    <row r="1175" spans="1:17" x14ac:dyDescent="0.25">
      <c r="A1175" t="s">
        <v>22</v>
      </c>
      <c r="B1175">
        <v>59</v>
      </c>
      <c r="C1175">
        <v>0.82</v>
      </c>
      <c r="D1175">
        <v>2014</v>
      </c>
      <c r="E1175" t="s">
        <v>18</v>
      </c>
      <c r="F1175">
        <v>2014091</v>
      </c>
      <c r="G1175">
        <v>2014153</v>
      </c>
      <c r="H1175">
        <v>4361</v>
      </c>
      <c r="I1175">
        <v>1230</v>
      </c>
      <c r="J1175">
        <v>50</v>
      </c>
      <c r="K1175">
        <v>208</v>
      </c>
      <c r="L1175">
        <v>48</v>
      </c>
      <c r="M1175">
        <v>75</v>
      </c>
      <c r="N1175">
        <v>26.70711</v>
      </c>
      <c r="O1175">
        <v>15.78528</v>
      </c>
      <c r="P1175">
        <v>21.783249999999999</v>
      </c>
      <c r="Q1175">
        <v>29522</v>
      </c>
    </row>
    <row r="1176" spans="1:17" x14ac:dyDescent="0.25">
      <c r="A1176" t="s">
        <v>22</v>
      </c>
      <c r="B1176">
        <v>59</v>
      </c>
      <c r="C1176">
        <v>0.82</v>
      </c>
      <c r="D1176">
        <v>2015</v>
      </c>
      <c r="E1176" t="s">
        <v>18</v>
      </c>
      <c r="F1176">
        <v>2015091</v>
      </c>
      <c r="G1176">
        <v>2015154</v>
      </c>
      <c r="H1176">
        <v>9659</v>
      </c>
      <c r="I1176">
        <v>3178</v>
      </c>
      <c r="J1176">
        <v>50</v>
      </c>
      <c r="K1176">
        <v>517</v>
      </c>
      <c r="L1176">
        <v>167</v>
      </c>
      <c r="M1176">
        <v>75</v>
      </c>
      <c r="N1176">
        <v>27.431470000000001</v>
      </c>
      <c r="O1176">
        <v>15.718780000000001</v>
      </c>
      <c r="P1176">
        <v>21.78274</v>
      </c>
      <c r="Q1176">
        <v>76271</v>
      </c>
    </row>
    <row r="1177" spans="1:17" x14ac:dyDescent="0.25">
      <c r="A1177" t="s">
        <v>22</v>
      </c>
      <c r="B1177">
        <v>59</v>
      </c>
      <c r="C1177">
        <v>0.82</v>
      </c>
      <c r="D1177">
        <v>2016</v>
      </c>
      <c r="E1177" t="s">
        <v>18</v>
      </c>
      <c r="F1177">
        <v>2016091</v>
      </c>
      <c r="G1177">
        <v>2016155</v>
      </c>
      <c r="H1177">
        <v>8040</v>
      </c>
      <c r="I1177">
        <v>1822</v>
      </c>
      <c r="J1177">
        <v>50</v>
      </c>
      <c r="K1177">
        <v>172</v>
      </c>
      <c r="L1177">
        <v>94</v>
      </c>
      <c r="M1177">
        <v>75</v>
      </c>
      <c r="N1177">
        <v>27.10051</v>
      </c>
      <c r="O1177">
        <v>15.495430000000001</v>
      </c>
      <c r="P1177">
        <v>21.545680000000001</v>
      </c>
      <c r="Q1177">
        <v>43719</v>
      </c>
    </row>
    <row r="1178" spans="1:17" x14ac:dyDescent="0.25">
      <c r="A1178" t="s">
        <v>22</v>
      </c>
      <c r="B1178">
        <v>59</v>
      </c>
      <c r="C1178">
        <v>0.82</v>
      </c>
      <c r="D1178">
        <v>2017</v>
      </c>
      <c r="E1178" t="s">
        <v>18</v>
      </c>
      <c r="F1178">
        <v>2017091</v>
      </c>
      <c r="G1178">
        <v>2017153</v>
      </c>
      <c r="H1178">
        <v>9211</v>
      </c>
      <c r="I1178">
        <v>3166</v>
      </c>
      <c r="J1178">
        <v>50</v>
      </c>
      <c r="K1178">
        <v>128</v>
      </c>
      <c r="L1178">
        <v>416</v>
      </c>
      <c r="M1178">
        <v>75</v>
      </c>
      <c r="N1178">
        <v>27.654309999999999</v>
      </c>
      <c r="O1178">
        <v>15.598470000000001</v>
      </c>
      <c r="P1178">
        <v>21.013200000000001</v>
      </c>
      <c r="Q1178">
        <v>75981</v>
      </c>
    </row>
    <row r="1179" spans="1:17" x14ac:dyDescent="0.25">
      <c r="A1179" t="s">
        <v>22</v>
      </c>
      <c r="B1179">
        <v>59</v>
      </c>
      <c r="C1179">
        <v>0.82</v>
      </c>
      <c r="D1179">
        <v>2018</v>
      </c>
      <c r="E1179" t="s">
        <v>18</v>
      </c>
      <c r="F1179">
        <v>2018091</v>
      </c>
      <c r="G1179">
        <v>2018153</v>
      </c>
      <c r="H1179">
        <v>6970</v>
      </c>
      <c r="I1179">
        <v>2698</v>
      </c>
      <c r="J1179">
        <v>50</v>
      </c>
      <c r="K1179">
        <v>328</v>
      </c>
      <c r="L1179">
        <v>76</v>
      </c>
      <c r="M1179">
        <v>75</v>
      </c>
      <c r="N1179">
        <v>27.341629999999999</v>
      </c>
      <c r="O1179">
        <v>16.137560000000001</v>
      </c>
      <c r="P1179">
        <v>21.01117</v>
      </c>
      <c r="Q1179">
        <v>64747</v>
      </c>
    </row>
    <row r="1180" spans="1:17" x14ac:dyDescent="0.25">
      <c r="A1180" t="s">
        <v>22</v>
      </c>
      <c r="B1180">
        <v>59</v>
      </c>
      <c r="C1180">
        <v>0.82</v>
      </c>
      <c r="D1180">
        <v>2019</v>
      </c>
      <c r="E1180" t="s">
        <v>18</v>
      </c>
      <c r="F1180">
        <v>2019091</v>
      </c>
      <c r="G1180">
        <v>2019155</v>
      </c>
      <c r="H1180">
        <v>10082</v>
      </c>
      <c r="I1180">
        <v>3051</v>
      </c>
      <c r="J1180">
        <v>50</v>
      </c>
      <c r="K1180">
        <v>180</v>
      </c>
      <c r="L1180">
        <v>228</v>
      </c>
      <c r="M1180">
        <v>75</v>
      </c>
      <c r="N1180">
        <v>27.189340000000001</v>
      </c>
      <c r="O1180">
        <v>15.69797</v>
      </c>
      <c r="P1180">
        <v>21.196950000000001</v>
      </c>
      <c r="Q1180">
        <v>73225</v>
      </c>
    </row>
    <row r="1181" spans="1:17" x14ac:dyDescent="0.25">
      <c r="A1181" t="s">
        <v>22</v>
      </c>
      <c r="B1181">
        <v>59</v>
      </c>
      <c r="C1181">
        <v>0.82</v>
      </c>
      <c r="D1181">
        <v>2020</v>
      </c>
      <c r="E1181" t="s">
        <v>18</v>
      </c>
      <c r="F1181">
        <v>2020091</v>
      </c>
      <c r="G1181">
        <v>2020152</v>
      </c>
      <c r="H1181">
        <v>9906</v>
      </c>
      <c r="I1181">
        <v>3819</v>
      </c>
      <c r="J1181">
        <v>50</v>
      </c>
      <c r="K1181">
        <v>318</v>
      </c>
      <c r="L1181">
        <v>223</v>
      </c>
      <c r="M1181">
        <v>75</v>
      </c>
      <c r="N1181">
        <v>27.467510000000001</v>
      </c>
      <c r="O1181">
        <v>15.74314</v>
      </c>
      <c r="P1181">
        <v>20.123360000000002</v>
      </c>
      <c r="Q1181">
        <v>91644</v>
      </c>
    </row>
    <row r="1182" spans="1:17" x14ac:dyDescent="0.25">
      <c r="A1182" t="s">
        <v>22</v>
      </c>
      <c r="B1182">
        <v>60</v>
      </c>
      <c r="C1182">
        <v>0.79</v>
      </c>
      <c r="D1182">
        <v>2001</v>
      </c>
      <c r="E1182" t="s">
        <v>17</v>
      </c>
      <c r="F1182">
        <v>2001075</v>
      </c>
      <c r="G1182">
        <v>2001148</v>
      </c>
      <c r="H1182">
        <v>7746</v>
      </c>
      <c r="I1182">
        <v>2507</v>
      </c>
      <c r="J1182">
        <v>50</v>
      </c>
      <c r="K1182">
        <v>259</v>
      </c>
      <c r="L1182">
        <v>235</v>
      </c>
      <c r="M1182">
        <v>50</v>
      </c>
      <c r="N1182">
        <v>26.192959999999999</v>
      </c>
      <c r="O1182">
        <v>15.4277</v>
      </c>
      <c r="P1182">
        <v>20.232859999999999</v>
      </c>
      <c r="Q1182">
        <v>70184</v>
      </c>
    </row>
    <row r="1183" spans="1:17" x14ac:dyDescent="0.25">
      <c r="A1183" t="s">
        <v>22</v>
      </c>
      <c r="B1183">
        <v>60</v>
      </c>
      <c r="C1183">
        <v>0.79</v>
      </c>
      <c r="D1183">
        <v>2002</v>
      </c>
      <c r="E1183" t="s">
        <v>17</v>
      </c>
      <c r="F1183">
        <v>2002075</v>
      </c>
      <c r="G1183">
        <v>2002155</v>
      </c>
      <c r="H1183">
        <v>8444</v>
      </c>
      <c r="I1183">
        <v>2544</v>
      </c>
      <c r="J1183">
        <v>50</v>
      </c>
      <c r="K1183">
        <v>363</v>
      </c>
      <c r="L1183">
        <v>179</v>
      </c>
      <c r="M1183">
        <v>50</v>
      </c>
      <c r="N1183">
        <v>25.02206</v>
      </c>
      <c r="O1183">
        <v>14.641299999999999</v>
      </c>
      <c r="P1183">
        <v>19.64883</v>
      </c>
      <c r="Q1183">
        <v>71222</v>
      </c>
    </row>
    <row r="1184" spans="1:17" x14ac:dyDescent="0.25">
      <c r="A1184" t="s">
        <v>22</v>
      </c>
      <c r="B1184">
        <v>60</v>
      </c>
      <c r="C1184">
        <v>0.79</v>
      </c>
      <c r="D1184">
        <v>2003</v>
      </c>
      <c r="E1184" t="s">
        <v>17</v>
      </c>
      <c r="F1184">
        <v>2003075</v>
      </c>
      <c r="G1184">
        <v>2003154</v>
      </c>
      <c r="H1184">
        <v>7151</v>
      </c>
      <c r="I1184">
        <v>2011</v>
      </c>
      <c r="J1184">
        <v>50</v>
      </c>
      <c r="K1184">
        <v>510</v>
      </c>
      <c r="L1184">
        <v>72</v>
      </c>
      <c r="M1184">
        <v>50</v>
      </c>
      <c r="N1184">
        <v>26.204219999999999</v>
      </c>
      <c r="O1184">
        <v>15.82253</v>
      </c>
      <c r="P1184">
        <v>20.783100000000001</v>
      </c>
      <c r="Q1184">
        <v>56315</v>
      </c>
    </row>
    <row r="1185" spans="1:17" x14ac:dyDescent="0.25">
      <c r="A1185" t="s">
        <v>22</v>
      </c>
      <c r="B1185">
        <v>60</v>
      </c>
      <c r="C1185">
        <v>0.79</v>
      </c>
      <c r="D1185">
        <v>2004</v>
      </c>
      <c r="E1185" t="s">
        <v>17</v>
      </c>
      <c r="F1185">
        <v>2004075</v>
      </c>
      <c r="G1185">
        <v>2004158</v>
      </c>
      <c r="H1185">
        <v>7197</v>
      </c>
      <c r="I1185">
        <v>2251</v>
      </c>
      <c r="J1185">
        <v>50</v>
      </c>
      <c r="K1185">
        <v>454</v>
      </c>
      <c r="L1185">
        <v>103</v>
      </c>
      <c r="M1185">
        <v>50</v>
      </c>
      <c r="N1185">
        <v>25.152570000000001</v>
      </c>
      <c r="O1185">
        <v>14.92958</v>
      </c>
      <c r="P1185">
        <v>19.559149999999999</v>
      </c>
      <c r="Q1185">
        <v>63027</v>
      </c>
    </row>
    <row r="1186" spans="1:17" x14ac:dyDescent="0.25">
      <c r="A1186" t="s">
        <v>22</v>
      </c>
      <c r="B1186">
        <v>60</v>
      </c>
      <c r="C1186">
        <v>0.79</v>
      </c>
      <c r="D1186">
        <v>2005</v>
      </c>
      <c r="E1186" t="s">
        <v>17</v>
      </c>
      <c r="F1186">
        <v>2005075</v>
      </c>
      <c r="G1186">
        <v>2005151</v>
      </c>
      <c r="H1186">
        <v>4535</v>
      </c>
      <c r="I1186">
        <v>433</v>
      </c>
      <c r="J1186">
        <v>50</v>
      </c>
      <c r="K1186">
        <v>164</v>
      </c>
      <c r="L1186">
        <v>123</v>
      </c>
      <c r="M1186">
        <v>50</v>
      </c>
      <c r="N1186">
        <v>25.533809999999999</v>
      </c>
      <c r="O1186">
        <v>15.030989999999999</v>
      </c>
      <c r="P1186">
        <v>20.18169</v>
      </c>
      <c r="Q1186">
        <v>12130</v>
      </c>
    </row>
    <row r="1187" spans="1:17" x14ac:dyDescent="0.25">
      <c r="A1187" t="s">
        <v>22</v>
      </c>
      <c r="B1187">
        <v>60</v>
      </c>
      <c r="C1187">
        <v>0.79</v>
      </c>
      <c r="D1187">
        <v>2006</v>
      </c>
      <c r="E1187" t="s">
        <v>17</v>
      </c>
      <c r="F1187">
        <v>2006075</v>
      </c>
      <c r="G1187">
        <v>2006148</v>
      </c>
      <c r="H1187">
        <v>8409</v>
      </c>
      <c r="I1187">
        <v>2708</v>
      </c>
      <c r="J1187">
        <v>50</v>
      </c>
      <c r="K1187">
        <v>240</v>
      </c>
      <c r="L1187">
        <v>396</v>
      </c>
      <c r="M1187">
        <v>50</v>
      </c>
      <c r="N1187">
        <v>26.137080000000001</v>
      </c>
      <c r="O1187">
        <v>15.48826</v>
      </c>
      <c r="P1187">
        <v>20.66761</v>
      </c>
      <c r="Q1187">
        <v>75823</v>
      </c>
    </row>
    <row r="1188" spans="1:17" x14ac:dyDescent="0.25">
      <c r="A1188" t="s">
        <v>22</v>
      </c>
      <c r="B1188">
        <v>60</v>
      </c>
      <c r="C1188">
        <v>0.79</v>
      </c>
      <c r="D1188">
        <v>2007</v>
      </c>
      <c r="E1188" t="s">
        <v>17</v>
      </c>
      <c r="F1188">
        <v>2007075</v>
      </c>
      <c r="G1188">
        <v>2007152</v>
      </c>
      <c r="H1188">
        <v>7701</v>
      </c>
      <c r="I1188">
        <v>2320</v>
      </c>
      <c r="J1188">
        <v>50</v>
      </c>
      <c r="K1188">
        <v>382</v>
      </c>
      <c r="L1188">
        <v>163</v>
      </c>
      <c r="M1188">
        <v>50</v>
      </c>
      <c r="N1188">
        <v>25.3507</v>
      </c>
      <c r="O1188">
        <v>14.815020000000001</v>
      </c>
      <c r="P1188">
        <v>21.18075</v>
      </c>
      <c r="Q1188">
        <v>64963</v>
      </c>
    </row>
    <row r="1189" spans="1:17" x14ac:dyDescent="0.25">
      <c r="A1189" t="s">
        <v>22</v>
      </c>
      <c r="B1189">
        <v>60</v>
      </c>
      <c r="C1189">
        <v>0.79</v>
      </c>
      <c r="D1189">
        <v>2008</v>
      </c>
      <c r="E1189" t="s">
        <v>18</v>
      </c>
      <c r="F1189">
        <v>2008075</v>
      </c>
      <c r="G1189">
        <v>2008147</v>
      </c>
      <c r="H1189">
        <v>8672</v>
      </c>
      <c r="I1189">
        <v>3705</v>
      </c>
      <c r="J1189">
        <v>50</v>
      </c>
      <c r="K1189">
        <v>301</v>
      </c>
      <c r="L1189">
        <v>309</v>
      </c>
      <c r="M1189">
        <v>50</v>
      </c>
      <c r="N1189">
        <v>25.16855</v>
      </c>
      <c r="O1189">
        <v>14.024419999999999</v>
      </c>
      <c r="P1189">
        <v>20.277940000000001</v>
      </c>
      <c r="Q1189">
        <v>103738</v>
      </c>
    </row>
    <row r="1190" spans="1:17" x14ac:dyDescent="0.25">
      <c r="A1190" t="s">
        <v>22</v>
      </c>
      <c r="B1190">
        <v>60</v>
      </c>
      <c r="C1190">
        <v>0.79</v>
      </c>
      <c r="D1190">
        <v>2009</v>
      </c>
      <c r="E1190" t="s">
        <v>18</v>
      </c>
      <c r="F1190">
        <v>2009075</v>
      </c>
      <c r="G1190">
        <v>2009147</v>
      </c>
      <c r="H1190">
        <v>7350</v>
      </c>
      <c r="I1190">
        <v>2642</v>
      </c>
      <c r="J1190">
        <v>50</v>
      </c>
      <c r="K1190">
        <v>425</v>
      </c>
      <c r="L1190">
        <v>200</v>
      </c>
      <c r="M1190">
        <v>50</v>
      </c>
      <c r="N1190">
        <v>26.104220000000002</v>
      </c>
      <c r="O1190">
        <v>15.06667</v>
      </c>
      <c r="P1190">
        <v>21.802820000000001</v>
      </c>
      <c r="Q1190">
        <v>73966</v>
      </c>
    </row>
    <row r="1191" spans="1:17" x14ac:dyDescent="0.25">
      <c r="A1191" t="s">
        <v>22</v>
      </c>
      <c r="B1191">
        <v>60</v>
      </c>
      <c r="C1191">
        <v>0.79</v>
      </c>
      <c r="D1191">
        <v>2010</v>
      </c>
      <c r="E1191" t="s">
        <v>18</v>
      </c>
      <c r="F1191">
        <v>2010075</v>
      </c>
      <c r="G1191">
        <v>2010150</v>
      </c>
      <c r="H1191">
        <v>8664</v>
      </c>
      <c r="I1191">
        <v>3643</v>
      </c>
      <c r="J1191">
        <v>50</v>
      </c>
      <c r="K1191">
        <v>275</v>
      </c>
      <c r="L1191">
        <v>162</v>
      </c>
      <c r="M1191">
        <v>50</v>
      </c>
      <c r="N1191">
        <v>25.68544</v>
      </c>
      <c r="O1191">
        <v>14.51173</v>
      </c>
      <c r="P1191">
        <v>20.17417</v>
      </c>
      <c r="Q1191">
        <v>102010</v>
      </c>
    </row>
    <row r="1192" spans="1:17" x14ac:dyDescent="0.25">
      <c r="A1192" t="s">
        <v>22</v>
      </c>
      <c r="B1192">
        <v>60</v>
      </c>
      <c r="C1192">
        <v>0.79</v>
      </c>
      <c r="D1192">
        <v>2011</v>
      </c>
      <c r="E1192" t="s">
        <v>18</v>
      </c>
      <c r="F1192">
        <v>2011075</v>
      </c>
      <c r="G1192">
        <v>2011141</v>
      </c>
      <c r="H1192">
        <v>6405</v>
      </c>
      <c r="I1192">
        <v>2504</v>
      </c>
      <c r="J1192">
        <v>50</v>
      </c>
      <c r="K1192">
        <v>245</v>
      </c>
      <c r="L1192">
        <v>47</v>
      </c>
      <c r="M1192">
        <v>50</v>
      </c>
      <c r="N1192">
        <v>26.575579999999999</v>
      </c>
      <c r="O1192">
        <v>15.536619999999999</v>
      </c>
      <c r="P1192">
        <v>20.044139999999999</v>
      </c>
      <c r="Q1192">
        <v>70114</v>
      </c>
    </row>
    <row r="1193" spans="1:17" x14ac:dyDescent="0.25">
      <c r="A1193" t="s">
        <v>22</v>
      </c>
      <c r="B1193">
        <v>60</v>
      </c>
      <c r="C1193">
        <v>0.79</v>
      </c>
      <c r="D1193">
        <v>2012</v>
      </c>
      <c r="E1193" t="s">
        <v>18</v>
      </c>
      <c r="F1193">
        <v>2012075</v>
      </c>
      <c r="G1193">
        <v>2012147</v>
      </c>
      <c r="H1193">
        <v>7944</v>
      </c>
      <c r="I1193">
        <v>2895</v>
      </c>
      <c r="J1193">
        <v>50</v>
      </c>
      <c r="K1193">
        <v>144</v>
      </c>
      <c r="L1193">
        <v>277</v>
      </c>
      <c r="M1193">
        <v>50</v>
      </c>
      <c r="N1193">
        <v>26.712679999999999</v>
      </c>
      <c r="O1193">
        <v>14.931929999999999</v>
      </c>
      <c r="P1193">
        <v>19.115020000000001</v>
      </c>
      <c r="Q1193">
        <v>81056</v>
      </c>
    </row>
    <row r="1194" spans="1:17" x14ac:dyDescent="0.25">
      <c r="A1194" t="s">
        <v>22</v>
      </c>
      <c r="B1194">
        <v>60</v>
      </c>
      <c r="C1194">
        <v>0.79</v>
      </c>
      <c r="D1194">
        <v>2013</v>
      </c>
      <c r="E1194" t="s">
        <v>18</v>
      </c>
      <c r="F1194">
        <v>2013075</v>
      </c>
      <c r="G1194">
        <v>2013148</v>
      </c>
      <c r="H1194">
        <v>8442</v>
      </c>
      <c r="I1194">
        <v>3333</v>
      </c>
      <c r="J1194">
        <v>50</v>
      </c>
      <c r="K1194">
        <v>328</v>
      </c>
      <c r="L1194">
        <v>119</v>
      </c>
      <c r="M1194">
        <v>50</v>
      </c>
      <c r="N1194">
        <v>25.902819999999998</v>
      </c>
      <c r="O1194">
        <v>14.50892</v>
      </c>
      <c r="P1194">
        <v>20.789200000000001</v>
      </c>
      <c r="Q1194">
        <v>93336</v>
      </c>
    </row>
    <row r="1195" spans="1:17" x14ac:dyDescent="0.25">
      <c r="A1195" t="s">
        <v>22</v>
      </c>
      <c r="B1195">
        <v>60</v>
      </c>
      <c r="C1195">
        <v>0.79</v>
      </c>
      <c r="D1195">
        <v>2014</v>
      </c>
      <c r="E1195" t="s">
        <v>18</v>
      </c>
      <c r="F1195">
        <v>2014075</v>
      </c>
      <c r="G1195">
        <v>2014148</v>
      </c>
      <c r="H1195">
        <v>3074</v>
      </c>
      <c r="I1195">
        <v>1385</v>
      </c>
      <c r="J1195">
        <v>50</v>
      </c>
      <c r="K1195">
        <v>208</v>
      </c>
      <c r="L1195">
        <v>48</v>
      </c>
      <c r="M1195">
        <v>50</v>
      </c>
      <c r="N1195">
        <v>26.17558</v>
      </c>
      <c r="O1195">
        <v>15.128170000000001</v>
      </c>
      <c r="P1195">
        <v>21.437080000000002</v>
      </c>
      <c r="Q1195">
        <v>38781</v>
      </c>
    </row>
    <row r="1196" spans="1:17" x14ac:dyDescent="0.25">
      <c r="A1196" t="s">
        <v>22</v>
      </c>
      <c r="B1196">
        <v>60</v>
      </c>
      <c r="C1196">
        <v>0.79</v>
      </c>
      <c r="D1196">
        <v>2015</v>
      </c>
      <c r="E1196" t="s">
        <v>18</v>
      </c>
      <c r="F1196">
        <v>2015075</v>
      </c>
      <c r="G1196">
        <v>2015146</v>
      </c>
      <c r="H1196">
        <v>9904</v>
      </c>
      <c r="I1196">
        <v>3010</v>
      </c>
      <c r="J1196">
        <v>50</v>
      </c>
      <c r="K1196">
        <v>517</v>
      </c>
      <c r="L1196">
        <v>167</v>
      </c>
      <c r="M1196">
        <v>50</v>
      </c>
      <c r="N1196">
        <v>26.67136</v>
      </c>
      <c r="O1196">
        <v>15.122540000000001</v>
      </c>
      <c r="P1196">
        <v>21.076989999999999</v>
      </c>
      <c r="Q1196">
        <v>84289</v>
      </c>
    </row>
    <row r="1197" spans="1:17" x14ac:dyDescent="0.25">
      <c r="A1197" t="s">
        <v>22</v>
      </c>
      <c r="B1197">
        <v>60</v>
      </c>
      <c r="C1197">
        <v>0.79</v>
      </c>
      <c r="D1197">
        <v>2016</v>
      </c>
      <c r="E1197" t="s">
        <v>18</v>
      </c>
      <c r="F1197">
        <v>2016075</v>
      </c>
      <c r="G1197">
        <v>2016147</v>
      </c>
      <c r="H1197">
        <v>7582</v>
      </c>
      <c r="I1197">
        <v>1585</v>
      </c>
      <c r="J1197">
        <v>50</v>
      </c>
      <c r="K1197">
        <v>172</v>
      </c>
      <c r="L1197">
        <v>94</v>
      </c>
      <c r="M1197">
        <v>50</v>
      </c>
      <c r="N1197">
        <v>26.4831</v>
      </c>
      <c r="O1197">
        <v>14.891080000000001</v>
      </c>
      <c r="P1197">
        <v>21.092009999999998</v>
      </c>
      <c r="Q1197">
        <v>44379</v>
      </c>
    </row>
    <row r="1198" spans="1:17" x14ac:dyDescent="0.25">
      <c r="A1198" t="s">
        <v>22</v>
      </c>
      <c r="B1198">
        <v>60</v>
      </c>
      <c r="C1198">
        <v>0.79</v>
      </c>
      <c r="D1198">
        <v>2017</v>
      </c>
      <c r="E1198" t="s">
        <v>18</v>
      </c>
      <c r="F1198">
        <v>2017075</v>
      </c>
      <c r="G1198">
        <v>2017144</v>
      </c>
      <c r="H1198">
        <v>9683</v>
      </c>
      <c r="I1198">
        <v>3109</v>
      </c>
      <c r="J1198">
        <v>50</v>
      </c>
      <c r="K1198">
        <v>128</v>
      </c>
      <c r="L1198">
        <v>416</v>
      </c>
      <c r="M1198">
        <v>50</v>
      </c>
      <c r="N1198">
        <v>27.065259999999999</v>
      </c>
      <c r="O1198">
        <v>14.944129999999999</v>
      </c>
      <c r="P1198">
        <v>20.8338</v>
      </c>
      <c r="Q1198">
        <v>87045</v>
      </c>
    </row>
    <row r="1199" spans="1:17" x14ac:dyDescent="0.25">
      <c r="A1199" t="s">
        <v>22</v>
      </c>
      <c r="B1199">
        <v>60</v>
      </c>
      <c r="C1199">
        <v>0.79</v>
      </c>
      <c r="D1199">
        <v>2018</v>
      </c>
      <c r="E1199" t="s">
        <v>18</v>
      </c>
      <c r="F1199">
        <v>2018075</v>
      </c>
      <c r="G1199">
        <v>2018147</v>
      </c>
      <c r="H1199">
        <v>6394</v>
      </c>
      <c r="I1199">
        <v>3176</v>
      </c>
      <c r="J1199">
        <v>50</v>
      </c>
      <c r="K1199">
        <v>328</v>
      </c>
      <c r="L1199">
        <v>76</v>
      </c>
      <c r="M1199">
        <v>50</v>
      </c>
      <c r="N1199">
        <v>26.701889999999999</v>
      </c>
      <c r="O1199">
        <v>15.35164</v>
      </c>
      <c r="P1199">
        <v>20.764779999999998</v>
      </c>
      <c r="Q1199">
        <v>88930</v>
      </c>
    </row>
    <row r="1200" spans="1:17" x14ac:dyDescent="0.25">
      <c r="A1200" t="s">
        <v>22</v>
      </c>
      <c r="B1200">
        <v>60</v>
      </c>
      <c r="C1200">
        <v>0.79</v>
      </c>
      <c r="D1200">
        <v>2019</v>
      </c>
      <c r="E1200" t="s">
        <v>18</v>
      </c>
      <c r="F1200">
        <v>2019075</v>
      </c>
      <c r="G1200">
        <v>2019154</v>
      </c>
      <c r="H1200">
        <v>9685</v>
      </c>
      <c r="I1200">
        <v>3157</v>
      </c>
      <c r="J1200">
        <v>50</v>
      </c>
      <c r="K1200">
        <v>180</v>
      </c>
      <c r="L1200">
        <v>228</v>
      </c>
      <c r="M1200">
        <v>50</v>
      </c>
      <c r="N1200">
        <v>26.593889999999998</v>
      </c>
      <c r="O1200">
        <v>14.99155</v>
      </c>
      <c r="P1200">
        <v>21.042719999999999</v>
      </c>
      <c r="Q1200">
        <v>88394</v>
      </c>
    </row>
    <row r="1201" spans="1:17" x14ac:dyDescent="0.25">
      <c r="A1201" t="s">
        <v>22</v>
      </c>
      <c r="B1201">
        <v>60</v>
      </c>
      <c r="C1201">
        <v>0.79</v>
      </c>
      <c r="D1201">
        <v>2020</v>
      </c>
      <c r="E1201" t="s">
        <v>18</v>
      </c>
      <c r="F1201">
        <v>2020075</v>
      </c>
      <c r="G1201">
        <v>2020144</v>
      </c>
      <c r="H1201">
        <v>7550</v>
      </c>
      <c r="I1201">
        <v>3235</v>
      </c>
      <c r="J1201">
        <v>50</v>
      </c>
      <c r="K1201">
        <v>318</v>
      </c>
      <c r="L1201">
        <v>223</v>
      </c>
      <c r="M1201">
        <v>50</v>
      </c>
      <c r="N1201">
        <v>26.579339999999998</v>
      </c>
      <c r="O1201">
        <v>15.15305</v>
      </c>
      <c r="P1201">
        <v>19.32348</v>
      </c>
      <c r="Q1201">
        <v>90568</v>
      </c>
    </row>
    <row r="1202" spans="1:17" x14ac:dyDescent="0.25">
      <c r="A1202" t="s">
        <v>22</v>
      </c>
      <c r="B1202">
        <v>61</v>
      </c>
      <c r="C1202">
        <v>0.59</v>
      </c>
      <c r="D1202">
        <v>2001</v>
      </c>
      <c r="E1202" t="s">
        <v>17</v>
      </c>
      <c r="F1202">
        <v>2001061</v>
      </c>
      <c r="G1202">
        <v>2001142</v>
      </c>
      <c r="H1202">
        <v>5761</v>
      </c>
      <c r="I1202">
        <v>1661</v>
      </c>
      <c r="J1202">
        <v>50</v>
      </c>
      <c r="K1202">
        <v>259</v>
      </c>
      <c r="L1202">
        <v>235</v>
      </c>
      <c r="M1202">
        <v>25</v>
      </c>
      <c r="N1202">
        <v>25.964320000000001</v>
      </c>
      <c r="O1202">
        <v>15.076650000000001</v>
      </c>
      <c r="P1202">
        <v>19.807040000000001</v>
      </c>
      <c r="Q1202">
        <v>44852</v>
      </c>
    </row>
    <row r="1203" spans="1:17" x14ac:dyDescent="0.25">
      <c r="A1203" t="s">
        <v>22</v>
      </c>
      <c r="B1203">
        <v>61</v>
      </c>
      <c r="C1203">
        <v>0.59</v>
      </c>
      <c r="D1203">
        <v>2002</v>
      </c>
      <c r="E1203" t="s">
        <v>17</v>
      </c>
      <c r="F1203">
        <v>2002061</v>
      </c>
      <c r="G1203">
        <v>2002147</v>
      </c>
      <c r="H1203">
        <v>7704</v>
      </c>
      <c r="I1203">
        <v>2376</v>
      </c>
      <c r="J1203">
        <v>50</v>
      </c>
      <c r="K1203">
        <v>363</v>
      </c>
      <c r="L1203">
        <v>179</v>
      </c>
      <c r="M1203">
        <v>25</v>
      </c>
      <c r="N1203">
        <v>24.52599</v>
      </c>
      <c r="O1203">
        <v>14.152850000000001</v>
      </c>
      <c r="P1203">
        <v>19.114979999999999</v>
      </c>
      <c r="Q1203">
        <v>64162</v>
      </c>
    </row>
    <row r="1204" spans="1:17" x14ac:dyDescent="0.25">
      <c r="A1204" t="s">
        <v>22</v>
      </c>
      <c r="B1204">
        <v>61</v>
      </c>
      <c r="C1204">
        <v>0.59</v>
      </c>
      <c r="D1204">
        <v>2003</v>
      </c>
      <c r="E1204" t="s">
        <v>17</v>
      </c>
      <c r="F1204">
        <v>2003061</v>
      </c>
      <c r="G1204">
        <v>2003148</v>
      </c>
      <c r="H1204">
        <v>5937</v>
      </c>
      <c r="I1204">
        <v>1614</v>
      </c>
      <c r="J1204">
        <v>50</v>
      </c>
      <c r="K1204">
        <v>510</v>
      </c>
      <c r="L1204">
        <v>72</v>
      </c>
      <c r="M1204">
        <v>25</v>
      </c>
      <c r="N1204">
        <v>25.71321</v>
      </c>
      <c r="O1204">
        <v>15.29735</v>
      </c>
      <c r="P1204">
        <v>20.313220000000001</v>
      </c>
      <c r="Q1204">
        <v>43574</v>
      </c>
    </row>
    <row r="1205" spans="1:17" x14ac:dyDescent="0.25">
      <c r="A1205" t="s">
        <v>22</v>
      </c>
      <c r="B1205">
        <v>61</v>
      </c>
      <c r="C1205">
        <v>0.59</v>
      </c>
      <c r="D1205">
        <v>2004</v>
      </c>
      <c r="E1205" t="s">
        <v>17</v>
      </c>
      <c r="F1205">
        <v>2004061</v>
      </c>
      <c r="G1205">
        <v>2004153</v>
      </c>
      <c r="H1205">
        <v>6666</v>
      </c>
      <c r="I1205">
        <v>2184</v>
      </c>
      <c r="J1205">
        <v>50</v>
      </c>
      <c r="K1205">
        <v>454</v>
      </c>
      <c r="L1205">
        <v>103</v>
      </c>
      <c r="M1205">
        <v>25</v>
      </c>
      <c r="N1205">
        <v>24.564309999999999</v>
      </c>
      <c r="O1205">
        <v>14.287660000000001</v>
      </c>
      <c r="P1205">
        <v>19.062560000000001</v>
      </c>
      <c r="Q1205">
        <v>58973</v>
      </c>
    </row>
    <row r="1206" spans="1:17" x14ac:dyDescent="0.25">
      <c r="A1206" t="s">
        <v>22</v>
      </c>
      <c r="B1206">
        <v>61</v>
      </c>
      <c r="C1206">
        <v>0.59</v>
      </c>
      <c r="D1206">
        <v>2005</v>
      </c>
      <c r="E1206" t="s">
        <v>17</v>
      </c>
      <c r="F1206">
        <v>2005061</v>
      </c>
      <c r="G1206">
        <v>2005147</v>
      </c>
      <c r="H1206">
        <v>4261</v>
      </c>
      <c r="I1206">
        <v>644</v>
      </c>
      <c r="J1206">
        <v>50</v>
      </c>
      <c r="K1206">
        <v>164</v>
      </c>
      <c r="L1206">
        <v>123</v>
      </c>
      <c r="M1206">
        <v>25</v>
      </c>
      <c r="N1206">
        <v>24.805299999999999</v>
      </c>
      <c r="O1206">
        <v>14.27445</v>
      </c>
      <c r="P1206">
        <v>19.76784</v>
      </c>
      <c r="Q1206">
        <v>17386</v>
      </c>
    </row>
    <row r="1207" spans="1:17" x14ac:dyDescent="0.25">
      <c r="A1207" t="s">
        <v>22</v>
      </c>
      <c r="B1207">
        <v>61</v>
      </c>
      <c r="C1207">
        <v>0.59</v>
      </c>
      <c r="D1207">
        <v>2006</v>
      </c>
      <c r="E1207" t="s">
        <v>17</v>
      </c>
      <c r="F1207">
        <v>2006061</v>
      </c>
      <c r="G1207">
        <v>2006140</v>
      </c>
      <c r="H1207">
        <v>6406</v>
      </c>
      <c r="I1207">
        <v>1871</v>
      </c>
      <c r="J1207">
        <v>50</v>
      </c>
      <c r="K1207">
        <v>240</v>
      </c>
      <c r="L1207">
        <v>396</v>
      </c>
      <c r="M1207">
        <v>25</v>
      </c>
      <c r="N1207">
        <v>25.702190000000002</v>
      </c>
      <c r="O1207">
        <v>14.981059999999999</v>
      </c>
      <c r="P1207">
        <v>20.3674</v>
      </c>
      <c r="Q1207">
        <v>50518</v>
      </c>
    </row>
    <row r="1208" spans="1:17" x14ac:dyDescent="0.25">
      <c r="A1208" t="s">
        <v>22</v>
      </c>
      <c r="B1208">
        <v>61</v>
      </c>
      <c r="C1208">
        <v>0.59</v>
      </c>
      <c r="D1208">
        <v>2007</v>
      </c>
      <c r="E1208" t="s">
        <v>17</v>
      </c>
      <c r="F1208">
        <v>2007061</v>
      </c>
      <c r="G1208">
        <v>2007145</v>
      </c>
      <c r="H1208">
        <v>6807</v>
      </c>
      <c r="I1208">
        <v>2039</v>
      </c>
      <c r="J1208">
        <v>50</v>
      </c>
      <c r="K1208">
        <v>382</v>
      </c>
      <c r="L1208">
        <v>163</v>
      </c>
      <c r="M1208">
        <v>25</v>
      </c>
      <c r="N1208">
        <v>25.051100000000002</v>
      </c>
      <c r="O1208">
        <v>14.36872</v>
      </c>
      <c r="P1208">
        <v>20.97533</v>
      </c>
      <c r="Q1208">
        <v>55050</v>
      </c>
    </row>
    <row r="1209" spans="1:17" x14ac:dyDescent="0.25">
      <c r="A1209" t="s">
        <v>22</v>
      </c>
      <c r="B1209">
        <v>61</v>
      </c>
      <c r="C1209">
        <v>0.59</v>
      </c>
      <c r="D1209">
        <v>2008</v>
      </c>
      <c r="E1209" t="s">
        <v>18</v>
      </c>
      <c r="F1209">
        <v>2008061</v>
      </c>
      <c r="G1209">
        <v>2008139</v>
      </c>
      <c r="H1209">
        <v>6977</v>
      </c>
      <c r="I1209">
        <v>3259</v>
      </c>
      <c r="J1209">
        <v>50</v>
      </c>
      <c r="K1209">
        <v>301</v>
      </c>
      <c r="L1209">
        <v>309</v>
      </c>
      <c r="M1209">
        <v>25</v>
      </c>
      <c r="N1209">
        <v>24.779299999999999</v>
      </c>
      <c r="O1209">
        <v>13.50353</v>
      </c>
      <c r="P1209">
        <v>20.051110000000001</v>
      </c>
      <c r="Q1209">
        <v>87994</v>
      </c>
    </row>
    <row r="1210" spans="1:17" x14ac:dyDescent="0.25">
      <c r="A1210" t="s">
        <v>22</v>
      </c>
      <c r="B1210">
        <v>61</v>
      </c>
      <c r="C1210">
        <v>0.59</v>
      </c>
      <c r="D1210">
        <v>2009</v>
      </c>
      <c r="E1210" t="s">
        <v>18</v>
      </c>
      <c r="F1210">
        <v>2009061</v>
      </c>
      <c r="G1210">
        <v>2009140</v>
      </c>
      <c r="H1210">
        <v>5785</v>
      </c>
      <c r="I1210">
        <v>1755</v>
      </c>
      <c r="J1210">
        <v>50</v>
      </c>
      <c r="K1210">
        <v>425</v>
      </c>
      <c r="L1210">
        <v>200</v>
      </c>
      <c r="M1210">
        <v>25</v>
      </c>
      <c r="N1210">
        <v>25.596910000000001</v>
      </c>
      <c r="O1210">
        <v>14.48723</v>
      </c>
      <c r="P1210">
        <v>21.38898</v>
      </c>
      <c r="Q1210">
        <v>47381</v>
      </c>
    </row>
    <row r="1211" spans="1:17" x14ac:dyDescent="0.25">
      <c r="A1211" t="s">
        <v>22</v>
      </c>
      <c r="B1211">
        <v>61</v>
      </c>
      <c r="C1211">
        <v>0.59</v>
      </c>
      <c r="D1211">
        <v>2010</v>
      </c>
      <c r="E1211" t="s">
        <v>18</v>
      </c>
      <c r="F1211">
        <v>2010061</v>
      </c>
      <c r="G1211">
        <v>2010145</v>
      </c>
      <c r="H1211">
        <v>7453</v>
      </c>
      <c r="I1211">
        <v>2978</v>
      </c>
      <c r="J1211">
        <v>50</v>
      </c>
      <c r="K1211">
        <v>275</v>
      </c>
      <c r="L1211">
        <v>162</v>
      </c>
      <c r="M1211">
        <v>25</v>
      </c>
      <c r="N1211">
        <v>24.91938</v>
      </c>
      <c r="O1211">
        <v>13.80044</v>
      </c>
      <c r="P1211">
        <v>19.719380000000001</v>
      </c>
      <c r="Q1211">
        <v>80409</v>
      </c>
    </row>
    <row r="1212" spans="1:17" x14ac:dyDescent="0.25">
      <c r="A1212" t="s">
        <v>22</v>
      </c>
      <c r="B1212">
        <v>61</v>
      </c>
      <c r="C1212">
        <v>0.59</v>
      </c>
      <c r="D1212">
        <v>2011</v>
      </c>
      <c r="E1212" t="s">
        <v>18</v>
      </c>
      <c r="F1212">
        <v>2011061</v>
      </c>
      <c r="G1212">
        <v>2011138</v>
      </c>
      <c r="H1212">
        <v>4960</v>
      </c>
      <c r="I1212">
        <v>1893</v>
      </c>
      <c r="J1212">
        <v>50</v>
      </c>
      <c r="K1212">
        <v>245</v>
      </c>
      <c r="L1212">
        <v>47</v>
      </c>
      <c r="M1212">
        <v>25</v>
      </c>
      <c r="N1212">
        <v>25.877970000000001</v>
      </c>
      <c r="O1212">
        <v>14.94229</v>
      </c>
      <c r="P1212">
        <v>19.41189</v>
      </c>
      <c r="Q1212">
        <v>51106</v>
      </c>
    </row>
    <row r="1213" spans="1:17" x14ac:dyDescent="0.25">
      <c r="A1213" t="s">
        <v>22</v>
      </c>
      <c r="B1213">
        <v>61</v>
      </c>
      <c r="C1213">
        <v>0.59</v>
      </c>
      <c r="D1213">
        <v>2012</v>
      </c>
      <c r="E1213" t="s">
        <v>18</v>
      </c>
      <c r="F1213">
        <v>2012061</v>
      </c>
      <c r="G1213">
        <v>2012147</v>
      </c>
      <c r="H1213">
        <v>6464</v>
      </c>
      <c r="I1213">
        <v>2352</v>
      </c>
      <c r="J1213">
        <v>50</v>
      </c>
      <c r="K1213">
        <v>144</v>
      </c>
      <c r="L1213">
        <v>277</v>
      </c>
      <c r="M1213">
        <v>25</v>
      </c>
      <c r="N1213">
        <v>26.235240000000001</v>
      </c>
      <c r="O1213">
        <v>14.305289999999999</v>
      </c>
      <c r="P1213">
        <v>18.859470000000002</v>
      </c>
      <c r="Q1213">
        <v>63496</v>
      </c>
    </row>
    <row r="1214" spans="1:17" x14ac:dyDescent="0.25">
      <c r="A1214" t="s">
        <v>22</v>
      </c>
      <c r="B1214">
        <v>61</v>
      </c>
      <c r="C1214">
        <v>0.59</v>
      </c>
      <c r="D1214">
        <v>2013</v>
      </c>
      <c r="E1214" t="s">
        <v>18</v>
      </c>
      <c r="F1214">
        <v>2013061</v>
      </c>
      <c r="G1214">
        <v>2013140</v>
      </c>
      <c r="H1214">
        <v>6999</v>
      </c>
      <c r="I1214">
        <v>2993</v>
      </c>
      <c r="J1214">
        <v>50</v>
      </c>
      <c r="K1214">
        <v>328</v>
      </c>
      <c r="L1214">
        <v>119</v>
      </c>
      <c r="M1214">
        <v>25</v>
      </c>
      <c r="N1214">
        <v>25.42643</v>
      </c>
      <c r="O1214">
        <v>14.00881</v>
      </c>
      <c r="P1214">
        <v>20.36476</v>
      </c>
      <c r="Q1214">
        <v>80823</v>
      </c>
    </row>
    <row r="1215" spans="1:17" x14ac:dyDescent="0.25">
      <c r="A1215" t="s">
        <v>22</v>
      </c>
      <c r="B1215">
        <v>61</v>
      </c>
      <c r="C1215">
        <v>0.59</v>
      </c>
      <c r="D1215">
        <v>2014</v>
      </c>
      <c r="E1215" t="s">
        <v>18</v>
      </c>
      <c r="F1215">
        <v>2014061</v>
      </c>
      <c r="G1215">
        <v>2014141</v>
      </c>
      <c r="H1215">
        <v>3129</v>
      </c>
      <c r="I1215">
        <v>2138</v>
      </c>
      <c r="J1215">
        <v>50</v>
      </c>
      <c r="K1215">
        <v>208</v>
      </c>
      <c r="L1215">
        <v>48</v>
      </c>
      <c r="M1215">
        <v>25</v>
      </c>
      <c r="N1215">
        <v>25.705279999999998</v>
      </c>
      <c r="O1215">
        <v>14.537879999999999</v>
      </c>
      <c r="P1215">
        <v>21.123339999999999</v>
      </c>
      <c r="Q1215">
        <v>57731</v>
      </c>
    </row>
    <row r="1216" spans="1:17" x14ac:dyDescent="0.25">
      <c r="A1216" t="s">
        <v>22</v>
      </c>
      <c r="B1216">
        <v>61</v>
      </c>
      <c r="C1216">
        <v>0.59</v>
      </c>
      <c r="D1216">
        <v>2015</v>
      </c>
      <c r="E1216" t="s">
        <v>18</v>
      </c>
      <c r="F1216">
        <v>2015061</v>
      </c>
      <c r="G1216">
        <v>2015146</v>
      </c>
      <c r="H1216">
        <v>4904</v>
      </c>
      <c r="I1216">
        <v>1848</v>
      </c>
      <c r="J1216">
        <v>50</v>
      </c>
      <c r="K1216">
        <v>517</v>
      </c>
      <c r="L1216">
        <v>167</v>
      </c>
      <c r="M1216">
        <v>25</v>
      </c>
      <c r="N1216">
        <v>26.207930000000001</v>
      </c>
      <c r="O1216">
        <v>14.4978</v>
      </c>
      <c r="P1216">
        <v>20.777529999999999</v>
      </c>
      <c r="Q1216">
        <v>49901</v>
      </c>
    </row>
    <row r="1217" spans="1:17" x14ac:dyDescent="0.25">
      <c r="A1217" t="s">
        <v>22</v>
      </c>
      <c r="B1217">
        <v>61</v>
      </c>
      <c r="C1217">
        <v>0.59</v>
      </c>
      <c r="D1217">
        <v>2016</v>
      </c>
      <c r="E1217" t="s">
        <v>18</v>
      </c>
      <c r="F1217">
        <v>2016061</v>
      </c>
      <c r="G1217">
        <v>2016146</v>
      </c>
      <c r="H1217">
        <v>7371</v>
      </c>
      <c r="I1217">
        <v>2367</v>
      </c>
      <c r="J1217">
        <v>50</v>
      </c>
      <c r="K1217">
        <v>172</v>
      </c>
      <c r="L1217">
        <v>94</v>
      </c>
      <c r="M1217">
        <v>25</v>
      </c>
      <c r="N1217">
        <v>25.967400000000001</v>
      </c>
      <c r="O1217">
        <v>14.266959999999999</v>
      </c>
      <c r="P1217">
        <v>20.68458</v>
      </c>
      <c r="Q1217">
        <v>63896</v>
      </c>
    </row>
    <row r="1218" spans="1:17" x14ac:dyDescent="0.25">
      <c r="A1218" t="s">
        <v>22</v>
      </c>
      <c r="B1218">
        <v>61</v>
      </c>
      <c r="C1218">
        <v>0.59</v>
      </c>
      <c r="D1218">
        <v>2017</v>
      </c>
      <c r="E1218" t="s">
        <v>18</v>
      </c>
      <c r="F1218">
        <v>2017061</v>
      </c>
      <c r="G1218">
        <v>2017137</v>
      </c>
      <c r="H1218">
        <v>5379</v>
      </c>
      <c r="I1218">
        <v>2141</v>
      </c>
      <c r="J1218">
        <v>50</v>
      </c>
      <c r="K1218">
        <v>128</v>
      </c>
      <c r="L1218">
        <v>416</v>
      </c>
      <c r="M1218">
        <v>25</v>
      </c>
      <c r="N1218">
        <v>26.67313</v>
      </c>
      <c r="O1218">
        <v>14.5022</v>
      </c>
      <c r="P1218">
        <v>20.432600000000001</v>
      </c>
      <c r="Q1218">
        <v>57814</v>
      </c>
    </row>
    <row r="1219" spans="1:17" x14ac:dyDescent="0.25">
      <c r="A1219" t="s">
        <v>22</v>
      </c>
      <c r="B1219">
        <v>61</v>
      </c>
      <c r="C1219">
        <v>0.59</v>
      </c>
      <c r="D1219">
        <v>2018</v>
      </c>
      <c r="E1219" t="s">
        <v>18</v>
      </c>
      <c r="F1219">
        <v>2018061</v>
      </c>
      <c r="G1219">
        <v>2018138</v>
      </c>
      <c r="H1219">
        <v>4212</v>
      </c>
      <c r="I1219">
        <v>2268</v>
      </c>
      <c r="J1219">
        <v>50</v>
      </c>
      <c r="K1219">
        <v>328</v>
      </c>
      <c r="L1219">
        <v>76</v>
      </c>
      <c r="M1219">
        <v>25</v>
      </c>
      <c r="N1219">
        <v>26.23658</v>
      </c>
      <c r="O1219">
        <v>14.86476</v>
      </c>
      <c r="P1219">
        <v>20.315850000000001</v>
      </c>
      <c r="Q1219">
        <v>61246</v>
      </c>
    </row>
    <row r="1220" spans="1:17" x14ac:dyDescent="0.25">
      <c r="A1220" t="s">
        <v>22</v>
      </c>
      <c r="B1220">
        <v>61</v>
      </c>
      <c r="C1220">
        <v>0.59</v>
      </c>
      <c r="D1220">
        <v>2019</v>
      </c>
      <c r="E1220" t="s">
        <v>18</v>
      </c>
      <c r="F1220">
        <v>2019061</v>
      </c>
      <c r="G1220">
        <v>2019154</v>
      </c>
      <c r="H1220">
        <v>6967</v>
      </c>
      <c r="I1220">
        <v>2296</v>
      </c>
      <c r="J1220">
        <v>50</v>
      </c>
      <c r="K1220">
        <v>180</v>
      </c>
      <c r="L1220">
        <v>228</v>
      </c>
      <c r="M1220">
        <v>25</v>
      </c>
      <c r="N1220">
        <v>26.27665</v>
      </c>
      <c r="O1220">
        <v>14.49075</v>
      </c>
      <c r="P1220">
        <v>20.80219</v>
      </c>
      <c r="Q1220">
        <v>61980</v>
      </c>
    </row>
    <row r="1221" spans="1:17" x14ac:dyDescent="0.25">
      <c r="A1221" t="s">
        <v>22</v>
      </c>
      <c r="B1221">
        <v>61</v>
      </c>
      <c r="C1221">
        <v>0.59</v>
      </c>
      <c r="D1221">
        <v>2020</v>
      </c>
      <c r="E1221" t="s">
        <v>18</v>
      </c>
      <c r="F1221">
        <v>2020061</v>
      </c>
      <c r="G1221">
        <v>2020144</v>
      </c>
      <c r="H1221">
        <v>4842</v>
      </c>
      <c r="I1221">
        <v>2110</v>
      </c>
      <c r="J1221">
        <v>50</v>
      </c>
      <c r="K1221">
        <v>318</v>
      </c>
      <c r="L1221">
        <v>223</v>
      </c>
      <c r="M1221">
        <v>25</v>
      </c>
      <c r="N1221">
        <v>26.21321</v>
      </c>
      <c r="O1221">
        <v>14.70837</v>
      </c>
      <c r="P1221">
        <v>19.073139999999999</v>
      </c>
      <c r="Q1221">
        <v>56976</v>
      </c>
    </row>
    <row r="1222" spans="1:17" x14ac:dyDescent="0.25">
      <c r="A1222" t="s">
        <v>22</v>
      </c>
      <c r="B1222">
        <v>62</v>
      </c>
      <c r="C1222">
        <v>0.67</v>
      </c>
      <c r="D1222">
        <v>2001</v>
      </c>
      <c r="E1222" t="s">
        <v>17</v>
      </c>
      <c r="F1222">
        <v>2001075</v>
      </c>
      <c r="G1222">
        <v>2001148</v>
      </c>
      <c r="H1222">
        <v>7518</v>
      </c>
      <c r="I1222">
        <v>2358</v>
      </c>
      <c r="J1222">
        <v>50</v>
      </c>
      <c r="K1222">
        <v>259</v>
      </c>
      <c r="L1222">
        <v>235</v>
      </c>
      <c r="M1222">
        <v>50</v>
      </c>
      <c r="N1222">
        <v>26.192959999999999</v>
      </c>
      <c r="O1222">
        <v>15.4277</v>
      </c>
      <c r="P1222">
        <v>20.232859999999999</v>
      </c>
      <c r="Q1222">
        <v>70754</v>
      </c>
    </row>
    <row r="1223" spans="1:17" x14ac:dyDescent="0.25">
      <c r="A1223" t="s">
        <v>22</v>
      </c>
      <c r="B1223">
        <v>62</v>
      </c>
      <c r="C1223">
        <v>0.67</v>
      </c>
      <c r="D1223">
        <v>2002</v>
      </c>
      <c r="E1223" t="s">
        <v>17</v>
      </c>
      <c r="F1223">
        <v>2002075</v>
      </c>
      <c r="G1223">
        <v>2002155</v>
      </c>
      <c r="H1223">
        <v>8288</v>
      </c>
      <c r="I1223">
        <v>2415</v>
      </c>
      <c r="J1223">
        <v>50</v>
      </c>
      <c r="K1223">
        <v>363</v>
      </c>
      <c r="L1223">
        <v>179</v>
      </c>
      <c r="M1223">
        <v>50</v>
      </c>
      <c r="N1223">
        <v>25.02206</v>
      </c>
      <c r="O1223">
        <v>14.641299999999999</v>
      </c>
      <c r="P1223">
        <v>19.64883</v>
      </c>
      <c r="Q1223">
        <v>72457</v>
      </c>
    </row>
    <row r="1224" spans="1:17" x14ac:dyDescent="0.25">
      <c r="A1224" t="s">
        <v>22</v>
      </c>
      <c r="B1224">
        <v>62</v>
      </c>
      <c r="C1224">
        <v>0.67</v>
      </c>
      <c r="D1224">
        <v>2003</v>
      </c>
      <c r="E1224" t="s">
        <v>17</v>
      </c>
      <c r="F1224">
        <v>2003075</v>
      </c>
      <c r="G1224">
        <v>2003154</v>
      </c>
      <c r="H1224">
        <v>7131</v>
      </c>
      <c r="I1224">
        <v>1986</v>
      </c>
      <c r="J1224">
        <v>50</v>
      </c>
      <c r="K1224">
        <v>510</v>
      </c>
      <c r="L1224">
        <v>72</v>
      </c>
      <c r="M1224">
        <v>50</v>
      </c>
      <c r="N1224">
        <v>26.204219999999999</v>
      </c>
      <c r="O1224">
        <v>15.82253</v>
      </c>
      <c r="P1224">
        <v>20.783100000000001</v>
      </c>
      <c r="Q1224">
        <v>59591</v>
      </c>
    </row>
    <row r="1225" spans="1:17" x14ac:dyDescent="0.25">
      <c r="A1225" t="s">
        <v>22</v>
      </c>
      <c r="B1225">
        <v>62</v>
      </c>
      <c r="C1225">
        <v>0.67</v>
      </c>
      <c r="D1225">
        <v>2004</v>
      </c>
      <c r="E1225" t="s">
        <v>17</v>
      </c>
      <c r="F1225">
        <v>2004075</v>
      </c>
      <c r="G1225">
        <v>2004158</v>
      </c>
      <c r="H1225">
        <v>7046</v>
      </c>
      <c r="I1225">
        <v>2131</v>
      </c>
      <c r="J1225">
        <v>50</v>
      </c>
      <c r="K1225">
        <v>454</v>
      </c>
      <c r="L1225">
        <v>103</v>
      </c>
      <c r="M1225">
        <v>50</v>
      </c>
      <c r="N1225">
        <v>25.152570000000001</v>
      </c>
      <c r="O1225">
        <v>14.92958</v>
      </c>
      <c r="P1225">
        <v>19.559149999999999</v>
      </c>
      <c r="Q1225">
        <v>63935</v>
      </c>
    </row>
    <row r="1226" spans="1:17" x14ac:dyDescent="0.25">
      <c r="A1226" t="s">
        <v>22</v>
      </c>
      <c r="B1226">
        <v>62</v>
      </c>
      <c r="C1226">
        <v>0.67</v>
      </c>
      <c r="D1226">
        <v>2005</v>
      </c>
      <c r="E1226" t="s">
        <v>17</v>
      </c>
      <c r="F1226">
        <v>2005075</v>
      </c>
      <c r="G1226">
        <v>2005151</v>
      </c>
      <c r="H1226">
        <v>4664</v>
      </c>
      <c r="I1226">
        <v>483</v>
      </c>
      <c r="J1226">
        <v>50</v>
      </c>
      <c r="K1226">
        <v>164</v>
      </c>
      <c r="L1226">
        <v>123</v>
      </c>
      <c r="M1226">
        <v>50</v>
      </c>
      <c r="N1226">
        <v>25.533809999999999</v>
      </c>
      <c r="O1226">
        <v>15.030989999999999</v>
      </c>
      <c r="P1226">
        <v>20.18169</v>
      </c>
      <c r="Q1226">
        <v>14495</v>
      </c>
    </row>
    <row r="1227" spans="1:17" x14ac:dyDescent="0.25">
      <c r="A1227" t="s">
        <v>22</v>
      </c>
      <c r="B1227">
        <v>62</v>
      </c>
      <c r="C1227">
        <v>0.67</v>
      </c>
      <c r="D1227">
        <v>2006</v>
      </c>
      <c r="E1227" t="s">
        <v>17</v>
      </c>
      <c r="F1227">
        <v>2006075</v>
      </c>
      <c r="G1227">
        <v>2006148</v>
      </c>
      <c r="H1227">
        <v>8150</v>
      </c>
      <c r="I1227">
        <v>2528</v>
      </c>
      <c r="J1227">
        <v>50</v>
      </c>
      <c r="K1227">
        <v>240</v>
      </c>
      <c r="L1227">
        <v>396</v>
      </c>
      <c r="M1227">
        <v>50</v>
      </c>
      <c r="N1227">
        <v>26.137080000000001</v>
      </c>
      <c r="O1227">
        <v>15.48826</v>
      </c>
      <c r="P1227">
        <v>20.66761</v>
      </c>
      <c r="Q1227">
        <v>75830</v>
      </c>
    </row>
    <row r="1228" spans="1:17" x14ac:dyDescent="0.25">
      <c r="A1228" t="s">
        <v>22</v>
      </c>
      <c r="B1228">
        <v>62</v>
      </c>
      <c r="C1228">
        <v>0.67</v>
      </c>
      <c r="D1228">
        <v>2007</v>
      </c>
      <c r="E1228" t="s">
        <v>17</v>
      </c>
      <c r="F1228">
        <v>2007075</v>
      </c>
      <c r="G1228">
        <v>2007152</v>
      </c>
      <c r="H1228">
        <v>7367</v>
      </c>
      <c r="I1228">
        <v>2046</v>
      </c>
      <c r="J1228">
        <v>50</v>
      </c>
      <c r="K1228">
        <v>382</v>
      </c>
      <c r="L1228">
        <v>163</v>
      </c>
      <c r="M1228">
        <v>50</v>
      </c>
      <c r="N1228">
        <v>25.3507</v>
      </c>
      <c r="O1228">
        <v>14.815020000000001</v>
      </c>
      <c r="P1228">
        <v>21.18075</v>
      </c>
      <c r="Q1228">
        <v>61367</v>
      </c>
    </row>
    <row r="1229" spans="1:17" x14ac:dyDescent="0.25">
      <c r="A1229" t="s">
        <v>22</v>
      </c>
      <c r="B1229">
        <v>62</v>
      </c>
      <c r="C1229">
        <v>0.67</v>
      </c>
      <c r="D1229">
        <v>2008</v>
      </c>
      <c r="E1229" t="s">
        <v>17</v>
      </c>
      <c r="F1229">
        <v>2008075</v>
      </c>
      <c r="G1229">
        <v>2008155</v>
      </c>
      <c r="H1229">
        <v>9317</v>
      </c>
      <c r="I1229">
        <v>3342</v>
      </c>
      <c r="J1229">
        <v>50</v>
      </c>
      <c r="K1229">
        <v>301</v>
      </c>
      <c r="L1229">
        <v>309</v>
      </c>
      <c r="M1229">
        <v>50</v>
      </c>
      <c r="N1229">
        <v>25.16855</v>
      </c>
      <c r="O1229">
        <v>14.024419999999999</v>
      </c>
      <c r="P1229">
        <v>20.277940000000001</v>
      </c>
      <c r="Q1229">
        <v>100265</v>
      </c>
    </row>
    <row r="1230" spans="1:17" x14ac:dyDescent="0.25">
      <c r="A1230" t="s">
        <v>22</v>
      </c>
      <c r="B1230">
        <v>62</v>
      </c>
      <c r="C1230">
        <v>0.67</v>
      </c>
      <c r="D1230">
        <v>2009</v>
      </c>
      <c r="E1230" t="s">
        <v>17</v>
      </c>
      <c r="F1230">
        <v>2009075</v>
      </c>
      <c r="G1230">
        <v>2009153</v>
      </c>
      <c r="H1230">
        <v>7030</v>
      </c>
      <c r="I1230">
        <v>1544</v>
      </c>
      <c r="J1230">
        <v>50</v>
      </c>
      <c r="K1230">
        <v>425</v>
      </c>
      <c r="L1230">
        <v>200</v>
      </c>
      <c r="M1230">
        <v>50</v>
      </c>
      <c r="N1230">
        <v>26.104220000000002</v>
      </c>
      <c r="O1230">
        <v>15.06667</v>
      </c>
      <c r="P1230">
        <v>21.802820000000001</v>
      </c>
      <c r="Q1230">
        <v>46334</v>
      </c>
    </row>
    <row r="1231" spans="1:17" x14ac:dyDescent="0.25">
      <c r="A1231" t="s">
        <v>22</v>
      </c>
      <c r="B1231">
        <v>62</v>
      </c>
      <c r="C1231">
        <v>0.67</v>
      </c>
      <c r="D1231">
        <v>2010</v>
      </c>
      <c r="E1231" t="s">
        <v>17</v>
      </c>
      <c r="F1231">
        <v>2010075</v>
      </c>
      <c r="G1231">
        <v>2010155</v>
      </c>
      <c r="H1231">
        <v>8769</v>
      </c>
      <c r="I1231">
        <v>2821</v>
      </c>
      <c r="J1231">
        <v>50</v>
      </c>
      <c r="K1231">
        <v>275</v>
      </c>
      <c r="L1231">
        <v>162</v>
      </c>
      <c r="M1231">
        <v>50</v>
      </c>
      <c r="N1231">
        <v>25.68544</v>
      </c>
      <c r="O1231">
        <v>14.51173</v>
      </c>
      <c r="P1231">
        <v>20.17417</v>
      </c>
      <c r="Q1231">
        <v>84626</v>
      </c>
    </row>
    <row r="1232" spans="1:17" x14ac:dyDescent="0.25">
      <c r="A1232" t="s">
        <v>22</v>
      </c>
      <c r="B1232">
        <v>62</v>
      </c>
      <c r="C1232">
        <v>0.67</v>
      </c>
      <c r="D1232">
        <v>2011</v>
      </c>
      <c r="E1232" t="s">
        <v>17</v>
      </c>
      <c r="F1232">
        <v>2011075</v>
      </c>
      <c r="G1232">
        <v>2011147</v>
      </c>
      <c r="H1232">
        <v>6250</v>
      </c>
      <c r="I1232">
        <v>1379</v>
      </c>
      <c r="J1232">
        <v>50</v>
      </c>
      <c r="K1232">
        <v>245</v>
      </c>
      <c r="L1232">
        <v>47</v>
      </c>
      <c r="M1232">
        <v>50</v>
      </c>
      <c r="N1232">
        <v>26.575579999999999</v>
      </c>
      <c r="O1232">
        <v>15.536619999999999</v>
      </c>
      <c r="P1232">
        <v>20.044139999999999</v>
      </c>
      <c r="Q1232">
        <v>41356</v>
      </c>
    </row>
    <row r="1233" spans="1:17" x14ac:dyDescent="0.25">
      <c r="A1233" t="s">
        <v>22</v>
      </c>
      <c r="B1233">
        <v>62</v>
      </c>
      <c r="C1233">
        <v>0.67</v>
      </c>
      <c r="D1233">
        <v>2012</v>
      </c>
      <c r="E1233" t="s">
        <v>18</v>
      </c>
      <c r="F1233">
        <v>2012075</v>
      </c>
      <c r="G1233">
        <v>2012147</v>
      </c>
      <c r="H1233">
        <v>7772</v>
      </c>
      <c r="I1233">
        <v>2747</v>
      </c>
      <c r="J1233">
        <v>50</v>
      </c>
      <c r="K1233">
        <v>144</v>
      </c>
      <c r="L1233">
        <v>277</v>
      </c>
      <c r="M1233">
        <v>50</v>
      </c>
      <c r="N1233">
        <v>26.712679999999999</v>
      </c>
      <c r="O1233">
        <v>14.931929999999999</v>
      </c>
      <c r="P1233">
        <v>19.115020000000001</v>
      </c>
      <c r="Q1233">
        <v>82403</v>
      </c>
    </row>
    <row r="1234" spans="1:17" x14ac:dyDescent="0.25">
      <c r="A1234" t="s">
        <v>22</v>
      </c>
      <c r="B1234">
        <v>62</v>
      </c>
      <c r="C1234">
        <v>0.67</v>
      </c>
      <c r="D1234">
        <v>2013</v>
      </c>
      <c r="E1234" t="s">
        <v>18</v>
      </c>
      <c r="F1234">
        <v>2013075</v>
      </c>
      <c r="G1234">
        <v>2013148</v>
      </c>
      <c r="H1234">
        <v>8254</v>
      </c>
      <c r="I1234">
        <v>3163</v>
      </c>
      <c r="J1234">
        <v>50</v>
      </c>
      <c r="K1234">
        <v>328</v>
      </c>
      <c r="L1234">
        <v>119</v>
      </c>
      <c r="M1234">
        <v>50</v>
      </c>
      <c r="N1234">
        <v>25.902819999999998</v>
      </c>
      <c r="O1234">
        <v>14.50892</v>
      </c>
      <c r="P1234">
        <v>20.789200000000001</v>
      </c>
      <c r="Q1234">
        <v>94888</v>
      </c>
    </row>
    <row r="1235" spans="1:17" x14ac:dyDescent="0.25">
      <c r="A1235" t="s">
        <v>22</v>
      </c>
      <c r="B1235">
        <v>62</v>
      </c>
      <c r="C1235">
        <v>0.67</v>
      </c>
      <c r="D1235">
        <v>2014</v>
      </c>
      <c r="E1235" t="s">
        <v>18</v>
      </c>
      <c r="F1235">
        <v>2014075</v>
      </c>
      <c r="G1235">
        <v>2014148</v>
      </c>
      <c r="H1235">
        <v>3136</v>
      </c>
      <c r="I1235">
        <v>1393</v>
      </c>
      <c r="J1235">
        <v>50</v>
      </c>
      <c r="K1235">
        <v>208</v>
      </c>
      <c r="L1235">
        <v>48</v>
      </c>
      <c r="M1235">
        <v>50</v>
      </c>
      <c r="N1235">
        <v>26.17558</v>
      </c>
      <c r="O1235">
        <v>15.128170000000001</v>
      </c>
      <c r="P1235">
        <v>21.437080000000002</v>
      </c>
      <c r="Q1235">
        <v>41792</v>
      </c>
    </row>
    <row r="1236" spans="1:17" x14ac:dyDescent="0.25">
      <c r="A1236" t="s">
        <v>22</v>
      </c>
      <c r="B1236">
        <v>62</v>
      </c>
      <c r="C1236">
        <v>0.67</v>
      </c>
      <c r="D1236">
        <v>2015</v>
      </c>
      <c r="E1236" t="s">
        <v>18</v>
      </c>
      <c r="F1236">
        <v>2015075</v>
      </c>
      <c r="G1236">
        <v>2015146</v>
      </c>
      <c r="H1236">
        <v>8385</v>
      </c>
      <c r="I1236">
        <v>2609</v>
      </c>
      <c r="J1236">
        <v>50</v>
      </c>
      <c r="K1236">
        <v>517</v>
      </c>
      <c r="L1236">
        <v>167</v>
      </c>
      <c r="M1236">
        <v>50</v>
      </c>
      <c r="N1236">
        <v>26.67136</v>
      </c>
      <c r="O1236">
        <v>15.122540000000001</v>
      </c>
      <c r="P1236">
        <v>21.076989999999999</v>
      </c>
      <c r="Q1236">
        <v>78270</v>
      </c>
    </row>
    <row r="1237" spans="1:17" x14ac:dyDescent="0.25">
      <c r="A1237" t="s">
        <v>22</v>
      </c>
      <c r="B1237">
        <v>62</v>
      </c>
      <c r="C1237">
        <v>0.67</v>
      </c>
      <c r="D1237">
        <v>2016</v>
      </c>
      <c r="E1237" t="s">
        <v>18</v>
      </c>
      <c r="F1237">
        <v>2016075</v>
      </c>
      <c r="G1237">
        <v>2016147</v>
      </c>
      <c r="H1237">
        <v>7911</v>
      </c>
      <c r="I1237">
        <v>1827</v>
      </c>
      <c r="J1237">
        <v>50</v>
      </c>
      <c r="K1237">
        <v>172</v>
      </c>
      <c r="L1237">
        <v>94</v>
      </c>
      <c r="M1237">
        <v>50</v>
      </c>
      <c r="N1237">
        <v>26.4831</v>
      </c>
      <c r="O1237">
        <v>14.891080000000001</v>
      </c>
      <c r="P1237">
        <v>21.092009999999998</v>
      </c>
      <c r="Q1237">
        <v>54813</v>
      </c>
    </row>
    <row r="1238" spans="1:17" x14ac:dyDescent="0.25">
      <c r="A1238" t="s">
        <v>22</v>
      </c>
      <c r="B1238">
        <v>62</v>
      </c>
      <c r="C1238">
        <v>0.67</v>
      </c>
      <c r="D1238">
        <v>2017</v>
      </c>
      <c r="E1238" t="s">
        <v>18</v>
      </c>
      <c r="F1238">
        <v>2017075</v>
      </c>
      <c r="G1238">
        <v>2017144</v>
      </c>
      <c r="H1238">
        <v>8673</v>
      </c>
      <c r="I1238">
        <v>2871</v>
      </c>
      <c r="J1238">
        <v>50</v>
      </c>
      <c r="K1238">
        <v>128</v>
      </c>
      <c r="L1238">
        <v>416</v>
      </c>
      <c r="M1238">
        <v>50</v>
      </c>
      <c r="N1238">
        <v>27.065259999999999</v>
      </c>
      <c r="O1238">
        <v>14.944129999999999</v>
      </c>
      <c r="P1238">
        <v>20.8338</v>
      </c>
      <c r="Q1238">
        <v>86143</v>
      </c>
    </row>
    <row r="1239" spans="1:17" x14ac:dyDescent="0.25">
      <c r="A1239" t="s">
        <v>22</v>
      </c>
      <c r="B1239">
        <v>62</v>
      </c>
      <c r="C1239">
        <v>0.67</v>
      </c>
      <c r="D1239">
        <v>2018</v>
      </c>
      <c r="E1239" t="s">
        <v>18</v>
      </c>
      <c r="F1239">
        <v>2018075</v>
      </c>
      <c r="G1239">
        <v>2018147</v>
      </c>
      <c r="H1239">
        <v>6313</v>
      </c>
      <c r="I1239">
        <v>3147</v>
      </c>
      <c r="J1239">
        <v>50</v>
      </c>
      <c r="K1239">
        <v>328</v>
      </c>
      <c r="L1239">
        <v>76</v>
      </c>
      <c r="M1239">
        <v>50</v>
      </c>
      <c r="N1239">
        <v>26.701889999999999</v>
      </c>
      <c r="O1239">
        <v>15.35164</v>
      </c>
      <c r="P1239">
        <v>20.764779999999998</v>
      </c>
      <c r="Q1239">
        <v>94404</v>
      </c>
    </row>
    <row r="1240" spans="1:17" x14ac:dyDescent="0.25">
      <c r="A1240" t="s">
        <v>22</v>
      </c>
      <c r="B1240">
        <v>62</v>
      </c>
      <c r="C1240">
        <v>0.67</v>
      </c>
      <c r="D1240">
        <v>2019</v>
      </c>
      <c r="E1240" t="s">
        <v>18</v>
      </c>
      <c r="F1240">
        <v>2019075</v>
      </c>
      <c r="G1240">
        <v>2019154</v>
      </c>
      <c r="H1240">
        <v>9327</v>
      </c>
      <c r="I1240">
        <v>2783</v>
      </c>
      <c r="J1240">
        <v>50</v>
      </c>
      <c r="K1240">
        <v>180</v>
      </c>
      <c r="L1240">
        <v>228</v>
      </c>
      <c r="M1240">
        <v>50</v>
      </c>
      <c r="N1240">
        <v>26.593889999999998</v>
      </c>
      <c r="O1240">
        <v>14.99155</v>
      </c>
      <c r="P1240">
        <v>21.042719999999999</v>
      </c>
      <c r="Q1240">
        <v>83480</v>
      </c>
    </row>
    <row r="1241" spans="1:17" x14ac:dyDescent="0.25">
      <c r="A1241" t="s">
        <v>22</v>
      </c>
      <c r="B1241">
        <v>62</v>
      </c>
      <c r="C1241">
        <v>0.67</v>
      </c>
      <c r="D1241">
        <v>2020</v>
      </c>
      <c r="E1241" t="s">
        <v>18</v>
      </c>
      <c r="F1241">
        <v>2020075</v>
      </c>
      <c r="G1241">
        <v>2020144</v>
      </c>
      <c r="H1241">
        <v>7426</v>
      </c>
      <c r="I1241">
        <v>3006</v>
      </c>
      <c r="J1241">
        <v>50</v>
      </c>
      <c r="K1241">
        <v>318</v>
      </c>
      <c r="L1241">
        <v>223</v>
      </c>
      <c r="M1241">
        <v>50</v>
      </c>
      <c r="N1241">
        <v>26.579339999999998</v>
      </c>
      <c r="O1241">
        <v>15.15305</v>
      </c>
      <c r="P1241">
        <v>19.32348</v>
      </c>
      <c r="Q1241">
        <v>90167</v>
      </c>
    </row>
  </sheetData>
  <mergeCells count="2">
    <mergeCell ref="U1:Z1"/>
    <mergeCell ref="AC1:A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41"/>
  <sheetViews>
    <sheetView tabSelected="1" workbookViewId="0">
      <selection activeCell="K2" sqref="K2"/>
    </sheetView>
  </sheetViews>
  <sheetFormatPr defaultRowHeight="15" x14ac:dyDescent="0.25"/>
  <cols>
    <col min="4" max="4" width="12.85546875" customWidth="1"/>
    <col min="11" max="11" width="15.42578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31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S1" s="1"/>
      <c r="T1" s="4" t="s">
        <v>23</v>
      </c>
      <c r="U1" s="4"/>
      <c r="V1" s="4"/>
      <c r="W1" s="4"/>
      <c r="X1" s="4"/>
      <c r="Y1" s="4"/>
      <c r="AA1" s="1"/>
    </row>
    <row r="2" spans="1:32" x14ac:dyDescent="0.25">
      <c r="A2" t="s">
        <v>16</v>
      </c>
      <c r="B2">
        <v>1</v>
      </c>
      <c r="C2">
        <v>1.57</v>
      </c>
      <c r="D2">
        <v>2000</v>
      </c>
      <c r="E2" t="s">
        <v>28</v>
      </c>
      <c r="F2">
        <v>2000308</v>
      </c>
      <c r="G2">
        <v>2001062</v>
      </c>
      <c r="H2">
        <v>16855</v>
      </c>
      <c r="I2">
        <v>2284</v>
      </c>
      <c r="J2">
        <v>100</v>
      </c>
      <c r="K2">
        <v>641</v>
      </c>
      <c r="L2">
        <v>0</v>
      </c>
      <c r="M2">
        <v>100</v>
      </c>
      <c r="N2">
        <v>18.028639999999999</v>
      </c>
      <c r="O2">
        <v>8.0300960000000003</v>
      </c>
      <c r="P2">
        <v>13.62233</v>
      </c>
      <c r="Q2">
        <v>47963</v>
      </c>
      <c r="S2" s="1"/>
      <c r="T2" s="1" t="s">
        <v>16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24</v>
      </c>
      <c r="AA2" s="1"/>
      <c r="AB2" s="1" t="s">
        <v>16</v>
      </c>
      <c r="AC2" s="1" t="s">
        <v>19</v>
      </c>
      <c r="AD2" s="1" t="s">
        <v>20</v>
      </c>
      <c r="AE2" s="1" t="s">
        <v>21</v>
      </c>
      <c r="AF2" s="1" t="s">
        <v>22</v>
      </c>
    </row>
    <row r="3" spans="1:32" x14ac:dyDescent="0.25">
      <c r="A3" t="s">
        <v>16</v>
      </c>
      <c r="B3">
        <v>1</v>
      </c>
      <c r="C3">
        <v>1.57</v>
      </c>
      <c r="D3">
        <v>2001</v>
      </c>
      <c r="E3" t="s">
        <v>28</v>
      </c>
      <c r="F3">
        <v>2001308</v>
      </c>
      <c r="G3">
        <v>2002082</v>
      </c>
      <c r="H3">
        <v>22783</v>
      </c>
      <c r="I3">
        <v>3561</v>
      </c>
      <c r="J3">
        <v>100</v>
      </c>
      <c r="K3">
        <v>445</v>
      </c>
      <c r="L3">
        <v>0</v>
      </c>
      <c r="M3">
        <v>100</v>
      </c>
      <c r="N3">
        <v>17.575240000000001</v>
      </c>
      <c r="O3">
        <v>5.6582520000000001</v>
      </c>
      <c r="P3">
        <v>14.53107</v>
      </c>
      <c r="Q3">
        <v>74786</v>
      </c>
      <c r="S3" s="1">
        <v>2000</v>
      </c>
      <c r="T3" s="2">
        <f>0.001*SUMIFS($Q:$Q,$A:$A,"=LOBA",$D:$D,$S3)</f>
        <v>672.65300000000002</v>
      </c>
      <c r="U3" s="2">
        <f>0.001*SUMIFS($Q:$Q,$A:$A,"=BECO",$D:$D,$S3)</f>
        <v>1342.1949999999999</v>
      </c>
      <c r="V3" s="2">
        <f>0.001*SUMIFS($Q:$Q,$A:$A,"=COCO",$D:$D,$S3)</f>
        <v>1066.1669999999999</v>
      </c>
      <c r="W3" s="2">
        <f>0.001*SUMIFS($Q:$Q,$A:$A,"=BAGR",$D:$D,$S3)</f>
        <v>1249.395</v>
      </c>
      <c r="X3" s="2">
        <f>0.001*SUMIFS($Q:$Q,$A:$A,"=CSCS",$D:$D,$S3)</f>
        <v>376.15000000000003</v>
      </c>
      <c r="Y3" s="3">
        <f>SUM(T3:W3)</f>
        <v>4330.41</v>
      </c>
      <c r="AA3" s="1">
        <v>2001</v>
      </c>
      <c r="AB3" s="2">
        <f>AVERAGEIFS($I:$I,$A:$A,"=LOBA",$D:$D,$S3)</f>
        <v>2259</v>
      </c>
      <c r="AC3" s="2">
        <f>AVERAGEIFS($I:$I,$A:$A,"=BECO",$D:$D,$S3)</f>
        <v>3793.1666666666665</v>
      </c>
      <c r="AD3" s="2">
        <f>AVERAGEIFS($I:$I,$A:$A,"=COCO",$D:$D,$S3)</f>
        <v>2446.5454545454545</v>
      </c>
      <c r="AE3" s="2">
        <f>AVERAGEIFS($I:$I,$A:$A,"=BAGR",$D:$D,$S3)</f>
        <v>4016.25</v>
      </c>
      <c r="AF3" s="2">
        <f>AVERAGEIFS($I:$I,$A:$A,"=CSCS",$D:$D,$S3)</f>
        <v>1204.8333333333333</v>
      </c>
    </row>
    <row r="4" spans="1:32" x14ac:dyDescent="0.25">
      <c r="A4" t="s">
        <v>16</v>
      </c>
      <c r="B4">
        <v>1</v>
      </c>
      <c r="C4">
        <v>1.57</v>
      </c>
      <c r="D4">
        <v>2002</v>
      </c>
      <c r="E4" t="s">
        <v>28</v>
      </c>
      <c r="F4">
        <v>2002308</v>
      </c>
      <c r="G4">
        <v>2003072</v>
      </c>
      <c r="H4">
        <v>3741</v>
      </c>
      <c r="I4">
        <v>526</v>
      </c>
      <c r="J4">
        <v>100</v>
      </c>
      <c r="K4">
        <v>183</v>
      </c>
      <c r="L4">
        <v>0</v>
      </c>
      <c r="M4">
        <v>100</v>
      </c>
      <c r="N4">
        <v>17.995629999999998</v>
      </c>
      <c r="O4">
        <v>7.088349</v>
      </c>
      <c r="P4">
        <v>13.651450000000001</v>
      </c>
      <c r="Q4">
        <v>11043</v>
      </c>
      <c r="S4" s="1">
        <v>2001</v>
      </c>
      <c r="T4" s="2">
        <f>0.001*SUMIFS($Q:$Q,$A:$A,"=LOBA",$D:$D,$S4)</f>
        <v>984.97500000000002</v>
      </c>
      <c r="U4" s="2">
        <f>0.001*SUMIFS($Q:$Q,$A:$A,"=BECO",$D:$D,$S4)</f>
        <v>1262.8220000000001</v>
      </c>
      <c r="V4" s="2">
        <f>0.001*SUMIFS($Q:$Q,$A:$A,"=COCO",$D:$D,$S4)</f>
        <v>1059.3800000000001</v>
      </c>
      <c r="W4" s="2">
        <f>0.001*SUMIFS($Q:$Q,$A:$A,"=BAGR",$D:$D,$S4)</f>
        <v>749.64099999999996</v>
      </c>
      <c r="X4" s="2">
        <f>0.001*SUMIFS($Q:$Q,$A:$A,"=CSCS",$D:$D,$S4)</f>
        <v>484.65199999999999</v>
      </c>
      <c r="Y4" s="3">
        <f t="shared" ref="Y4:Y22" si="0">SUM(T4:W4)</f>
        <v>4056.8180000000002</v>
      </c>
      <c r="AA4" s="1">
        <v>2002</v>
      </c>
      <c r="AB4" s="2">
        <f>AVERAGEIFS($I:$I,$A:$A,"=LOBA",$D:$D,$S4)</f>
        <v>3312.6</v>
      </c>
      <c r="AC4" s="2">
        <f>AVERAGEIFS($I:$I,$A:$A,"=BECO",$D:$D,$S4)</f>
        <v>3576</v>
      </c>
      <c r="AD4" s="2">
        <f>AVERAGEIFS($I:$I,$A:$A,"=COCO",$D:$D,$S4)</f>
        <v>2423.818181818182</v>
      </c>
      <c r="AE4" s="2">
        <f>AVERAGEIFS($I:$I,$A:$A,"=BAGR",$D:$D,$S4)</f>
        <v>2396.75</v>
      </c>
      <c r="AF4" s="2">
        <f>AVERAGEIFS($I:$I,$A:$A,"=CSCS",$D:$D,$S4)</f>
        <v>1562.5</v>
      </c>
    </row>
    <row r="5" spans="1:32" x14ac:dyDescent="0.25">
      <c r="A5" t="s">
        <v>16</v>
      </c>
      <c r="B5">
        <v>1</v>
      </c>
      <c r="C5">
        <v>1.57</v>
      </c>
      <c r="D5">
        <v>2003</v>
      </c>
      <c r="E5" t="s">
        <v>28</v>
      </c>
      <c r="F5">
        <v>2003308</v>
      </c>
      <c r="G5">
        <v>2004078</v>
      </c>
      <c r="H5">
        <v>23602</v>
      </c>
      <c r="I5">
        <v>3358</v>
      </c>
      <c r="J5">
        <v>100</v>
      </c>
      <c r="K5">
        <v>502</v>
      </c>
      <c r="L5">
        <v>0</v>
      </c>
      <c r="M5">
        <v>100</v>
      </c>
      <c r="N5">
        <v>16.806799999999999</v>
      </c>
      <c r="O5">
        <v>6.8432019999999998</v>
      </c>
      <c r="P5">
        <v>13.43253</v>
      </c>
      <c r="Q5">
        <v>70525</v>
      </c>
      <c r="S5" s="1">
        <v>2002</v>
      </c>
      <c r="T5" s="2">
        <f>0.001*SUMIFS($Q:$Q,$A:$A,"=LOBA",$D:$D,$S5)</f>
        <v>172.18600000000001</v>
      </c>
      <c r="U5" s="2">
        <f>0.001*SUMIFS($Q:$Q,$A:$A,"=BECO",$D:$D,$S5)</f>
        <v>1406.1410000000001</v>
      </c>
      <c r="V5" s="2">
        <f>0.001*SUMIFS($Q:$Q,$A:$A,"=COCO",$D:$D,$S5)</f>
        <v>1510.33</v>
      </c>
      <c r="W5" s="2">
        <f>0.001*SUMIFS($Q:$Q,$A:$A,"=BAGR",$D:$D,$S5)</f>
        <v>1200.021</v>
      </c>
      <c r="X5" s="2">
        <f>0.001*SUMIFS($Q:$Q,$A:$A,"=CSCS",$D:$D,$S5)</f>
        <v>817.92200000000003</v>
      </c>
      <c r="Y5" s="3">
        <f t="shared" si="0"/>
        <v>4288.6779999999999</v>
      </c>
      <c r="AA5" s="1">
        <v>2003</v>
      </c>
      <c r="AB5" s="2">
        <f>AVERAGEIFS($I:$I,$A:$A,"=LOBA",$D:$D,$S5)</f>
        <v>578</v>
      </c>
      <c r="AC5" s="2">
        <f>AVERAGEIFS($I:$I,$A:$A,"=BECO",$D:$D,$S5)</f>
        <v>3971.1666666666665</v>
      </c>
      <c r="AD5" s="2">
        <f>AVERAGEIFS($I:$I,$A:$A,"=COCO",$D:$D,$S5)</f>
        <v>3464.2727272727275</v>
      </c>
      <c r="AE5" s="2">
        <f>AVERAGEIFS($I:$I,$A:$A,"=BAGR",$D:$D,$S5)</f>
        <v>3870.0833333333335</v>
      </c>
      <c r="AF5" s="2">
        <f>AVERAGEIFS($I:$I,$A:$A,"=CSCS",$D:$D,$S5)</f>
        <v>2653.0833333333335</v>
      </c>
    </row>
    <row r="6" spans="1:32" x14ac:dyDescent="0.25">
      <c r="A6" t="s">
        <v>16</v>
      </c>
      <c r="B6">
        <v>1</v>
      </c>
      <c r="C6">
        <v>1.57</v>
      </c>
      <c r="D6">
        <v>2004</v>
      </c>
      <c r="E6" t="s">
        <v>28</v>
      </c>
      <c r="F6">
        <v>2004308</v>
      </c>
      <c r="G6">
        <v>2005094</v>
      </c>
      <c r="H6">
        <v>12494</v>
      </c>
      <c r="I6">
        <v>1583</v>
      </c>
      <c r="J6">
        <v>100</v>
      </c>
      <c r="K6">
        <v>321</v>
      </c>
      <c r="L6">
        <v>0</v>
      </c>
      <c r="M6">
        <v>100</v>
      </c>
      <c r="N6">
        <v>18.451689999999999</v>
      </c>
      <c r="O6">
        <v>3.9579710000000001</v>
      </c>
      <c r="P6">
        <v>15.298550000000001</v>
      </c>
      <c r="Q6">
        <v>33253</v>
      </c>
      <c r="S6" s="1">
        <v>2003</v>
      </c>
      <c r="T6" s="2">
        <f>0.001*SUMIFS($Q:$Q,$A:$A,"=LOBA",$D:$D,$S6)</f>
        <v>1115.885</v>
      </c>
      <c r="U6" s="2">
        <f>0.001*SUMIFS($Q:$Q,$A:$A,"=BECO",$D:$D,$S6)</f>
        <v>1323.9950000000001</v>
      </c>
      <c r="V6" s="2">
        <f>0.001*SUMIFS($Q:$Q,$A:$A,"=COCO",$D:$D,$S6)</f>
        <v>1352.942</v>
      </c>
      <c r="W6" s="2">
        <f>0.001*SUMIFS($Q:$Q,$A:$A,"=BAGR",$D:$D,$S6)</f>
        <v>471.435</v>
      </c>
      <c r="X6" s="2">
        <f>0.001*SUMIFS($Q:$Q,$A:$A,"=CSCS",$D:$D,$S6)</f>
        <v>633.178</v>
      </c>
      <c r="Y6" s="3">
        <f t="shared" si="0"/>
        <v>4264.2570000000005</v>
      </c>
      <c r="AA6" s="1">
        <v>2004</v>
      </c>
      <c r="AB6" s="2">
        <f>AVERAGEIFS($I:$I,$A:$A,"=LOBA",$D:$D,$S6)</f>
        <v>3753.8666666666668</v>
      </c>
      <c r="AC6" s="2">
        <f>AVERAGEIFS($I:$I,$A:$A,"=BECO",$D:$D,$S6)</f>
        <v>3742.75</v>
      </c>
      <c r="AD6" s="2">
        <f>AVERAGEIFS($I:$I,$A:$A,"=COCO",$D:$D,$S6)</f>
        <v>3110.090909090909</v>
      </c>
      <c r="AE6" s="2">
        <f>AVERAGEIFS($I:$I,$A:$A,"=BAGR",$D:$D,$S6)</f>
        <v>1525.1666666666667</v>
      </c>
      <c r="AF6" s="2">
        <f>AVERAGEIFS($I:$I,$A:$A,"=CSCS",$D:$D,$S6)</f>
        <v>2028.1666666666667</v>
      </c>
    </row>
    <row r="7" spans="1:32" x14ac:dyDescent="0.25">
      <c r="A7" t="s">
        <v>16</v>
      </c>
      <c r="B7">
        <v>1</v>
      </c>
      <c r="C7">
        <v>1.57</v>
      </c>
      <c r="D7">
        <v>2005</v>
      </c>
      <c r="E7" t="s">
        <v>28</v>
      </c>
      <c r="F7">
        <v>2005308</v>
      </c>
      <c r="G7">
        <v>2006088</v>
      </c>
      <c r="H7">
        <v>19346</v>
      </c>
      <c r="I7">
        <v>4502</v>
      </c>
      <c r="J7">
        <v>100</v>
      </c>
      <c r="K7">
        <v>344</v>
      </c>
      <c r="L7">
        <v>0</v>
      </c>
      <c r="M7">
        <v>100</v>
      </c>
      <c r="N7">
        <v>17.985859999999999</v>
      </c>
      <c r="O7">
        <v>5.5063409999999999</v>
      </c>
      <c r="P7">
        <v>14.232200000000001</v>
      </c>
      <c r="Q7">
        <v>94552</v>
      </c>
      <c r="S7" s="1">
        <v>2004</v>
      </c>
      <c r="T7" s="2">
        <f>0.001*SUMIFS($Q:$Q,$A:$A,"=LOBA",$D:$D,$S7)</f>
        <v>570.96500000000003</v>
      </c>
      <c r="U7" s="2">
        <f>0.001*SUMIFS($Q:$Q,$A:$A,"=BECO",$D:$D,$S7)</f>
        <v>664.25599999999997</v>
      </c>
      <c r="V7" s="2">
        <f>0.001*SUMIFS($Q:$Q,$A:$A,"=COCO",$D:$D,$S7)</f>
        <v>856.31100000000004</v>
      </c>
      <c r="W7" s="2">
        <f>0.001*SUMIFS($Q:$Q,$A:$A,"=BAGR",$D:$D,$S7)</f>
        <v>235.24299999999999</v>
      </c>
      <c r="X7" s="2">
        <f>0.001*SUMIFS($Q:$Q,$A:$A,"=CSCS",$D:$D,$S7)</f>
        <v>730.17399999999998</v>
      </c>
      <c r="Y7" s="3">
        <f t="shared" si="0"/>
        <v>2326.7750000000001</v>
      </c>
      <c r="AA7" s="1">
        <v>2005</v>
      </c>
      <c r="AB7" s="2">
        <f>AVERAGEIFS($I:$I,$A:$A,"=LOBA",$D:$D,$S7)</f>
        <v>1909.8</v>
      </c>
      <c r="AC7" s="2">
        <f>AVERAGEIFS($I:$I,$A:$A,"=BECO",$D:$D,$S7)</f>
        <v>1858.8333333333333</v>
      </c>
      <c r="AD7" s="2">
        <f>AVERAGEIFS($I:$I,$A:$A,"=COCO",$D:$D,$S7)</f>
        <v>1970.4545454545455</v>
      </c>
      <c r="AE7" s="2">
        <f>AVERAGEIFS($I:$I,$A:$A,"=BAGR",$D:$D,$S7)</f>
        <v>743.75</v>
      </c>
      <c r="AF7" s="2">
        <f>AVERAGEIFS($I:$I,$A:$A,"=CSCS",$D:$D,$S7)</f>
        <v>2357</v>
      </c>
    </row>
    <row r="8" spans="1:32" x14ac:dyDescent="0.25">
      <c r="A8" t="s">
        <v>16</v>
      </c>
      <c r="B8">
        <v>1</v>
      </c>
      <c r="C8">
        <v>1.57</v>
      </c>
      <c r="D8">
        <v>2006</v>
      </c>
      <c r="E8" t="s">
        <v>28</v>
      </c>
      <c r="F8">
        <v>2006308</v>
      </c>
      <c r="G8">
        <v>2007080</v>
      </c>
      <c r="H8">
        <v>23498</v>
      </c>
      <c r="I8">
        <v>4220</v>
      </c>
      <c r="J8">
        <v>100</v>
      </c>
      <c r="K8">
        <v>571</v>
      </c>
      <c r="L8">
        <v>0</v>
      </c>
      <c r="M8">
        <v>100</v>
      </c>
      <c r="N8">
        <v>17.828009999999999</v>
      </c>
      <c r="O8">
        <v>6.246861</v>
      </c>
      <c r="P8">
        <v>13.635260000000001</v>
      </c>
      <c r="Q8">
        <v>88613</v>
      </c>
      <c r="S8" s="1">
        <v>2005</v>
      </c>
      <c r="T8" s="2">
        <f>0.001*SUMIFS($Q:$Q,$A:$A,"=LOBA",$D:$D,$S8)</f>
        <v>1342.9080000000001</v>
      </c>
      <c r="U8" s="2">
        <f>0.001*SUMIFS($Q:$Q,$A:$A,"=BECO",$D:$D,$S8)</f>
        <v>707.72500000000002</v>
      </c>
      <c r="V8" s="2">
        <f>0.001*SUMIFS($Q:$Q,$A:$A,"=COCO",$D:$D,$S8)</f>
        <v>1726.2529999999999</v>
      </c>
      <c r="W8" s="2">
        <f>0.001*SUMIFS($Q:$Q,$A:$A,"=BAGR",$D:$D,$S8)</f>
        <v>449.43900000000002</v>
      </c>
      <c r="X8" s="2">
        <f>0.001*SUMIFS($Q:$Q,$A:$A,"=CSCS",$D:$D,$S8)</f>
        <v>896.81700000000001</v>
      </c>
      <c r="Y8" s="3">
        <f t="shared" si="0"/>
        <v>4226.3250000000007</v>
      </c>
      <c r="AA8" s="1">
        <v>2006</v>
      </c>
      <c r="AB8" s="2">
        <f>AVERAGEIFS($I:$I,$A:$A,"=LOBA",$D:$D,$S8)</f>
        <v>4520.4666666666662</v>
      </c>
      <c r="AC8" s="2">
        <f>AVERAGEIFS($I:$I,$A:$A,"=BECO",$D:$D,$S8)</f>
        <v>1995.5833333333333</v>
      </c>
      <c r="AD8" s="2">
        <f>AVERAGEIFS($I:$I,$A:$A,"=COCO",$D:$D,$S8)</f>
        <v>3968.3636363636365</v>
      </c>
      <c r="AE8" s="2">
        <f>AVERAGEIFS($I:$I,$A:$A,"=BAGR",$D:$D,$S8)</f>
        <v>1436.0833333333333</v>
      </c>
      <c r="AF8" s="2">
        <f>AVERAGEIFS($I:$I,$A:$A,"=CSCS",$D:$D,$S8)</f>
        <v>2903.5</v>
      </c>
    </row>
    <row r="9" spans="1:32" x14ac:dyDescent="0.25">
      <c r="A9" t="s">
        <v>16</v>
      </c>
      <c r="B9">
        <v>1</v>
      </c>
      <c r="C9">
        <v>1.57</v>
      </c>
      <c r="D9">
        <v>2007</v>
      </c>
      <c r="E9" t="s">
        <v>28</v>
      </c>
      <c r="F9">
        <v>2007308</v>
      </c>
      <c r="G9">
        <v>2008076</v>
      </c>
      <c r="H9">
        <v>22100</v>
      </c>
      <c r="I9">
        <v>3403</v>
      </c>
      <c r="J9">
        <v>100</v>
      </c>
      <c r="K9">
        <v>464</v>
      </c>
      <c r="L9">
        <v>0</v>
      </c>
      <c r="M9">
        <v>100</v>
      </c>
      <c r="N9">
        <v>18.112200000000001</v>
      </c>
      <c r="O9">
        <v>5.5224399999999996</v>
      </c>
      <c r="P9">
        <v>13.54927</v>
      </c>
      <c r="Q9">
        <v>71460</v>
      </c>
      <c r="S9" s="1">
        <v>2006</v>
      </c>
      <c r="T9" s="2">
        <f>0.001*SUMIFS($Q:$Q,$A:$A,"=LOBA",$D:$D,$S9)</f>
        <v>1225.7619999999999</v>
      </c>
      <c r="U9" s="2">
        <f>0.001*SUMIFS($Q:$Q,$A:$A,"=BECO",$D:$D,$S9)</f>
        <v>1537.877</v>
      </c>
      <c r="V9" s="2">
        <f>0.001*SUMIFS($Q:$Q,$A:$A,"=COCO",$D:$D,$S9)</f>
        <v>1286.768</v>
      </c>
      <c r="W9" s="2">
        <f>0.001*SUMIFS($Q:$Q,$A:$A,"=BAGR",$D:$D,$S9)</f>
        <v>509.01100000000002</v>
      </c>
      <c r="X9" s="2">
        <f>0.001*SUMIFS($Q:$Q,$A:$A,"=CSCS",$D:$D,$S9)</f>
        <v>601.98099999999999</v>
      </c>
      <c r="Y9" s="3">
        <f t="shared" si="0"/>
        <v>4559.4180000000006</v>
      </c>
      <c r="AA9" s="1">
        <v>2007</v>
      </c>
      <c r="AB9" s="2">
        <f>AVERAGEIFS($I:$I,$A:$A,"=LOBA",$D:$D,$S9)</f>
        <v>4125</v>
      </c>
      <c r="AC9" s="2">
        <f>AVERAGEIFS($I:$I,$A:$A,"=BECO",$D:$D,$S9)</f>
        <v>4346.916666666667</v>
      </c>
      <c r="AD9" s="2">
        <f>AVERAGEIFS($I:$I,$A:$A,"=COCO",$D:$D,$S9)</f>
        <v>2957.6363636363635</v>
      </c>
      <c r="AE9" s="2">
        <f>AVERAGEIFS($I:$I,$A:$A,"=BAGR",$D:$D,$S9)</f>
        <v>1648.1666666666667</v>
      </c>
      <c r="AF9" s="2">
        <f>AVERAGEIFS($I:$I,$A:$A,"=CSCS",$D:$D,$S9)</f>
        <v>1956.5</v>
      </c>
    </row>
    <row r="10" spans="1:32" x14ac:dyDescent="0.25">
      <c r="A10" t="s">
        <v>16</v>
      </c>
      <c r="B10">
        <v>1</v>
      </c>
      <c r="C10">
        <v>1.57</v>
      </c>
      <c r="D10">
        <v>2008</v>
      </c>
      <c r="E10" t="s">
        <v>28</v>
      </c>
      <c r="F10">
        <v>2008308</v>
      </c>
      <c r="G10">
        <v>2009080</v>
      </c>
      <c r="H10">
        <v>19170</v>
      </c>
      <c r="I10">
        <v>3323</v>
      </c>
      <c r="J10">
        <v>100</v>
      </c>
      <c r="K10">
        <v>334</v>
      </c>
      <c r="L10">
        <v>0</v>
      </c>
      <c r="M10">
        <v>100</v>
      </c>
      <c r="N10">
        <v>18.33689</v>
      </c>
      <c r="O10">
        <v>5.306311</v>
      </c>
      <c r="P10">
        <v>14.15583</v>
      </c>
      <c r="Q10">
        <v>69789</v>
      </c>
      <c r="S10" s="1">
        <v>2007</v>
      </c>
      <c r="T10" s="2">
        <f>0.001*SUMIFS($Q:$Q,$A:$A,"=LOBA",$D:$D,$S10)</f>
        <v>1163.925</v>
      </c>
      <c r="U10" s="2">
        <f>0.001*SUMIFS($Q:$Q,$A:$A,"=BECO",$D:$D,$S10)</f>
        <v>762.14800000000002</v>
      </c>
      <c r="V10" s="2">
        <f>0.001*SUMIFS($Q:$Q,$A:$A,"=COCO",$D:$D,$S10)</f>
        <v>716.23800000000006</v>
      </c>
      <c r="W10" s="2">
        <f>0.001*SUMIFS($Q:$Q,$A:$A,"=BAGR",$D:$D,$S10)</f>
        <v>99.870999999999995</v>
      </c>
      <c r="X10" s="2">
        <f>0.001*SUMIFS($Q:$Q,$A:$A,"=CSCS",$D:$D,$S10)</f>
        <v>819.16800000000001</v>
      </c>
      <c r="Y10" s="3">
        <f t="shared" si="0"/>
        <v>2742.1819999999998</v>
      </c>
      <c r="AA10" s="1">
        <v>2008</v>
      </c>
      <c r="AB10" s="2">
        <f>AVERAGEIFS($I:$I,$A:$A,"=LOBA",$D:$D,$S10)</f>
        <v>3899.4666666666667</v>
      </c>
      <c r="AC10" s="2">
        <f>AVERAGEIFS($I:$I,$A:$A,"=BECO",$D:$D,$S10)</f>
        <v>2136.6666666666665</v>
      </c>
      <c r="AD10" s="2">
        <f>AVERAGEIFS($I:$I,$A:$A,"=COCO",$D:$D,$S10)</f>
        <v>1652.5454545454545</v>
      </c>
      <c r="AE10" s="2">
        <f>AVERAGEIFS($I:$I,$A:$A,"=BAGR",$D:$D,$S10)</f>
        <v>321.16666666666669</v>
      </c>
      <c r="AF10" s="2">
        <f>AVERAGEIFS($I:$I,$A:$A,"=CSCS",$D:$D,$S10)</f>
        <v>2669.75</v>
      </c>
    </row>
    <row r="11" spans="1:32" x14ac:dyDescent="0.25">
      <c r="A11" t="s">
        <v>16</v>
      </c>
      <c r="B11">
        <v>1</v>
      </c>
      <c r="C11">
        <v>1.57</v>
      </c>
      <c r="D11">
        <v>2009</v>
      </c>
      <c r="E11" t="s">
        <v>28</v>
      </c>
      <c r="F11">
        <v>2009308</v>
      </c>
      <c r="G11">
        <v>2010080</v>
      </c>
      <c r="H11">
        <v>18033</v>
      </c>
      <c r="I11">
        <v>2584</v>
      </c>
      <c r="J11">
        <v>100</v>
      </c>
      <c r="K11">
        <v>732</v>
      </c>
      <c r="L11">
        <v>0</v>
      </c>
      <c r="M11">
        <v>100</v>
      </c>
      <c r="N11">
        <v>17.631550000000001</v>
      </c>
      <c r="O11">
        <v>7.0320410000000004</v>
      </c>
      <c r="P11">
        <v>13.214079999999999</v>
      </c>
      <c r="Q11">
        <v>54274</v>
      </c>
      <c r="S11" s="1">
        <v>2008</v>
      </c>
      <c r="T11" s="2">
        <f>0.001*SUMIFS($Q:$Q,$A:$A,"=LOBA",$D:$D,$S11)</f>
        <v>1099.43</v>
      </c>
      <c r="U11" s="2">
        <f>0.001*SUMIFS($Q:$Q,$A:$A,"=BECO",$D:$D,$S11)</f>
        <v>1483.2550000000001</v>
      </c>
      <c r="V11" s="2">
        <f>0.001*SUMIFS($Q:$Q,$A:$A,"=COCO",$D:$D,$S11)</f>
        <v>1453.46</v>
      </c>
      <c r="W11" s="2">
        <f>0.001*SUMIFS($Q:$Q,$A:$A,"=BAGR",$D:$D,$S11)</f>
        <v>1103.8990000000001</v>
      </c>
      <c r="X11" s="2">
        <f>0.001*SUMIFS($Q:$Q,$A:$A,"=CSCS",$D:$D,$S11)</f>
        <v>751.71900000000005</v>
      </c>
      <c r="Y11" s="3">
        <f t="shared" si="0"/>
        <v>5140.0440000000008</v>
      </c>
      <c r="AA11" s="1">
        <v>2009</v>
      </c>
      <c r="AB11" s="2">
        <f>AVERAGEIFS($I:$I,$A:$A,"=LOBA",$D:$D,$S11)</f>
        <v>3687.8666666666668</v>
      </c>
      <c r="AC11" s="2">
        <f>AVERAGEIFS($I:$I,$A:$A,"=BECO",$D:$D,$S11)</f>
        <v>4162.416666666667</v>
      </c>
      <c r="AD11" s="2">
        <f>AVERAGEIFS($I:$I,$A:$A,"=COCO",$D:$D,$S11)</f>
        <v>3357.7272727272725</v>
      </c>
      <c r="AE11" s="2">
        <f>AVERAGEIFS($I:$I,$A:$A,"=BAGR",$D:$D,$S11)</f>
        <v>3500</v>
      </c>
      <c r="AF11" s="2">
        <f>AVERAGEIFS($I:$I,$A:$A,"=CSCS",$D:$D,$S11)</f>
        <v>2417.1666666666665</v>
      </c>
    </row>
    <row r="12" spans="1:32" x14ac:dyDescent="0.25">
      <c r="A12" t="s">
        <v>16</v>
      </c>
      <c r="B12">
        <v>1</v>
      </c>
      <c r="C12">
        <v>1.57</v>
      </c>
      <c r="D12">
        <v>2010</v>
      </c>
      <c r="E12" t="s">
        <v>29</v>
      </c>
      <c r="F12">
        <v>2010308</v>
      </c>
      <c r="G12">
        <v>2011077</v>
      </c>
      <c r="H12">
        <v>18986</v>
      </c>
      <c r="I12">
        <v>4133</v>
      </c>
      <c r="J12">
        <v>100</v>
      </c>
      <c r="K12">
        <v>576</v>
      </c>
      <c r="L12">
        <v>0</v>
      </c>
      <c r="M12">
        <v>100</v>
      </c>
      <c r="N12">
        <v>18.253399999999999</v>
      </c>
      <c r="O12">
        <v>7.5509719999999998</v>
      </c>
      <c r="P12">
        <v>13.2966</v>
      </c>
      <c r="Q12">
        <v>86789</v>
      </c>
      <c r="S12" s="1">
        <v>2009</v>
      </c>
      <c r="T12" s="2">
        <f>0.001*SUMIFS($Q:$Q,$A:$A,"=LOBA",$D:$D,$S12)</f>
        <v>991.95100000000002</v>
      </c>
      <c r="U12" s="2">
        <f>0.001*SUMIFS($Q:$Q,$A:$A,"=BECO",$D:$D,$S12)</f>
        <v>1007.09</v>
      </c>
      <c r="V12" s="2">
        <f>0.001*SUMIFS($Q:$Q,$A:$A,"=COCO",$D:$D,$S12)</f>
        <v>1528.201</v>
      </c>
      <c r="W12" s="2">
        <f>0.001*SUMIFS($Q:$Q,$A:$A,"=BAGR",$D:$D,$S12)</f>
        <v>1054.1300000000001</v>
      </c>
      <c r="X12" s="2">
        <f>0.001*SUMIFS($Q:$Q,$A:$A,"=CSCS",$D:$D,$S12)</f>
        <v>893.15</v>
      </c>
      <c r="Y12" s="3">
        <f t="shared" si="0"/>
        <v>4581.3720000000003</v>
      </c>
      <c r="AA12" s="1">
        <v>2010</v>
      </c>
      <c r="AB12" s="2">
        <f>AVERAGEIFS($I:$I,$A:$A,"=LOBA",$D:$D,$S12)</f>
        <v>3316.7333333333331</v>
      </c>
      <c r="AC12" s="2">
        <f>AVERAGEIFS($I:$I,$A:$A,"=BECO",$D:$D,$S12)</f>
        <v>2852.6666666666665</v>
      </c>
      <c r="AD12" s="2">
        <f>AVERAGEIFS($I:$I,$A:$A,"=COCO",$D:$D,$S12)</f>
        <v>3498</v>
      </c>
      <c r="AE12" s="2">
        <f>AVERAGEIFS($I:$I,$A:$A,"=BAGR",$D:$D,$S12)</f>
        <v>3425</v>
      </c>
      <c r="AF12" s="2">
        <f>AVERAGEIFS($I:$I,$A:$A,"=CSCS",$D:$D,$S12)</f>
        <v>2881.5833333333335</v>
      </c>
    </row>
    <row r="13" spans="1:32" x14ac:dyDescent="0.25">
      <c r="A13" t="s">
        <v>16</v>
      </c>
      <c r="B13">
        <v>1</v>
      </c>
      <c r="C13">
        <v>1.57</v>
      </c>
      <c r="D13">
        <v>2011</v>
      </c>
      <c r="E13" t="s">
        <v>29</v>
      </c>
      <c r="F13">
        <v>2011308</v>
      </c>
      <c r="G13">
        <v>2012091</v>
      </c>
      <c r="H13">
        <v>11533</v>
      </c>
      <c r="I13">
        <v>2227</v>
      </c>
      <c r="J13">
        <v>100</v>
      </c>
      <c r="K13">
        <v>273</v>
      </c>
      <c r="L13">
        <v>0</v>
      </c>
      <c r="M13">
        <v>100</v>
      </c>
      <c r="N13">
        <v>18.335609999999999</v>
      </c>
      <c r="O13">
        <v>4.3287810000000002</v>
      </c>
      <c r="P13">
        <v>14.3278</v>
      </c>
      <c r="Q13">
        <v>46760</v>
      </c>
      <c r="S13" s="1">
        <v>2010</v>
      </c>
      <c r="T13" s="2">
        <f>0.001*SUMIFS($Q:$Q,$A:$A,"=LOBA",$D:$D,$S13)</f>
        <v>1163.501</v>
      </c>
      <c r="U13" s="2">
        <f>0.001*SUMIFS($Q:$Q,$A:$A,"=BECO",$D:$D,$S13)</f>
        <v>1501.4010000000001</v>
      </c>
      <c r="V13" s="2">
        <f>0.001*SUMIFS($Q:$Q,$A:$A,"=COCO",$D:$D,$S13)</f>
        <v>1888.94</v>
      </c>
      <c r="W13" s="2">
        <f>0.001*SUMIFS($Q:$Q,$A:$A,"=BAGR",$D:$D,$S13)</f>
        <v>1317.9270000000001</v>
      </c>
      <c r="X13" s="2">
        <f>0.001*SUMIFS($Q:$Q,$A:$A,"=CSCS",$D:$D,$S13)</f>
        <v>644.21799999999996</v>
      </c>
      <c r="Y13" s="3">
        <f t="shared" si="0"/>
        <v>5871.7690000000002</v>
      </c>
      <c r="AA13" s="1">
        <v>2011</v>
      </c>
      <c r="AB13" s="2">
        <f>AVERAGEIFS($I:$I,$A:$A,"=LOBA",$D:$D,$S13)</f>
        <v>3899.0666666666666</v>
      </c>
      <c r="AC13" s="2">
        <f>AVERAGEIFS($I:$I,$A:$A,"=BECO",$D:$D,$S13)</f>
        <v>4237.5</v>
      </c>
      <c r="AD13" s="2">
        <f>AVERAGEIFS($I:$I,$A:$A,"=COCO",$D:$D,$S13)</f>
        <v>4342.090909090909</v>
      </c>
      <c r="AE13" s="2">
        <f>AVERAGEIFS($I:$I,$A:$A,"=BAGR",$D:$D,$S13)</f>
        <v>4210.416666666667</v>
      </c>
      <c r="AF13" s="2">
        <f>AVERAGEIFS($I:$I,$A:$A,"=CSCS",$D:$D,$S13)</f>
        <v>2102.5</v>
      </c>
    </row>
    <row r="14" spans="1:32" x14ac:dyDescent="0.25">
      <c r="A14" t="s">
        <v>16</v>
      </c>
      <c r="B14">
        <v>1</v>
      </c>
      <c r="C14">
        <v>1.57</v>
      </c>
      <c r="D14">
        <v>2012</v>
      </c>
      <c r="E14" t="s">
        <v>29</v>
      </c>
      <c r="F14">
        <v>2012308</v>
      </c>
      <c r="G14">
        <v>2013078</v>
      </c>
      <c r="H14">
        <v>21765</v>
      </c>
      <c r="I14">
        <v>4802</v>
      </c>
      <c r="J14">
        <v>100</v>
      </c>
      <c r="K14">
        <v>595</v>
      </c>
      <c r="L14">
        <v>0</v>
      </c>
      <c r="M14">
        <v>100</v>
      </c>
      <c r="N14">
        <v>17.707249999999998</v>
      </c>
      <c r="O14">
        <v>6.1681160000000004</v>
      </c>
      <c r="P14">
        <v>13.796620000000001</v>
      </c>
      <c r="Q14">
        <v>100848</v>
      </c>
      <c r="S14" s="1">
        <v>2011</v>
      </c>
      <c r="T14" s="2">
        <f>0.001*SUMIFS($Q:$Q,$A:$A,"=LOBA",$D:$D,$S14)</f>
        <v>616.63</v>
      </c>
      <c r="U14" s="2">
        <f>0.001*SUMIFS($Q:$Q,$A:$A,"=BECO",$D:$D,$S14)</f>
        <v>586.95699999999999</v>
      </c>
      <c r="V14" s="2">
        <f>0.001*SUMIFS($Q:$Q,$A:$A,"=COCO",$D:$D,$S14)</f>
        <v>56.123000000000005</v>
      </c>
      <c r="W14" s="2">
        <f>0.001*SUMIFS($Q:$Q,$A:$A,"=BAGR",$D:$D,$S14)</f>
        <v>327.08199999999999</v>
      </c>
      <c r="X14" s="2">
        <f>0.001*SUMIFS($Q:$Q,$A:$A,"=CSCS",$D:$D,$S14)</f>
        <v>948.33600000000001</v>
      </c>
      <c r="Y14" s="3">
        <f t="shared" si="0"/>
        <v>1586.7919999999999</v>
      </c>
      <c r="AA14" s="1">
        <v>2012</v>
      </c>
      <c r="AB14" s="2">
        <f>AVERAGEIFS($I:$I,$A:$A,"=LOBA",$D:$D,$S14)</f>
        <v>2072.1333333333332</v>
      </c>
      <c r="AC14" s="2">
        <f>AVERAGEIFS($I:$I,$A:$A,"=BECO",$D:$D,$S14)</f>
        <v>1634.8333333333333</v>
      </c>
      <c r="AD14" s="2">
        <f>AVERAGEIFS($I:$I,$A:$A,"=COCO",$D:$D,$S14)</f>
        <v>129.81818181818181</v>
      </c>
      <c r="AE14" s="2">
        <f>AVERAGEIFS($I:$I,$A:$A,"=BAGR",$D:$D,$S14)</f>
        <v>1055.8333333333333</v>
      </c>
      <c r="AF14" s="2">
        <f>AVERAGEIFS($I:$I,$A:$A,"=CSCS",$D:$D,$S14)</f>
        <v>3042.8333333333335</v>
      </c>
    </row>
    <row r="15" spans="1:32" x14ac:dyDescent="0.25">
      <c r="A15" t="s">
        <v>16</v>
      </c>
      <c r="B15">
        <v>1</v>
      </c>
      <c r="C15">
        <v>1.57</v>
      </c>
      <c r="D15">
        <v>2013</v>
      </c>
      <c r="E15" t="s">
        <v>29</v>
      </c>
      <c r="F15">
        <v>2013308</v>
      </c>
      <c r="G15">
        <v>2014078</v>
      </c>
      <c r="H15">
        <v>17398</v>
      </c>
      <c r="I15">
        <v>3727</v>
      </c>
      <c r="J15">
        <v>100</v>
      </c>
      <c r="K15">
        <v>537</v>
      </c>
      <c r="L15">
        <v>0</v>
      </c>
      <c r="M15">
        <v>100</v>
      </c>
      <c r="N15">
        <v>18.616499999999998</v>
      </c>
      <c r="O15">
        <v>5.965535</v>
      </c>
      <c r="P15">
        <v>14.380100000000001</v>
      </c>
      <c r="Q15">
        <v>78259</v>
      </c>
      <c r="S15" s="1">
        <v>2012</v>
      </c>
      <c r="T15" s="2">
        <f>0.001*SUMIFS($Q:$Q,$A:$A,"=LOBA",$D:$D,$S15)</f>
        <v>1412.48</v>
      </c>
      <c r="U15" s="2">
        <f>0.001*SUMIFS($Q:$Q,$A:$A,"=BECO",$D:$D,$S15)</f>
        <v>1681.0940000000001</v>
      </c>
      <c r="V15" s="2">
        <f>0.001*SUMIFS($Q:$Q,$A:$A,"=COCO",$D:$D,$S15)</f>
        <v>1975.3579999999999</v>
      </c>
      <c r="W15" s="2">
        <f>0.001*SUMIFS($Q:$Q,$A:$A,"=BAGR",$D:$D,$S15)</f>
        <v>1408.1089999999999</v>
      </c>
      <c r="X15" s="2">
        <f>0.001*SUMIFS($Q:$Q,$A:$A,"=CSCS",$D:$D,$S15)</f>
        <v>677.24199999999996</v>
      </c>
      <c r="Y15" s="3">
        <f t="shared" si="0"/>
        <v>6477.0409999999993</v>
      </c>
      <c r="AA15" s="1">
        <v>2013</v>
      </c>
      <c r="AB15" s="2">
        <f>AVERAGEIFS($I:$I,$A:$A,"=LOBA",$D:$D,$S15)</f>
        <v>4754.5333333333338</v>
      </c>
      <c r="AC15" s="2">
        <f>AVERAGEIFS($I:$I,$A:$A,"=BECO",$D:$D,$S15)</f>
        <v>4746.416666666667</v>
      </c>
      <c r="AD15" s="2">
        <f>AVERAGEIFS($I:$I,$A:$A,"=COCO",$D:$D,$S15)</f>
        <v>4535.727272727273</v>
      </c>
      <c r="AE15" s="2">
        <f>AVERAGEIFS($I:$I,$A:$A,"=BAGR",$D:$D,$S15)</f>
        <v>4510</v>
      </c>
      <c r="AF15" s="2">
        <f>AVERAGEIFS($I:$I,$A:$A,"=CSCS",$D:$D,$S15)</f>
        <v>2216.5</v>
      </c>
    </row>
    <row r="16" spans="1:32" x14ac:dyDescent="0.25">
      <c r="A16" t="s">
        <v>16</v>
      </c>
      <c r="B16">
        <v>1</v>
      </c>
      <c r="C16">
        <v>1.57</v>
      </c>
      <c r="D16">
        <v>2014</v>
      </c>
      <c r="E16" t="s">
        <v>29</v>
      </c>
      <c r="F16">
        <v>2014308</v>
      </c>
      <c r="G16">
        <v>2015087</v>
      </c>
      <c r="H16">
        <v>19280</v>
      </c>
      <c r="I16">
        <v>4811</v>
      </c>
      <c r="J16">
        <v>100</v>
      </c>
      <c r="K16">
        <v>392</v>
      </c>
      <c r="L16">
        <v>0</v>
      </c>
      <c r="M16">
        <v>100</v>
      </c>
      <c r="N16">
        <v>19.010249999999999</v>
      </c>
      <c r="O16">
        <v>5.658048</v>
      </c>
      <c r="P16">
        <v>14.69415</v>
      </c>
      <c r="Q16">
        <v>101024</v>
      </c>
      <c r="S16" s="1">
        <v>2013</v>
      </c>
      <c r="T16" s="2">
        <f>0.001*SUMIFS($Q:$Q,$A:$A,"=LOBA",$D:$D,$S16)</f>
        <v>1191.049</v>
      </c>
      <c r="U16" s="2">
        <f>0.001*SUMIFS($Q:$Q,$A:$A,"=BECO",$D:$D,$S16)</f>
        <v>1564.2560000000001</v>
      </c>
      <c r="V16" s="2">
        <f>0.001*SUMIFS($Q:$Q,$A:$A,"=COCO",$D:$D,$S16)</f>
        <v>1604.569</v>
      </c>
      <c r="W16" s="2">
        <f>0.001*SUMIFS($Q:$Q,$A:$A,"=BAGR",$D:$D,$S16)</f>
        <v>1163.4660000000001</v>
      </c>
      <c r="X16" s="2">
        <f>0.001*SUMIFS($Q:$Q,$A:$A,"=CSCS",$D:$D,$S16)</f>
        <v>479.29900000000004</v>
      </c>
      <c r="Y16" s="3">
        <f t="shared" si="0"/>
        <v>5523.34</v>
      </c>
      <c r="AA16" s="1">
        <v>2014</v>
      </c>
      <c r="AB16" s="2">
        <f>AVERAGEIFS($I:$I,$A:$A,"=LOBA",$D:$D,$S16)</f>
        <v>3999.1333333333332</v>
      </c>
      <c r="AC16" s="2">
        <f>AVERAGEIFS($I:$I,$A:$A,"=BECO",$D:$D,$S16)</f>
        <v>4413.666666666667</v>
      </c>
      <c r="AD16" s="2">
        <f>AVERAGEIFS($I:$I,$A:$A,"=COCO",$D:$D,$S16)</f>
        <v>3683.7272727272725</v>
      </c>
      <c r="AE16" s="2">
        <f>AVERAGEIFS($I:$I,$A:$A,"=BAGR",$D:$D,$S16)</f>
        <v>3740.8333333333335</v>
      </c>
      <c r="AF16" s="2">
        <f>AVERAGEIFS($I:$I,$A:$A,"=CSCS",$D:$D,$S16)</f>
        <v>1526.5833333333333</v>
      </c>
    </row>
    <row r="17" spans="1:32" x14ac:dyDescent="0.25">
      <c r="A17" t="s">
        <v>16</v>
      </c>
      <c r="B17">
        <v>1</v>
      </c>
      <c r="C17">
        <v>1.57</v>
      </c>
      <c r="D17">
        <v>2015</v>
      </c>
      <c r="E17" t="s">
        <v>29</v>
      </c>
      <c r="F17">
        <v>2015308</v>
      </c>
      <c r="G17">
        <v>2016073</v>
      </c>
      <c r="H17">
        <v>18109</v>
      </c>
      <c r="I17">
        <v>3519</v>
      </c>
      <c r="J17">
        <v>100</v>
      </c>
      <c r="K17">
        <v>570</v>
      </c>
      <c r="L17">
        <v>0</v>
      </c>
      <c r="M17">
        <v>100</v>
      </c>
      <c r="N17">
        <v>18.074760000000001</v>
      </c>
      <c r="O17">
        <v>6.1184459999999996</v>
      </c>
      <c r="P17">
        <v>13.36408</v>
      </c>
      <c r="Q17">
        <v>73902</v>
      </c>
      <c r="S17" s="1">
        <v>2014</v>
      </c>
      <c r="T17" s="2">
        <f>0.001*SUMIFS($Q:$Q,$A:$A,"=LOBA",$D:$D,$S17)</f>
        <v>1299.797</v>
      </c>
      <c r="U17" s="2">
        <f>0.001*SUMIFS($Q:$Q,$A:$A,"=BECO",$D:$D,$S17)</f>
        <v>1712.635</v>
      </c>
      <c r="V17" s="2">
        <f>0.001*SUMIFS($Q:$Q,$A:$A,"=COCO",$D:$D,$S17)</f>
        <v>1069.3430000000001</v>
      </c>
      <c r="W17" s="2">
        <f>0.001*SUMIFS($Q:$Q,$A:$A,"=BAGR",$D:$D,$S17)</f>
        <v>630.31200000000001</v>
      </c>
      <c r="X17" s="2">
        <f>0.001*SUMIFS($Q:$Q,$A:$A,"=CSCS",$D:$D,$S17)</f>
        <v>930.60400000000004</v>
      </c>
      <c r="Y17" s="3">
        <f t="shared" si="0"/>
        <v>4712.0869999999995</v>
      </c>
      <c r="AA17" s="1">
        <v>2015</v>
      </c>
      <c r="AB17" s="2">
        <f>AVERAGEIFS($I:$I,$A:$A,"=LOBA",$D:$D,$S17)</f>
        <v>4372</v>
      </c>
      <c r="AC17" s="2">
        <f>AVERAGEIFS($I:$I,$A:$A,"=BECO",$D:$D,$S17)</f>
        <v>4824.666666666667</v>
      </c>
      <c r="AD17" s="2">
        <f>AVERAGEIFS($I:$I,$A:$A,"=COCO",$D:$D,$S17)</f>
        <v>2468.3636363636365</v>
      </c>
      <c r="AE17" s="2">
        <f>AVERAGEIFS($I:$I,$A:$A,"=BAGR",$D:$D,$S17)</f>
        <v>2013.5833333333333</v>
      </c>
      <c r="AF17" s="2">
        <f>AVERAGEIFS($I:$I,$A:$A,"=CSCS",$D:$D,$S17)</f>
        <v>3018.8333333333335</v>
      </c>
    </row>
    <row r="18" spans="1:32" x14ac:dyDescent="0.25">
      <c r="A18" t="s">
        <v>16</v>
      </c>
      <c r="B18">
        <v>1</v>
      </c>
      <c r="C18">
        <v>1.57</v>
      </c>
      <c r="D18">
        <v>2016</v>
      </c>
      <c r="E18" t="s">
        <v>29</v>
      </c>
      <c r="F18">
        <v>2016308</v>
      </c>
      <c r="G18">
        <v>2017074</v>
      </c>
      <c r="H18">
        <v>19952</v>
      </c>
      <c r="I18">
        <v>4567</v>
      </c>
      <c r="J18">
        <v>100</v>
      </c>
      <c r="K18">
        <v>390</v>
      </c>
      <c r="L18">
        <v>0</v>
      </c>
      <c r="M18">
        <v>100</v>
      </c>
      <c r="N18">
        <v>19.426570000000002</v>
      </c>
      <c r="O18">
        <v>6.0198070000000001</v>
      </c>
      <c r="P18">
        <v>14.56329</v>
      </c>
      <c r="Q18">
        <v>95916</v>
      </c>
      <c r="S18" s="1">
        <v>2015</v>
      </c>
      <c r="T18" s="2">
        <f>0.001*SUMIFS($Q:$Q,$A:$A,"=LOBA",$D:$D,$S18)</f>
        <v>1185.2750000000001</v>
      </c>
      <c r="U18" s="2">
        <f>0.001*SUMIFS($Q:$Q,$A:$A,"=BECO",$D:$D,$S18)</f>
        <v>743.38499999999999</v>
      </c>
      <c r="V18" s="2">
        <f>0.001*SUMIFS($Q:$Q,$A:$A,"=COCO",$D:$D,$S18)</f>
        <v>1451.577</v>
      </c>
      <c r="W18" s="2">
        <f>0.001*SUMIFS($Q:$Q,$A:$A,"=BAGR",$D:$D,$S18)</f>
        <v>98.787000000000006</v>
      </c>
      <c r="X18" s="2">
        <f>0.001*SUMIFS($Q:$Q,$A:$A,"=CSCS",$D:$D,$S18)</f>
        <v>406.44299999999998</v>
      </c>
      <c r="Y18" s="3">
        <f t="shared" si="0"/>
        <v>3479.0239999999999</v>
      </c>
      <c r="AA18" s="1">
        <v>2016</v>
      </c>
      <c r="AB18" s="2">
        <f>AVERAGEIFS($I:$I,$A:$A,"=LOBA",$D:$D,$S18)</f>
        <v>3991.4</v>
      </c>
      <c r="AC18" s="2">
        <f>AVERAGEIFS($I:$I,$A:$A,"=BECO",$D:$D,$S18)</f>
        <v>2098</v>
      </c>
      <c r="AD18" s="2">
        <f>AVERAGEIFS($I:$I,$A:$A,"=COCO",$D:$D,$S18)</f>
        <v>3327.090909090909</v>
      </c>
      <c r="AE18" s="2">
        <f>AVERAGEIFS($I:$I,$A:$A,"=BAGR",$D:$D,$S18)</f>
        <v>319.58333333333331</v>
      </c>
      <c r="AF18" s="2">
        <f>AVERAGEIFS($I:$I,$A:$A,"=CSCS",$D:$D,$S18)</f>
        <v>1345.4166666666667</v>
      </c>
    </row>
    <row r="19" spans="1:32" x14ac:dyDescent="0.25">
      <c r="A19" t="s">
        <v>16</v>
      </c>
      <c r="B19">
        <v>1</v>
      </c>
      <c r="C19">
        <v>1.57</v>
      </c>
      <c r="D19">
        <v>2017</v>
      </c>
      <c r="E19" t="s">
        <v>29</v>
      </c>
      <c r="F19">
        <v>2017308</v>
      </c>
      <c r="G19">
        <v>2018082</v>
      </c>
      <c r="H19">
        <v>21485</v>
      </c>
      <c r="I19">
        <v>3803</v>
      </c>
      <c r="J19">
        <v>100</v>
      </c>
      <c r="K19">
        <v>412</v>
      </c>
      <c r="L19">
        <v>0</v>
      </c>
      <c r="M19">
        <v>100</v>
      </c>
      <c r="N19">
        <v>17.59029</v>
      </c>
      <c r="O19">
        <v>5.3165040000000001</v>
      </c>
      <c r="P19">
        <v>13.90631</v>
      </c>
      <c r="Q19">
        <v>79855</v>
      </c>
      <c r="S19" s="1">
        <v>2016</v>
      </c>
      <c r="T19" s="2">
        <f>0.001*SUMIFS($Q:$Q,$A:$A,"=LOBA",$D:$D,$S19)</f>
        <v>1476.2170000000001</v>
      </c>
      <c r="U19" s="2">
        <f>0.001*SUMIFS($Q:$Q,$A:$A,"=BECO",$D:$D,$S19)</f>
        <v>1679.992</v>
      </c>
      <c r="V19" s="2">
        <f>0.001*SUMIFS($Q:$Q,$A:$A,"=COCO",$D:$D,$S19)</f>
        <v>1934.539</v>
      </c>
      <c r="W19" s="2">
        <f>0.001*SUMIFS($Q:$Q,$A:$A,"=BAGR",$D:$D,$S19)</f>
        <v>905.31600000000003</v>
      </c>
      <c r="X19" s="2">
        <f>0.001*SUMIFS($Q:$Q,$A:$A,"=CSCS",$D:$D,$S19)</f>
        <v>1048.3920000000001</v>
      </c>
      <c r="Y19" s="3">
        <f t="shared" si="0"/>
        <v>5996.0639999999994</v>
      </c>
      <c r="AA19" s="1">
        <v>2017</v>
      </c>
      <c r="AB19" s="2">
        <f>AVERAGEIFS($I:$I,$A:$A,"=LOBA",$D:$D,$S19)</f>
        <v>4958.6000000000004</v>
      </c>
      <c r="AC19" s="2">
        <f>AVERAGEIFS($I:$I,$A:$A,"=BECO",$D:$D,$S19)</f>
        <v>4723.916666666667</v>
      </c>
      <c r="AD19" s="2">
        <f>AVERAGEIFS($I:$I,$A:$A,"=COCO",$D:$D,$S19)</f>
        <v>4458.818181818182</v>
      </c>
      <c r="AE19" s="2">
        <f>AVERAGEIFS($I:$I,$A:$A,"=BAGR",$D:$D,$S19)</f>
        <v>2897.3333333333335</v>
      </c>
      <c r="AF19" s="2">
        <f>AVERAGEIFS($I:$I,$A:$A,"=CSCS",$D:$D,$S19)</f>
        <v>3400.0833333333335</v>
      </c>
    </row>
    <row r="20" spans="1:32" x14ac:dyDescent="0.25">
      <c r="A20" t="s">
        <v>16</v>
      </c>
      <c r="B20">
        <v>1</v>
      </c>
      <c r="C20">
        <v>1.57</v>
      </c>
      <c r="D20">
        <v>2018</v>
      </c>
      <c r="E20" t="s">
        <v>29</v>
      </c>
      <c r="F20">
        <v>2018308</v>
      </c>
      <c r="G20">
        <v>2019080</v>
      </c>
      <c r="H20">
        <v>18062</v>
      </c>
      <c r="I20">
        <v>3564</v>
      </c>
      <c r="J20">
        <v>100</v>
      </c>
      <c r="K20">
        <v>293</v>
      </c>
      <c r="L20">
        <v>0</v>
      </c>
      <c r="M20">
        <v>100</v>
      </c>
      <c r="N20">
        <v>19.478639999999999</v>
      </c>
      <c r="O20">
        <v>5.3257279999999998</v>
      </c>
      <c r="P20">
        <v>15.315049999999999</v>
      </c>
      <c r="Q20">
        <v>74849</v>
      </c>
      <c r="S20" s="1">
        <v>2017</v>
      </c>
      <c r="T20" s="2">
        <f>0.001*SUMIFS($Q:$Q,$A:$A,"=LOBA",$D:$D,$S20)</f>
        <v>1243.653</v>
      </c>
      <c r="U20" s="2">
        <f>0.001*SUMIFS($Q:$Q,$A:$A,"=BECO",$D:$D,$S20)</f>
        <v>977.14</v>
      </c>
      <c r="V20" s="2">
        <f>0.001*SUMIFS($Q:$Q,$A:$A,"=COCO",$D:$D,$S20)</f>
        <v>1601.2370000000001</v>
      </c>
      <c r="W20" s="2">
        <f>0.001*SUMIFS($Q:$Q,$A:$A,"=BAGR",$D:$D,$S20)</f>
        <v>1234.1990000000001</v>
      </c>
      <c r="X20" s="2">
        <f>0.001*SUMIFS($Q:$Q,$A:$A,"=CSCS",$D:$D,$S20)</f>
        <v>407.49299999999999</v>
      </c>
      <c r="Y20" s="3">
        <f t="shared" si="0"/>
        <v>5056.2290000000003</v>
      </c>
      <c r="AA20" s="1">
        <v>2018</v>
      </c>
      <c r="AB20" s="2">
        <f>AVERAGEIFS($I:$I,$A:$A,"=LOBA",$D:$D,$S20)</f>
        <v>4174.6000000000004</v>
      </c>
      <c r="AC20" s="2">
        <f>AVERAGEIFS($I:$I,$A:$A,"=BECO",$D:$D,$S20)</f>
        <v>2765.6666666666665</v>
      </c>
      <c r="AD20" s="2">
        <f>AVERAGEIFS($I:$I,$A:$A,"=COCO",$D:$D,$S20)</f>
        <v>3682.2727272727275</v>
      </c>
      <c r="AE20" s="2">
        <f>AVERAGEIFS($I:$I,$A:$A,"=BAGR",$D:$D,$S20)</f>
        <v>3964.5833333333335</v>
      </c>
      <c r="AF20" s="2">
        <f>AVERAGEIFS($I:$I,$A:$A,"=CSCS",$D:$D,$S20)</f>
        <v>1336.25</v>
      </c>
    </row>
    <row r="21" spans="1:32" x14ac:dyDescent="0.25">
      <c r="A21" t="s">
        <v>16</v>
      </c>
      <c r="B21">
        <v>1</v>
      </c>
      <c r="C21">
        <v>1.57</v>
      </c>
      <c r="D21">
        <v>2019</v>
      </c>
      <c r="E21" t="s">
        <v>29</v>
      </c>
      <c r="F21">
        <v>2019308</v>
      </c>
      <c r="G21">
        <v>2020064</v>
      </c>
      <c r="H21">
        <v>15613</v>
      </c>
      <c r="I21">
        <v>3481</v>
      </c>
      <c r="J21">
        <v>100</v>
      </c>
      <c r="K21">
        <v>398</v>
      </c>
      <c r="L21">
        <v>0</v>
      </c>
      <c r="M21">
        <v>100</v>
      </c>
      <c r="N21">
        <v>19.013169999999999</v>
      </c>
      <c r="O21">
        <v>7.3853650000000002</v>
      </c>
      <c r="P21">
        <v>13.46683</v>
      </c>
      <c r="Q21">
        <v>73111</v>
      </c>
      <c r="S21" s="1">
        <v>2018</v>
      </c>
      <c r="T21" s="2">
        <f>0.001*SUMIFS($Q:$Q,$A:$A,"=LOBA",$D:$D,$S21)</f>
        <v>796.45799999999997</v>
      </c>
      <c r="U21" s="2">
        <f>0.001*SUMIFS($Q:$Q,$A:$A,"=BECO",$D:$D,$S21)</f>
        <v>989.71900000000005</v>
      </c>
      <c r="V21" s="2">
        <f>0.001*SUMIFS($Q:$Q,$A:$A,"=COCO",$D:$D,$S21)</f>
        <v>698.625</v>
      </c>
      <c r="W21" s="2">
        <f>0.001*SUMIFS($Q:$Q,$A:$A,"=BAGR",$D:$D,$S21)</f>
        <v>623.98</v>
      </c>
      <c r="X21" s="2">
        <f>0.001*SUMIFS($Q:$Q,$A:$A,"=CSCS",$D:$D,$S21)</f>
        <v>336.87</v>
      </c>
      <c r="Y21" s="3">
        <f t="shared" si="0"/>
        <v>3108.7820000000002</v>
      </c>
      <c r="AA21" s="1">
        <v>2019</v>
      </c>
      <c r="AB21" s="2">
        <f>AVERAGEIFS($I:$I,$A:$A,"=LOBA",$D:$D,$S21)</f>
        <v>2678.6</v>
      </c>
      <c r="AC21" s="2">
        <f>AVERAGEIFS($I:$I,$A:$A,"=BECO",$D:$D,$S21)</f>
        <v>2789.5833333333335</v>
      </c>
      <c r="AD21" s="2">
        <f>AVERAGEIFS($I:$I,$A:$A,"=COCO",$D:$D,$S21)</f>
        <v>1610.8181818181818</v>
      </c>
      <c r="AE21" s="2">
        <f>AVERAGEIFS($I:$I,$A:$A,"=BAGR",$D:$D,$S21)</f>
        <v>2017.3333333333333</v>
      </c>
      <c r="AF21" s="2">
        <f>AVERAGEIFS($I:$I,$A:$A,"=CSCS",$D:$D,$S21)</f>
        <v>1099.5</v>
      </c>
    </row>
    <row r="22" spans="1:32" x14ac:dyDescent="0.25">
      <c r="A22" t="s">
        <v>16</v>
      </c>
      <c r="B22">
        <v>2</v>
      </c>
      <c r="C22">
        <v>1.53</v>
      </c>
      <c r="D22">
        <v>2000</v>
      </c>
      <c r="E22" t="s">
        <v>28</v>
      </c>
      <c r="F22">
        <v>2000325</v>
      </c>
      <c r="G22">
        <v>2001079</v>
      </c>
      <c r="H22">
        <v>17242</v>
      </c>
      <c r="I22">
        <v>2284</v>
      </c>
      <c r="J22">
        <v>50</v>
      </c>
      <c r="K22">
        <v>641</v>
      </c>
      <c r="L22">
        <v>0</v>
      </c>
      <c r="M22">
        <v>125</v>
      </c>
      <c r="N22">
        <v>18.27947</v>
      </c>
      <c r="O22">
        <v>8.2805239999999998</v>
      </c>
      <c r="P22">
        <v>14.03947</v>
      </c>
      <c r="Q22">
        <v>54823</v>
      </c>
      <c r="S22" s="1">
        <v>2019</v>
      </c>
      <c r="T22" s="2">
        <f>0.001*SUMIFS($Q:$Q,$A:$A,"=LOBA",$D:$D,$S22)</f>
        <v>1040.2919999999999</v>
      </c>
      <c r="U22" s="2">
        <f>0.001*SUMIFS($Q:$Q,$A:$A,"=BECO",$D:$D,$S22)</f>
        <v>873.726</v>
      </c>
      <c r="V22" s="2">
        <f>0.001*SUMIFS($Q:$Q,$A:$A,"=COCO",$D:$D,$S22)</f>
        <v>895.85300000000007</v>
      </c>
      <c r="W22" s="2">
        <f>0.001*SUMIFS($Q:$Q,$A:$A,"=BAGR",$D:$D,$S22)</f>
        <v>1177.55</v>
      </c>
      <c r="X22" s="2">
        <f>0.001*SUMIFS($Q:$Q,$A:$A,"=CSCS",$D:$D,$S22)</f>
        <v>801.25900000000001</v>
      </c>
      <c r="Y22" s="3">
        <f t="shared" si="0"/>
        <v>3987.4210000000003</v>
      </c>
      <c r="AA22" s="1">
        <v>2020</v>
      </c>
      <c r="AB22" s="2">
        <f>AVERAGEIFS($I:$I,$A:$A,"=LOBA",$D:$D,$S22)</f>
        <v>3502.4</v>
      </c>
      <c r="AC22" s="2">
        <f>AVERAGEIFS($I:$I,$A:$A,"=BECO",$D:$D,$S22)</f>
        <v>2467.75</v>
      </c>
      <c r="AD22" s="2">
        <f>AVERAGEIFS($I:$I,$A:$A,"=COCO",$D:$D,$S22)</f>
        <v>2060.2727272727275</v>
      </c>
      <c r="AE22" s="2">
        <f>AVERAGEIFS($I:$I,$A:$A,"=BAGR",$D:$D,$S22)</f>
        <v>3808.0833333333335</v>
      </c>
      <c r="AF22" s="2">
        <f>AVERAGEIFS($I:$I,$A:$A,"=CSCS",$D:$D,$S22)</f>
        <v>2586.4166666666665</v>
      </c>
    </row>
    <row r="23" spans="1:32" x14ac:dyDescent="0.25">
      <c r="A23" t="s">
        <v>16</v>
      </c>
      <c r="B23">
        <v>2</v>
      </c>
      <c r="C23">
        <v>1.53</v>
      </c>
      <c r="D23">
        <v>2001</v>
      </c>
      <c r="E23" t="s">
        <v>28</v>
      </c>
      <c r="F23">
        <v>2001325</v>
      </c>
      <c r="G23">
        <v>2002091</v>
      </c>
      <c r="H23">
        <v>17387</v>
      </c>
      <c r="I23">
        <v>3267</v>
      </c>
      <c r="J23">
        <v>50</v>
      </c>
      <c r="K23">
        <v>445</v>
      </c>
      <c r="L23">
        <v>0</v>
      </c>
      <c r="M23">
        <v>125</v>
      </c>
      <c r="N23">
        <v>17.879149999999999</v>
      </c>
      <c r="O23">
        <v>6.0192500000000004</v>
      </c>
      <c r="P23">
        <v>14.90856</v>
      </c>
      <c r="Q23">
        <v>78400</v>
      </c>
      <c r="AB23" s="5">
        <f>AVERAGE(AB3:AB22)</f>
        <v>3488.2633333333333</v>
      </c>
      <c r="AC23" s="5">
        <f t="shared" ref="AC23:AF23" si="1">AVERAGE(AC3:AC22)</f>
        <v>3356.9083333333328</v>
      </c>
      <c r="AD23" s="5">
        <f t="shared" si="1"/>
        <v>2957.422727272728</v>
      </c>
      <c r="AE23" s="5">
        <f t="shared" si="1"/>
        <v>2571.0000000000009</v>
      </c>
      <c r="AF23" s="5">
        <f t="shared" si="1"/>
        <v>2215.4499999999998</v>
      </c>
    </row>
    <row r="24" spans="1:32" x14ac:dyDescent="0.25">
      <c r="A24" t="s">
        <v>16</v>
      </c>
      <c r="B24">
        <v>2</v>
      </c>
      <c r="C24">
        <v>1.53</v>
      </c>
      <c r="D24">
        <v>2002</v>
      </c>
      <c r="E24" t="s">
        <v>28</v>
      </c>
      <c r="F24">
        <v>2002325</v>
      </c>
      <c r="G24">
        <v>2003086</v>
      </c>
      <c r="H24">
        <v>2753</v>
      </c>
      <c r="I24">
        <v>431</v>
      </c>
      <c r="J24">
        <v>50</v>
      </c>
      <c r="K24">
        <v>183</v>
      </c>
      <c r="L24">
        <v>0</v>
      </c>
      <c r="M24">
        <v>125</v>
      </c>
      <c r="N24">
        <v>18.200530000000001</v>
      </c>
      <c r="O24">
        <v>7.032978</v>
      </c>
      <c r="P24">
        <v>14.28777</v>
      </c>
      <c r="Q24">
        <v>10353</v>
      </c>
      <c r="AB24" s="6">
        <f>STDEVA(AB3:AB22)</f>
        <v>1091.6995605543775</v>
      </c>
      <c r="AC24" s="6">
        <f t="shared" ref="AC24:AF24" si="2">STDEVA(AC3:AC22)</f>
        <v>1078.3152693448903</v>
      </c>
      <c r="AD24" s="6">
        <f t="shared" si="2"/>
        <v>1116.4342193118471</v>
      </c>
      <c r="AE24" s="6">
        <f t="shared" si="2"/>
        <v>1384.3073623794712</v>
      </c>
      <c r="AF24" s="6">
        <f t="shared" si="2"/>
        <v>690.50535481576196</v>
      </c>
    </row>
    <row r="25" spans="1:32" x14ac:dyDescent="0.25">
      <c r="A25" t="s">
        <v>16</v>
      </c>
      <c r="B25">
        <v>2</v>
      </c>
      <c r="C25">
        <v>1.53</v>
      </c>
      <c r="D25">
        <v>2003</v>
      </c>
      <c r="E25" t="s">
        <v>28</v>
      </c>
      <c r="F25">
        <v>2003325</v>
      </c>
      <c r="G25">
        <v>2004091</v>
      </c>
      <c r="H25">
        <v>22859</v>
      </c>
      <c r="I25">
        <v>3961</v>
      </c>
      <c r="J25">
        <v>50</v>
      </c>
      <c r="K25">
        <v>502</v>
      </c>
      <c r="L25">
        <v>0</v>
      </c>
      <c r="M25">
        <v>125</v>
      </c>
      <c r="N25">
        <v>16.82713</v>
      </c>
      <c r="O25">
        <v>6.659573</v>
      </c>
      <c r="P25">
        <v>14.002129999999999</v>
      </c>
      <c r="Q25">
        <v>95071</v>
      </c>
      <c r="AB25">
        <f>AB24/AB23</f>
        <v>0.31296363153614476</v>
      </c>
      <c r="AC25">
        <f t="shared" ref="AC25:AF25" si="3">AC24/AC23</f>
        <v>0.32122273302415383</v>
      </c>
      <c r="AD25">
        <f t="shared" si="3"/>
        <v>0.37750241418527231</v>
      </c>
      <c r="AE25">
        <f t="shared" si="3"/>
        <v>0.53843149061823059</v>
      </c>
      <c r="AF25">
        <f t="shared" si="3"/>
        <v>0.31167724607450498</v>
      </c>
    </row>
    <row r="26" spans="1:32" x14ac:dyDescent="0.25">
      <c r="A26" t="s">
        <v>16</v>
      </c>
      <c r="B26">
        <v>2</v>
      </c>
      <c r="C26">
        <v>1.53</v>
      </c>
      <c r="D26">
        <v>2004</v>
      </c>
      <c r="E26" t="s">
        <v>28</v>
      </c>
      <c r="F26">
        <v>2004325</v>
      </c>
      <c r="G26">
        <v>2005104</v>
      </c>
      <c r="H26">
        <v>10138</v>
      </c>
      <c r="I26">
        <v>2502</v>
      </c>
      <c r="J26">
        <v>50</v>
      </c>
      <c r="K26">
        <v>321</v>
      </c>
      <c r="L26">
        <v>0</v>
      </c>
      <c r="M26">
        <v>125</v>
      </c>
      <c r="N26">
        <v>18.544979999999999</v>
      </c>
      <c r="O26">
        <v>4.1169310000000001</v>
      </c>
      <c r="P26">
        <v>15.66455</v>
      </c>
      <c r="Q26">
        <v>60052</v>
      </c>
    </row>
    <row r="27" spans="1:32" x14ac:dyDescent="0.25">
      <c r="A27" t="s">
        <v>16</v>
      </c>
      <c r="B27">
        <v>2</v>
      </c>
      <c r="C27">
        <v>1.53</v>
      </c>
      <c r="D27">
        <v>2005</v>
      </c>
      <c r="E27" t="s">
        <v>28</v>
      </c>
      <c r="F27">
        <v>2005325</v>
      </c>
      <c r="G27">
        <v>2006099</v>
      </c>
      <c r="H27">
        <v>14368</v>
      </c>
      <c r="I27">
        <v>4581</v>
      </c>
      <c r="J27">
        <v>50</v>
      </c>
      <c r="K27">
        <v>344</v>
      </c>
      <c r="L27">
        <v>0</v>
      </c>
      <c r="M27">
        <v>125</v>
      </c>
      <c r="N27">
        <v>18.25187</v>
      </c>
      <c r="O27">
        <v>5.5534759999999999</v>
      </c>
      <c r="P27">
        <v>14.824070000000001</v>
      </c>
      <c r="Q27">
        <v>109940</v>
      </c>
    </row>
    <row r="28" spans="1:32" x14ac:dyDescent="0.25">
      <c r="A28" t="s">
        <v>16</v>
      </c>
      <c r="B28">
        <v>2</v>
      </c>
      <c r="C28">
        <v>1.53</v>
      </c>
      <c r="D28">
        <v>2006</v>
      </c>
      <c r="E28" t="s">
        <v>28</v>
      </c>
      <c r="F28">
        <v>2006325</v>
      </c>
      <c r="G28">
        <v>2007096</v>
      </c>
      <c r="H28">
        <v>21306</v>
      </c>
      <c r="I28">
        <v>4208</v>
      </c>
      <c r="J28">
        <v>50</v>
      </c>
      <c r="K28">
        <v>571</v>
      </c>
      <c r="L28">
        <v>0</v>
      </c>
      <c r="M28">
        <v>125</v>
      </c>
      <c r="N28">
        <v>17.707930000000001</v>
      </c>
      <c r="O28">
        <v>5.9359789999999997</v>
      </c>
      <c r="P28">
        <v>14.156079999999999</v>
      </c>
      <c r="Q28">
        <v>100984</v>
      </c>
    </row>
    <row r="29" spans="1:32" x14ac:dyDescent="0.25">
      <c r="A29" t="s">
        <v>16</v>
      </c>
      <c r="B29">
        <v>2</v>
      </c>
      <c r="C29">
        <v>1.53</v>
      </c>
      <c r="D29">
        <v>2007</v>
      </c>
      <c r="E29" t="s">
        <v>29</v>
      </c>
      <c r="F29">
        <v>2007325</v>
      </c>
      <c r="G29">
        <v>2008089</v>
      </c>
      <c r="H29">
        <v>19161</v>
      </c>
      <c r="I29">
        <v>5057</v>
      </c>
      <c r="J29">
        <v>50</v>
      </c>
      <c r="K29">
        <v>464</v>
      </c>
      <c r="L29">
        <v>0</v>
      </c>
      <c r="M29">
        <v>125</v>
      </c>
      <c r="N29">
        <v>18.158829999999998</v>
      </c>
      <c r="O29">
        <v>5.9566850000000002</v>
      </c>
      <c r="P29">
        <v>13.9123</v>
      </c>
      <c r="Q29">
        <v>121359</v>
      </c>
    </row>
    <row r="30" spans="1:32" x14ac:dyDescent="0.25">
      <c r="A30" t="s">
        <v>16</v>
      </c>
      <c r="B30">
        <v>2</v>
      </c>
      <c r="C30">
        <v>1.53</v>
      </c>
      <c r="D30">
        <v>2008</v>
      </c>
      <c r="E30" t="s">
        <v>29</v>
      </c>
      <c r="F30">
        <v>2008325</v>
      </c>
      <c r="G30">
        <v>2009092</v>
      </c>
      <c r="H30">
        <v>14918</v>
      </c>
      <c r="I30">
        <v>4251</v>
      </c>
      <c r="J30">
        <v>50</v>
      </c>
      <c r="K30">
        <v>334</v>
      </c>
      <c r="L30">
        <v>0</v>
      </c>
      <c r="M30">
        <v>125</v>
      </c>
      <c r="N30">
        <v>18.368259999999999</v>
      </c>
      <c r="O30">
        <v>5.5873020000000002</v>
      </c>
      <c r="P30">
        <v>14.4381</v>
      </c>
      <c r="Q30">
        <v>102020</v>
      </c>
    </row>
    <row r="31" spans="1:32" x14ac:dyDescent="0.25">
      <c r="A31" t="s">
        <v>16</v>
      </c>
      <c r="B31">
        <v>2</v>
      </c>
      <c r="C31">
        <v>1.53</v>
      </c>
      <c r="D31">
        <v>2009</v>
      </c>
      <c r="E31" t="s">
        <v>29</v>
      </c>
      <c r="F31">
        <v>2009325</v>
      </c>
      <c r="G31">
        <v>2010092</v>
      </c>
      <c r="H31">
        <v>19835</v>
      </c>
      <c r="I31">
        <v>4163</v>
      </c>
      <c r="J31">
        <v>50</v>
      </c>
      <c r="K31">
        <v>732</v>
      </c>
      <c r="L31">
        <v>0</v>
      </c>
      <c r="M31">
        <v>125</v>
      </c>
      <c r="N31">
        <v>17.39415</v>
      </c>
      <c r="O31">
        <v>7.0106400000000004</v>
      </c>
      <c r="P31">
        <v>13.622870000000001</v>
      </c>
      <c r="Q31">
        <v>99924</v>
      </c>
    </row>
    <row r="32" spans="1:32" x14ac:dyDescent="0.25">
      <c r="A32" t="s">
        <v>16</v>
      </c>
      <c r="B32">
        <v>2</v>
      </c>
      <c r="C32">
        <v>1.53</v>
      </c>
      <c r="D32">
        <v>2010</v>
      </c>
      <c r="E32" t="s">
        <v>29</v>
      </c>
      <c r="F32">
        <v>2010325</v>
      </c>
      <c r="G32">
        <v>2011089</v>
      </c>
      <c r="H32">
        <v>17909</v>
      </c>
      <c r="I32">
        <v>4143</v>
      </c>
      <c r="J32">
        <v>50</v>
      </c>
      <c r="K32">
        <v>576</v>
      </c>
      <c r="L32">
        <v>0</v>
      </c>
      <c r="M32">
        <v>125</v>
      </c>
      <c r="N32">
        <v>18.51596</v>
      </c>
      <c r="O32">
        <v>7.6718099999999998</v>
      </c>
      <c r="P32">
        <v>13.812760000000001</v>
      </c>
      <c r="Q32">
        <v>99430</v>
      </c>
    </row>
    <row r="33" spans="1:17" x14ac:dyDescent="0.25">
      <c r="A33" t="s">
        <v>16</v>
      </c>
      <c r="B33">
        <v>2</v>
      </c>
      <c r="C33">
        <v>1.53</v>
      </c>
      <c r="D33">
        <v>2011</v>
      </c>
      <c r="E33" t="s">
        <v>29</v>
      </c>
      <c r="F33">
        <v>2011325</v>
      </c>
      <c r="G33">
        <v>2012105</v>
      </c>
      <c r="H33">
        <v>9464</v>
      </c>
      <c r="I33">
        <v>2237</v>
      </c>
      <c r="J33">
        <v>50</v>
      </c>
      <c r="K33">
        <v>273</v>
      </c>
      <c r="L33">
        <v>0</v>
      </c>
      <c r="M33">
        <v>125</v>
      </c>
      <c r="N33">
        <v>18.387229999999999</v>
      </c>
      <c r="O33">
        <v>3.9143620000000001</v>
      </c>
      <c r="P33">
        <v>15.01276</v>
      </c>
      <c r="Q33">
        <v>53688</v>
      </c>
    </row>
    <row r="34" spans="1:17" x14ac:dyDescent="0.25">
      <c r="A34" t="s">
        <v>16</v>
      </c>
      <c r="B34">
        <v>2</v>
      </c>
      <c r="C34">
        <v>1.53</v>
      </c>
      <c r="D34">
        <v>2012</v>
      </c>
      <c r="E34" t="s">
        <v>29</v>
      </c>
      <c r="F34">
        <v>2012325</v>
      </c>
      <c r="G34">
        <v>2013094</v>
      </c>
      <c r="H34">
        <v>19316</v>
      </c>
      <c r="I34">
        <v>4727</v>
      </c>
      <c r="J34">
        <v>50</v>
      </c>
      <c r="K34">
        <v>595</v>
      </c>
      <c r="L34">
        <v>0</v>
      </c>
      <c r="M34">
        <v>125</v>
      </c>
      <c r="N34">
        <v>17.721689999999999</v>
      </c>
      <c r="O34">
        <v>5.9714299999999998</v>
      </c>
      <c r="P34">
        <v>14.36614</v>
      </c>
      <c r="Q34">
        <v>113458</v>
      </c>
    </row>
    <row r="35" spans="1:17" x14ac:dyDescent="0.25">
      <c r="A35" t="s">
        <v>16</v>
      </c>
      <c r="B35">
        <v>2</v>
      </c>
      <c r="C35">
        <v>1.53</v>
      </c>
      <c r="D35">
        <v>2013</v>
      </c>
      <c r="E35" t="s">
        <v>29</v>
      </c>
      <c r="F35">
        <v>2013325</v>
      </c>
      <c r="G35">
        <v>2014091</v>
      </c>
      <c r="H35">
        <v>16997</v>
      </c>
      <c r="I35">
        <v>4376</v>
      </c>
      <c r="J35">
        <v>50</v>
      </c>
      <c r="K35">
        <v>537</v>
      </c>
      <c r="L35">
        <v>0</v>
      </c>
      <c r="M35">
        <v>125</v>
      </c>
      <c r="N35">
        <v>18.930440000000001</v>
      </c>
      <c r="O35">
        <v>6.4771739999999998</v>
      </c>
      <c r="P35">
        <v>14.86359</v>
      </c>
      <c r="Q35">
        <v>105017</v>
      </c>
    </row>
    <row r="36" spans="1:17" x14ac:dyDescent="0.25">
      <c r="A36" t="s">
        <v>16</v>
      </c>
      <c r="B36">
        <v>2</v>
      </c>
      <c r="C36">
        <v>1.53</v>
      </c>
      <c r="D36">
        <v>2014</v>
      </c>
      <c r="E36" t="s">
        <v>29</v>
      </c>
      <c r="F36">
        <v>2014325</v>
      </c>
      <c r="G36">
        <v>2015097</v>
      </c>
      <c r="H36">
        <v>13397</v>
      </c>
      <c r="I36">
        <v>4413</v>
      </c>
      <c r="J36">
        <v>50</v>
      </c>
      <c r="K36">
        <v>392</v>
      </c>
      <c r="L36">
        <v>0</v>
      </c>
      <c r="M36">
        <v>125</v>
      </c>
      <c r="N36">
        <v>19.080960000000001</v>
      </c>
      <c r="O36">
        <v>5.3455029999999999</v>
      </c>
      <c r="P36">
        <v>15.28519</v>
      </c>
      <c r="Q36">
        <v>105906</v>
      </c>
    </row>
    <row r="37" spans="1:17" x14ac:dyDescent="0.25">
      <c r="A37" t="s">
        <v>16</v>
      </c>
      <c r="B37">
        <v>2</v>
      </c>
      <c r="C37">
        <v>1.53</v>
      </c>
      <c r="D37">
        <v>2015</v>
      </c>
      <c r="E37" t="s">
        <v>29</v>
      </c>
      <c r="F37">
        <v>2015325</v>
      </c>
      <c r="G37">
        <v>2016087</v>
      </c>
      <c r="H37">
        <v>18329</v>
      </c>
      <c r="I37">
        <v>3882</v>
      </c>
      <c r="J37">
        <v>50</v>
      </c>
      <c r="K37">
        <v>570</v>
      </c>
      <c r="L37">
        <v>0</v>
      </c>
      <c r="M37">
        <v>125</v>
      </c>
      <c r="N37">
        <v>17.87433</v>
      </c>
      <c r="O37">
        <v>6.2737970000000001</v>
      </c>
      <c r="P37">
        <v>13.583959999999999</v>
      </c>
      <c r="Q37">
        <v>93164</v>
      </c>
    </row>
    <row r="38" spans="1:17" x14ac:dyDescent="0.25">
      <c r="A38" t="s">
        <v>16</v>
      </c>
      <c r="B38">
        <v>2</v>
      </c>
      <c r="C38">
        <v>1.53</v>
      </c>
      <c r="D38">
        <v>2016</v>
      </c>
      <c r="E38" t="s">
        <v>29</v>
      </c>
      <c r="F38">
        <v>2016325</v>
      </c>
      <c r="G38">
        <v>2017089</v>
      </c>
      <c r="H38">
        <v>18139</v>
      </c>
      <c r="I38">
        <v>5312</v>
      </c>
      <c r="J38">
        <v>50</v>
      </c>
      <c r="K38">
        <v>390</v>
      </c>
      <c r="L38">
        <v>0</v>
      </c>
      <c r="M38">
        <v>125</v>
      </c>
      <c r="N38">
        <v>19.706910000000001</v>
      </c>
      <c r="O38">
        <v>6.1574470000000003</v>
      </c>
      <c r="P38">
        <v>15.05585</v>
      </c>
      <c r="Q38">
        <v>127477</v>
      </c>
    </row>
    <row r="39" spans="1:17" x14ac:dyDescent="0.25">
      <c r="A39" t="s">
        <v>16</v>
      </c>
      <c r="B39">
        <v>2</v>
      </c>
      <c r="C39">
        <v>1.53</v>
      </c>
      <c r="D39">
        <v>2017</v>
      </c>
      <c r="E39" t="s">
        <v>29</v>
      </c>
      <c r="F39">
        <v>2017325</v>
      </c>
      <c r="G39">
        <v>2018098</v>
      </c>
      <c r="H39">
        <v>19455</v>
      </c>
      <c r="I39">
        <v>4874</v>
      </c>
      <c r="J39">
        <v>50</v>
      </c>
      <c r="K39">
        <v>412</v>
      </c>
      <c r="L39">
        <v>0</v>
      </c>
      <c r="M39">
        <v>125</v>
      </c>
      <c r="N39">
        <v>17.268450000000001</v>
      </c>
      <c r="O39">
        <v>5.5914429999999999</v>
      </c>
      <c r="P39">
        <v>14.19572</v>
      </c>
      <c r="Q39">
        <v>116978</v>
      </c>
    </row>
    <row r="40" spans="1:17" x14ac:dyDescent="0.25">
      <c r="A40" t="s">
        <v>16</v>
      </c>
      <c r="B40">
        <v>2</v>
      </c>
      <c r="C40">
        <v>1.53</v>
      </c>
      <c r="D40">
        <v>2018</v>
      </c>
      <c r="E40" t="s">
        <v>29</v>
      </c>
      <c r="F40">
        <v>2018325</v>
      </c>
      <c r="G40">
        <v>2019092</v>
      </c>
      <c r="H40">
        <v>10991</v>
      </c>
      <c r="I40">
        <v>2426</v>
      </c>
      <c r="J40">
        <v>50</v>
      </c>
      <c r="K40">
        <v>293</v>
      </c>
      <c r="L40">
        <v>0</v>
      </c>
      <c r="M40">
        <v>125</v>
      </c>
      <c r="N40">
        <v>19.677119999999999</v>
      </c>
      <c r="O40">
        <v>5.0265959999999996</v>
      </c>
      <c r="P40">
        <v>16.048940000000002</v>
      </c>
      <c r="Q40">
        <v>58232</v>
      </c>
    </row>
    <row r="41" spans="1:17" x14ac:dyDescent="0.25">
      <c r="A41" t="s">
        <v>16</v>
      </c>
      <c r="B41">
        <v>2</v>
      </c>
      <c r="C41">
        <v>1.53</v>
      </c>
      <c r="D41">
        <v>2019</v>
      </c>
      <c r="E41" t="s">
        <v>29</v>
      </c>
      <c r="F41">
        <v>2019325</v>
      </c>
      <c r="G41">
        <v>2020080</v>
      </c>
      <c r="H41">
        <v>17850</v>
      </c>
      <c r="I41">
        <v>3375</v>
      </c>
      <c r="J41">
        <v>50</v>
      </c>
      <c r="K41">
        <v>398</v>
      </c>
      <c r="L41">
        <v>0</v>
      </c>
      <c r="M41">
        <v>125</v>
      </c>
      <c r="N41">
        <v>19.30958</v>
      </c>
      <c r="O41">
        <v>7.4345749999999997</v>
      </c>
      <c r="P41">
        <v>13.95</v>
      </c>
      <c r="Q41">
        <v>81001</v>
      </c>
    </row>
    <row r="42" spans="1:17" x14ac:dyDescent="0.25">
      <c r="A42" t="s">
        <v>16</v>
      </c>
      <c r="B42">
        <v>3</v>
      </c>
      <c r="C42">
        <v>1.41</v>
      </c>
      <c r="D42">
        <v>2000</v>
      </c>
      <c r="E42" t="s">
        <v>28</v>
      </c>
      <c r="F42">
        <v>2000308</v>
      </c>
      <c r="G42">
        <v>2001062</v>
      </c>
      <c r="H42">
        <v>16052</v>
      </c>
      <c r="I42">
        <v>2122</v>
      </c>
      <c r="J42">
        <v>100</v>
      </c>
      <c r="K42">
        <v>641</v>
      </c>
      <c r="L42">
        <v>0</v>
      </c>
      <c r="M42">
        <v>75</v>
      </c>
      <c r="N42">
        <v>18.028639999999999</v>
      </c>
      <c r="O42">
        <v>8.0300960000000003</v>
      </c>
      <c r="P42">
        <v>13.62233</v>
      </c>
      <c r="Q42">
        <v>42449</v>
      </c>
    </row>
    <row r="43" spans="1:17" x14ac:dyDescent="0.25">
      <c r="A43" t="s">
        <v>16</v>
      </c>
      <c r="B43">
        <v>3</v>
      </c>
      <c r="C43">
        <v>1.41</v>
      </c>
      <c r="D43">
        <v>2001</v>
      </c>
      <c r="E43" t="s">
        <v>28</v>
      </c>
      <c r="F43">
        <v>2001308</v>
      </c>
      <c r="G43">
        <v>2002082</v>
      </c>
      <c r="H43">
        <v>21725</v>
      </c>
      <c r="I43">
        <v>3298</v>
      </c>
      <c r="J43">
        <v>100</v>
      </c>
      <c r="K43">
        <v>445</v>
      </c>
      <c r="L43">
        <v>0</v>
      </c>
      <c r="M43">
        <v>75</v>
      </c>
      <c r="N43">
        <v>17.575240000000001</v>
      </c>
      <c r="O43">
        <v>5.6582520000000001</v>
      </c>
      <c r="P43">
        <v>14.53107</v>
      </c>
      <c r="Q43">
        <v>65961</v>
      </c>
    </row>
    <row r="44" spans="1:17" x14ac:dyDescent="0.25">
      <c r="A44" t="s">
        <v>16</v>
      </c>
      <c r="B44">
        <v>3</v>
      </c>
      <c r="C44">
        <v>1.41</v>
      </c>
      <c r="D44">
        <v>2002</v>
      </c>
      <c r="E44" t="s">
        <v>28</v>
      </c>
      <c r="F44">
        <v>2002308</v>
      </c>
      <c r="G44">
        <v>2003072</v>
      </c>
      <c r="H44">
        <v>3314</v>
      </c>
      <c r="I44">
        <v>462</v>
      </c>
      <c r="J44">
        <v>100</v>
      </c>
      <c r="K44">
        <v>183</v>
      </c>
      <c r="L44">
        <v>0</v>
      </c>
      <c r="M44">
        <v>75</v>
      </c>
      <c r="N44">
        <v>17.995629999999998</v>
      </c>
      <c r="O44">
        <v>7.088349</v>
      </c>
      <c r="P44">
        <v>13.651450000000001</v>
      </c>
      <c r="Q44">
        <v>9232</v>
      </c>
    </row>
    <row r="45" spans="1:17" x14ac:dyDescent="0.25">
      <c r="A45" t="s">
        <v>16</v>
      </c>
      <c r="B45">
        <v>3</v>
      </c>
      <c r="C45">
        <v>1.41</v>
      </c>
      <c r="D45">
        <v>2003</v>
      </c>
      <c r="E45" t="s">
        <v>28</v>
      </c>
      <c r="F45">
        <v>2003308</v>
      </c>
      <c r="G45">
        <v>2004078</v>
      </c>
      <c r="H45">
        <v>23460</v>
      </c>
      <c r="I45">
        <v>3330</v>
      </c>
      <c r="J45">
        <v>100</v>
      </c>
      <c r="K45">
        <v>502</v>
      </c>
      <c r="L45">
        <v>0</v>
      </c>
      <c r="M45">
        <v>75</v>
      </c>
      <c r="N45">
        <v>16.806799999999999</v>
      </c>
      <c r="O45">
        <v>6.8432019999999998</v>
      </c>
      <c r="P45">
        <v>13.43253</v>
      </c>
      <c r="Q45">
        <v>66598</v>
      </c>
    </row>
    <row r="46" spans="1:17" x14ac:dyDescent="0.25">
      <c r="A46" t="s">
        <v>16</v>
      </c>
      <c r="B46">
        <v>3</v>
      </c>
      <c r="C46">
        <v>1.41</v>
      </c>
      <c r="D46">
        <v>2004</v>
      </c>
      <c r="E46" t="s">
        <v>28</v>
      </c>
      <c r="F46">
        <v>2004308</v>
      </c>
      <c r="G46">
        <v>2005094</v>
      </c>
      <c r="H46">
        <v>11789</v>
      </c>
      <c r="I46">
        <v>1478</v>
      </c>
      <c r="J46">
        <v>100</v>
      </c>
      <c r="K46">
        <v>321</v>
      </c>
      <c r="L46">
        <v>0</v>
      </c>
      <c r="M46">
        <v>75</v>
      </c>
      <c r="N46">
        <v>18.451689999999999</v>
      </c>
      <c r="O46">
        <v>3.9579710000000001</v>
      </c>
      <c r="P46">
        <v>15.298550000000001</v>
      </c>
      <c r="Q46">
        <v>29568</v>
      </c>
    </row>
    <row r="47" spans="1:17" x14ac:dyDescent="0.25">
      <c r="A47" t="s">
        <v>16</v>
      </c>
      <c r="B47">
        <v>3</v>
      </c>
      <c r="C47">
        <v>1.41</v>
      </c>
      <c r="D47">
        <v>2005</v>
      </c>
      <c r="E47" t="s">
        <v>28</v>
      </c>
      <c r="F47">
        <v>2005308</v>
      </c>
      <c r="G47">
        <v>2006088</v>
      </c>
      <c r="H47">
        <v>19300</v>
      </c>
      <c r="I47">
        <v>4492</v>
      </c>
      <c r="J47">
        <v>100</v>
      </c>
      <c r="K47">
        <v>344</v>
      </c>
      <c r="L47">
        <v>0</v>
      </c>
      <c r="M47">
        <v>75</v>
      </c>
      <c r="N47">
        <v>17.985859999999999</v>
      </c>
      <c r="O47">
        <v>5.5063409999999999</v>
      </c>
      <c r="P47">
        <v>14.232200000000001</v>
      </c>
      <c r="Q47">
        <v>89844</v>
      </c>
    </row>
    <row r="48" spans="1:17" x14ac:dyDescent="0.25">
      <c r="A48" t="s">
        <v>16</v>
      </c>
      <c r="B48">
        <v>3</v>
      </c>
      <c r="C48">
        <v>1.41</v>
      </c>
      <c r="D48">
        <v>2006</v>
      </c>
      <c r="E48" t="s">
        <v>28</v>
      </c>
      <c r="F48">
        <v>2006308</v>
      </c>
      <c r="G48">
        <v>2007080</v>
      </c>
      <c r="H48">
        <v>22544</v>
      </c>
      <c r="I48">
        <v>4006</v>
      </c>
      <c r="J48">
        <v>100</v>
      </c>
      <c r="K48">
        <v>571</v>
      </c>
      <c r="L48">
        <v>0</v>
      </c>
      <c r="M48">
        <v>75</v>
      </c>
      <c r="N48">
        <v>17.828009999999999</v>
      </c>
      <c r="O48">
        <v>6.246861</v>
      </c>
      <c r="P48">
        <v>13.635260000000001</v>
      </c>
      <c r="Q48">
        <v>80122</v>
      </c>
    </row>
    <row r="49" spans="1:17" x14ac:dyDescent="0.25">
      <c r="A49" t="s">
        <v>16</v>
      </c>
      <c r="B49">
        <v>3</v>
      </c>
      <c r="C49">
        <v>1.41</v>
      </c>
      <c r="D49">
        <v>2007</v>
      </c>
      <c r="E49" t="s">
        <v>28</v>
      </c>
      <c r="F49">
        <v>2007308</v>
      </c>
      <c r="G49">
        <v>2008076</v>
      </c>
      <c r="H49">
        <v>21854</v>
      </c>
      <c r="I49">
        <v>3345</v>
      </c>
      <c r="J49">
        <v>100</v>
      </c>
      <c r="K49">
        <v>464</v>
      </c>
      <c r="L49">
        <v>0</v>
      </c>
      <c r="M49">
        <v>75</v>
      </c>
      <c r="N49">
        <v>18.112200000000001</v>
      </c>
      <c r="O49">
        <v>5.5224399999999996</v>
      </c>
      <c r="P49">
        <v>13.54927</v>
      </c>
      <c r="Q49">
        <v>66895</v>
      </c>
    </row>
    <row r="50" spans="1:17" x14ac:dyDescent="0.25">
      <c r="A50" t="s">
        <v>16</v>
      </c>
      <c r="B50">
        <v>3</v>
      </c>
      <c r="C50">
        <v>1.41</v>
      </c>
      <c r="D50">
        <v>2008</v>
      </c>
      <c r="E50" t="s">
        <v>29</v>
      </c>
      <c r="F50">
        <v>2008308</v>
      </c>
      <c r="G50">
        <v>2009080</v>
      </c>
      <c r="H50">
        <v>18948</v>
      </c>
      <c r="I50">
        <v>4067</v>
      </c>
      <c r="J50">
        <v>100</v>
      </c>
      <c r="K50">
        <v>334</v>
      </c>
      <c r="L50">
        <v>0</v>
      </c>
      <c r="M50">
        <v>75</v>
      </c>
      <c r="N50">
        <v>18.33689</v>
      </c>
      <c r="O50">
        <v>5.306311</v>
      </c>
      <c r="P50">
        <v>14.15583</v>
      </c>
      <c r="Q50">
        <v>81349</v>
      </c>
    </row>
    <row r="51" spans="1:17" x14ac:dyDescent="0.25">
      <c r="A51" t="s">
        <v>16</v>
      </c>
      <c r="B51">
        <v>3</v>
      </c>
      <c r="C51">
        <v>1.41</v>
      </c>
      <c r="D51">
        <v>2009</v>
      </c>
      <c r="E51" t="s">
        <v>29</v>
      </c>
      <c r="F51">
        <v>2009308</v>
      </c>
      <c r="G51">
        <v>2010080</v>
      </c>
      <c r="H51">
        <v>15757</v>
      </c>
      <c r="I51">
        <v>2717</v>
      </c>
      <c r="J51">
        <v>100</v>
      </c>
      <c r="K51">
        <v>732</v>
      </c>
      <c r="L51">
        <v>0</v>
      </c>
      <c r="M51">
        <v>75</v>
      </c>
      <c r="N51">
        <v>17.631550000000001</v>
      </c>
      <c r="O51">
        <v>7.0320410000000004</v>
      </c>
      <c r="P51">
        <v>13.214079999999999</v>
      </c>
      <c r="Q51">
        <v>54339</v>
      </c>
    </row>
    <row r="52" spans="1:17" x14ac:dyDescent="0.25">
      <c r="A52" t="s">
        <v>16</v>
      </c>
      <c r="B52">
        <v>3</v>
      </c>
      <c r="C52">
        <v>1.41</v>
      </c>
      <c r="D52">
        <v>2010</v>
      </c>
      <c r="E52" t="s">
        <v>29</v>
      </c>
      <c r="F52">
        <v>2010308</v>
      </c>
      <c r="G52">
        <v>2011077</v>
      </c>
      <c r="H52">
        <v>18113</v>
      </c>
      <c r="I52">
        <v>3829</v>
      </c>
      <c r="J52">
        <v>100</v>
      </c>
      <c r="K52">
        <v>576</v>
      </c>
      <c r="L52">
        <v>0</v>
      </c>
      <c r="M52">
        <v>75</v>
      </c>
      <c r="N52">
        <v>18.253399999999999</v>
      </c>
      <c r="O52">
        <v>7.5509719999999998</v>
      </c>
      <c r="P52">
        <v>13.2966</v>
      </c>
      <c r="Q52">
        <v>76574</v>
      </c>
    </row>
    <row r="53" spans="1:17" x14ac:dyDescent="0.25">
      <c r="A53" t="s">
        <v>16</v>
      </c>
      <c r="B53">
        <v>3</v>
      </c>
      <c r="C53">
        <v>1.41</v>
      </c>
      <c r="D53">
        <v>2011</v>
      </c>
      <c r="E53" t="s">
        <v>29</v>
      </c>
      <c r="F53">
        <v>2011308</v>
      </c>
      <c r="G53">
        <v>2012091</v>
      </c>
      <c r="H53">
        <v>10628</v>
      </c>
      <c r="I53">
        <v>2025</v>
      </c>
      <c r="J53">
        <v>100</v>
      </c>
      <c r="K53">
        <v>273</v>
      </c>
      <c r="L53">
        <v>0</v>
      </c>
      <c r="M53">
        <v>75</v>
      </c>
      <c r="N53">
        <v>18.335609999999999</v>
      </c>
      <c r="O53">
        <v>4.3287810000000002</v>
      </c>
      <c r="P53">
        <v>14.3278</v>
      </c>
      <c r="Q53">
        <v>40503</v>
      </c>
    </row>
    <row r="54" spans="1:17" x14ac:dyDescent="0.25">
      <c r="A54" t="s">
        <v>16</v>
      </c>
      <c r="B54">
        <v>3</v>
      </c>
      <c r="C54">
        <v>1.41</v>
      </c>
      <c r="D54">
        <v>2012</v>
      </c>
      <c r="E54" t="s">
        <v>29</v>
      </c>
      <c r="F54">
        <v>2012308</v>
      </c>
      <c r="G54">
        <v>2013078</v>
      </c>
      <c r="H54">
        <v>21499</v>
      </c>
      <c r="I54">
        <v>4779</v>
      </c>
      <c r="J54">
        <v>100</v>
      </c>
      <c r="K54">
        <v>595</v>
      </c>
      <c r="L54">
        <v>0</v>
      </c>
      <c r="M54">
        <v>75</v>
      </c>
      <c r="N54">
        <v>17.707249999999998</v>
      </c>
      <c r="O54">
        <v>6.1681160000000004</v>
      </c>
      <c r="P54">
        <v>13.796620000000001</v>
      </c>
      <c r="Q54">
        <v>95576</v>
      </c>
    </row>
    <row r="55" spans="1:17" x14ac:dyDescent="0.25">
      <c r="A55" t="s">
        <v>16</v>
      </c>
      <c r="B55">
        <v>3</v>
      </c>
      <c r="C55">
        <v>1.41</v>
      </c>
      <c r="D55">
        <v>2013</v>
      </c>
      <c r="E55" t="s">
        <v>29</v>
      </c>
      <c r="F55">
        <v>2013308</v>
      </c>
      <c r="G55">
        <v>2014078</v>
      </c>
      <c r="H55">
        <v>16073</v>
      </c>
      <c r="I55">
        <v>3428</v>
      </c>
      <c r="J55">
        <v>100</v>
      </c>
      <c r="K55">
        <v>537</v>
      </c>
      <c r="L55">
        <v>0</v>
      </c>
      <c r="M55">
        <v>75</v>
      </c>
      <c r="N55">
        <v>18.616499999999998</v>
      </c>
      <c r="O55">
        <v>5.965535</v>
      </c>
      <c r="P55">
        <v>14.380100000000001</v>
      </c>
      <c r="Q55">
        <v>68565</v>
      </c>
    </row>
    <row r="56" spans="1:17" x14ac:dyDescent="0.25">
      <c r="A56" t="s">
        <v>16</v>
      </c>
      <c r="B56">
        <v>3</v>
      </c>
      <c r="C56">
        <v>1.41</v>
      </c>
      <c r="D56">
        <v>2014</v>
      </c>
      <c r="E56" t="s">
        <v>29</v>
      </c>
      <c r="F56">
        <v>2014308</v>
      </c>
      <c r="G56">
        <v>2015087</v>
      </c>
      <c r="H56">
        <v>18231</v>
      </c>
      <c r="I56">
        <v>4404</v>
      </c>
      <c r="J56">
        <v>100</v>
      </c>
      <c r="K56">
        <v>392</v>
      </c>
      <c r="L56">
        <v>0</v>
      </c>
      <c r="M56">
        <v>75</v>
      </c>
      <c r="N56">
        <v>19.010249999999999</v>
      </c>
      <c r="O56">
        <v>5.658048</v>
      </c>
      <c r="P56">
        <v>14.69415</v>
      </c>
      <c r="Q56">
        <v>88086</v>
      </c>
    </row>
    <row r="57" spans="1:17" x14ac:dyDescent="0.25">
      <c r="A57" t="s">
        <v>16</v>
      </c>
      <c r="B57">
        <v>3</v>
      </c>
      <c r="C57">
        <v>1.41</v>
      </c>
      <c r="D57">
        <v>2015</v>
      </c>
      <c r="E57" t="s">
        <v>29</v>
      </c>
      <c r="F57">
        <v>2015308</v>
      </c>
      <c r="G57">
        <v>2016073</v>
      </c>
      <c r="H57">
        <v>17566</v>
      </c>
      <c r="I57">
        <v>3411</v>
      </c>
      <c r="J57">
        <v>100</v>
      </c>
      <c r="K57">
        <v>570</v>
      </c>
      <c r="L57">
        <v>0</v>
      </c>
      <c r="M57">
        <v>75</v>
      </c>
      <c r="N57">
        <v>18.074760000000001</v>
      </c>
      <c r="O57">
        <v>6.1184459999999996</v>
      </c>
      <c r="P57">
        <v>13.36408</v>
      </c>
      <c r="Q57">
        <v>68213</v>
      </c>
    </row>
    <row r="58" spans="1:17" x14ac:dyDescent="0.25">
      <c r="A58" t="s">
        <v>16</v>
      </c>
      <c r="B58">
        <v>3</v>
      </c>
      <c r="C58">
        <v>1.41</v>
      </c>
      <c r="D58">
        <v>2016</v>
      </c>
      <c r="E58" t="s">
        <v>29</v>
      </c>
      <c r="F58">
        <v>2016308</v>
      </c>
      <c r="G58">
        <v>2017074</v>
      </c>
      <c r="H58">
        <v>19404</v>
      </c>
      <c r="I58">
        <v>4416</v>
      </c>
      <c r="J58">
        <v>100</v>
      </c>
      <c r="K58">
        <v>390</v>
      </c>
      <c r="L58">
        <v>0</v>
      </c>
      <c r="M58">
        <v>75</v>
      </c>
      <c r="N58">
        <v>19.426570000000002</v>
      </c>
      <c r="O58">
        <v>6.0198070000000001</v>
      </c>
      <c r="P58">
        <v>14.56329</v>
      </c>
      <c r="Q58">
        <v>88311</v>
      </c>
    </row>
    <row r="59" spans="1:17" x14ac:dyDescent="0.25">
      <c r="A59" t="s">
        <v>16</v>
      </c>
      <c r="B59">
        <v>3</v>
      </c>
      <c r="C59">
        <v>1.41</v>
      </c>
      <c r="D59">
        <v>2017</v>
      </c>
      <c r="E59" t="s">
        <v>29</v>
      </c>
      <c r="F59">
        <v>2017308</v>
      </c>
      <c r="G59">
        <v>2018082</v>
      </c>
      <c r="H59">
        <v>21220</v>
      </c>
      <c r="I59">
        <v>3736</v>
      </c>
      <c r="J59">
        <v>100</v>
      </c>
      <c r="K59">
        <v>412</v>
      </c>
      <c r="L59">
        <v>0</v>
      </c>
      <c r="M59">
        <v>75</v>
      </c>
      <c r="N59">
        <v>17.59029</v>
      </c>
      <c r="O59">
        <v>5.3165040000000001</v>
      </c>
      <c r="P59">
        <v>13.90631</v>
      </c>
      <c r="Q59">
        <v>74721</v>
      </c>
    </row>
    <row r="60" spans="1:17" x14ac:dyDescent="0.25">
      <c r="A60" t="s">
        <v>16</v>
      </c>
      <c r="B60">
        <v>3</v>
      </c>
      <c r="C60">
        <v>1.41</v>
      </c>
      <c r="D60">
        <v>2018</v>
      </c>
      <c r="E60" t="s">
        <v>29</v>
      </c>
      <c r="F60">
        <v>2018308</v>
      </c>
      <c r="G60">
        <v>2019080</v>
      </c>
      <c r="H60">
        <v>16938</v>
      </c>
      <c r="I60">
        <v>3284</v>
      </c>
      <c r="J60">
        <v>100</v>
      </c>
      <c r="K60">
        <v>293</v>
      </c>
      <c r="L60">
        <v>0</v>
      </c>
      <c r="M60">
        <v>75</v>
      </c>
      <c r="N60">
        <v>19.478639999999999</v>
      </c>
      <c r="O60">
        <v>5.3257279999999998</v>
      </c>
      <c r="P60">
        <v>15.315049999999999</v>
      </c>
      <c r="Q60">
        <v>65684</v>
      </c>
    </row>
    <row r="61" spans="1:17" x14ac:dyDescent="0.25">
      <c r="A61" t="s">
        <v>16</v>
      </c>
      <c r="B61">
        <v>3</v>
      </c>
      <c r="C61">
        <v>1.41</v>
      </c>
      <c r="D61">
        <v>2019</v>
      </c>
      <c r="E61" t="s">
        <v>29</v>
      </c>
      <c r="F61">
        <v>2019308</v>
      </c>
      <c r="G61">
        <v>2020064</v>
      </c>
      <c r="H61">
        <v>15456</v>
      </c>
      <c r="I61">
        <v>3430</v>
      </c>
      <c r="J61">
        <v>100</v>
      </c>
      <c r="K61">
        <v>398</v>
      </c>
      <c r="L61">
        <v>0</v>
      </c>
      <c r="M61">
        <v>75</v>
      </c>
      <c r="N61">
        <v>19.013169999999999</v>
      </c>
      <c r="O61">
        <v>7.3853650000000002</v>
      </c>
      <c r="P61">
        <v>13.46683</v>
      </c>
      <c r="Q61">
        <v>68591</v>
      </c>
    </row>
    <row r="62" spans="1:17" x14ac:dyDescent="0.25">
      <c r="A62" t="s">
        <v>16</v>
      </c>
      <c r="B62">
        <v>4</v>
      </c>
      <c r="C62">
        <v>1.68</v>
      </c>
      <c r="D62">
        <v>2000</v>
      </c>
      <c r="E62" t="s">
        <v>28</v>
      </c>
      <c r="F62">
        <v>2000308</v>
      </c>
      <c r="G62">
        <v>2001062</v>
      </c>
      <c r="H62">
        <v>16849</v>
      </c>
      <c r="I62">
        <v>2282</v>
      </c>
      <c r="J62">
        <v>50</v>
      </c>
      <c r="K62">
        <v>641</v>
      </c>
      <c r="L62">
        <v>0</v>
      </c>
      <c r="M62">
        <v>100</v>
      </c>
      <c r="N62">
        <v>18.028639999999999</v>
      </c>
      <c r="O62">
        <v>8.0300960000000003</v>
      </c>
      <c r="P62">
        <v>13.62233</v>
      </c>
      <c r="Q62">
        <v>50210</v>
      </c>
    </row>
    <row r="63" spans="1:17" x14ac:dyDescent="0.25">
      <c r="A63" t="s">
        <v>16</v>
      </c>
      <c r="B63">
        <v>4</v>
      </c>
      <c r="C63">
        <v>1.68</v>
      </c>
      <c r="D63">
        <v>2001</v>
      </c>
      <c r="E63" t="s">
        <v>28</v>
      </c>
      <c r="F63">
        <v>2001308</v>
      </c>
      <c r="G63">
        <v>2002082</v>
      </c>
      <c r="H63">
        <v>20086</v>
      </c>
      <c r="I63">
        <v>3431</v>
      </c>
      <c r="J63">
        <v>50</v>
      </c>
      <c r="K63">
        <v>445</v>
      </c>
      <c r="L63">
        <v>0</v>
      </c>
      <c r="M63">
        <v>100</v>
      </c>
      <c r="N63">
        <v>17.575240000000001</v>
      </c>
      <c r="O63">
        <v>5.6582520000000001</v>
      </c>
      <c r="P63">
        <v>14.53107</v>
      </c>
      <c r="Q63">
        <v>75475</v>
      </c>
    </row>
    <row r="64" spans="1:17" x14ac:dyDescent="0.25">
      <c r="A64" t="s">
        <v>16</v>
      </c>
      <c r="B64">
        <v>4</v>
      </c>
      <c r="C64">
        <v>1.68</v>
      </c>
      <c r="D64">
        <v>2002</v>
      </c>
      <c r="E64" t="s">
        <v>28</v>
      </c>
      <c r="F64">
        <v>2002308</v>
      </c>
      <c r="G64">
        <v>2003072</v>
      </c>
      <c r="H64">
        <v>3215</v>
      </c>
      <c r="I64">
        <v>455</v>
      </c>
      <c r="J64">
        <v>50</v>
      </c>
      <c r="K64">
        <v>183</v>
      </c>
      <c r="L64">
        <v>0</v>
      </c>
      <c r="M64">
        <v>100</v>
      </c>
      <c r="N64">
        <v>17.995629999999998</v>
      </c>
      <c r="O64">
        <v>7.088349</v>
      </c>
      <c r="P64">
        <v>13.651450000000001</v>
      </c>
      <c r="Q64">
        <v>10001</v>
      </c>
    </row>
    <row r="65" spans="1:17" x14ac:dyDescent="0.25">
      <c r="A65" t="s">
        <v>16</v>
      </c>
      <c r="B65">
        <v>4</v>
      </c>
      <c r="C65">
        <v>1.68</v>
      </c>
      <c r="D65">
        <v>2003</v>
      </c>
      <c r="E65" t="s">
        <v>28</v>
      </c>
      <c r="F65">
        <v>2003308</v>
      </c>
      <c r="G65">
        <v>2004078</v>
      </c>
      <c r="H65">
        <v>22984</v>
      </c>
      <c r="I65">
        <v>3359</v>
      </c>
      <c r="J65">
        <v>50</v>
      </c>
      <c r="K65">
        <v>502</v>
      </c>
      <c r="L65">
        <v>0</v>
      </c>
      <c r="M65">
        <v>100</v>
      </c>
      <c r="N65">
        <v>16.806799999999999</v>
      </c>
      <c r="O65">
        <v>6.8432019999999998</v>
      </c>
      <c r="P65">
        <v>13.43253</v>
      </c>
      <c r="Q65">
        <v>73893</v>
      </c>
    </row>
    <row r="66" spans="1:17" x14ac:dyDescent="0.25">
      <c r="A66" t="s">
        <v>16</v>
      </c>
      <c r="B66">
        <v>4</v>
      </c>
      <c r="C66">
        <v>1.68</v>
      </c>
      <c r="D66">
        <v>2004</v>
      </c>
      <c r="E66" t="s">
        <v>28</v>
      </c>
      <c r="F66">
        <v>2004308</v>
      </c>
      <c r="G66">
        <v>2005094</v>
      </c>
      <c r="H66">
        <v>10537</v>
      </c>
      <c r="I66">
        <v>1670</v>
      </c>
      <c r="J66">
        <v>50</v>
      </c>
      <c r="K66">
        <v>321</v>
      </c>
      <c r="L66">
        <v>0</v>
      </c>
      <c r="M66">
        <v>100</v>
      </c>
      <c r="N66">
        <v>18.451689999999999</v>
      </c>
      <c r="O66">
        <v>3.9579710000000001</v>
      </c>
      <c r="P66">
        <v>15.298550000000001</v>
      </c>
      <c r="Q66">
        <v>36751</v>
      </c>
    </row>
    <row r="67" spans="1:17" x14ac:dyDescent="0.25">
      <c r="A67" t="s">
        <v>16</v>
      </c>
      <c r="B67">
        <v>4</v>
      </c>
      <c r="C67">
        <v>1.68</v>
      </c>
      <c r="D67">
        <v>2005</v>
      </c>
      <c r="E67" t="s">
        <v>28</v>
      </c>
      <c r="F67">
        <v>2005308</v>
      </c>
      <c r="G67">
        <v>2006088</v>
      </c>
      <c r="H67">
        <v>16330</v>
      </c>
      <c r="I67">
        <v>4488</v>
      </c>
      <c r="J67">
        <v>50</v>
      </c>
      <c r="K67">
        <v>344</v>
      </c>
      <c r="L67">
        <v>0</v>
      </c>
      <c r="M67">
        <v>100</v>
      </c>
      <c r="N67">
        <v>17.985859999999999</v>
      </c>
      <c r="O67">
        <v>5.5063409999999999</v>
      </c>
      <c r="P67">
        <v>14.232200000000001</v>
      </c>
      <c r="Q67">
        <v>98740</v>
      </c>
    </row>
    <row r="68" spans="1:17" x14ac:dyDescent="0.25">
      <c r="A68" t="s">
        <v>16</v>
      </c>
      <c r="B68">
        <v>4</v>
      </c>
      <c r="C68">
        <v>1.68</v>
      </c>
      <c r="D68">
        <v>2006</v>
      </c>
      <c r="E68" t="s">
        <v>28</v>
      </c>
      <c r="F68">
        <v>2006308</v>
      </c>
      <c r="G68">
        <v>2007080</v>
      </c>
      <c r="H68">
        <v>23125</v>
      </c>
      <c r="I68">
        <v>4221</v>
      </c>
      <c r="J68">
        <v>50</v>
      </c>
      <c r="K68">
        <v>571</v>
      </c>
      <c r="L68">
        <v>0</v>
      </c>
      <c r="M68">
        <v>100</v>
      </c>
      <c r="N68">
        <v>17.828009999999999</v>
      </c>
      <c r="O68">
        <v>6.246861</v>
      </c>
      <c r="P68">
        <v>13.635260000000001</v>
      </c>
      <c r="Q68">
        <v>92869</v>
      </c>
    </row>
    <row r="69" spans="1:17" x14ac:dyDescent="0.25">
      <c r="A69" t="s">
        <v>16</v>
      </c>
      <c r="B69">
        <v>4</v>
      </c>
      <c r="C69">
        <v>1.68</v>
      </c>
      <c r="D69">
        <v>2007</v>
      </c>
      <c r="E69" t="s">
        <v>28</v>
      </c>
      <c r="F69">
        <v>2007308</v>
      </c>
      <c r="G69">
        <v>2008076</v>
      </c>
      <c r="H69">
        <v>19689</v>
      </c>
      <c r="I69">
        <v>3425</v>
      </c>
      <c r="J69">
        <v>50</v>
      </c>
      <c r="K69">
        <v>464</v>
      </c>
      <c r="L69">
        <v>0</v>
      </c>
      <c r="M69">
        <v>100</v>
      </c>
      <c r="N69">
        <v>18.112200000000001</v>
      </c>
      <c r="O69">
        <v>5.5224399999999996</v>
      </c>
      <c r="P69">
        <v>13.54927</v>
      </c>
      <c r="Q69">
        <v>75357</v>
      </c>
    </row>
    <row r="70" spans="1:17" x14ac:dyDescent="0.25">
      <c r="A70" t="s">
        <v>16</v>
      </c>
      <c r="B70">
        <v>4</v>
      </c>
      <c r="C70">
        <v>1.68</v>
      </c>
      <c r="D70">
        <v>2008</v>
      </c>
      <c r="E70" t="s">
        <v>28</v>
      </c>
      <c r="F70">
        <v>2008308</v>
      </c>
      <c r="G70">
        <v>2009080</v>
      </c>
      <c r="H70">
        <v>15966</v>
      </c>
      <c r="I70">
        <v>3321</v>
      </c>
      <c r="J70">
        <v>50</v>
      </c>
      <c r="K70">
        <v>334</v>
      </c>
      <c r="L70">
        <v>0</v>
      </c>
      <c r="M70">
        <v>100</v>
      </c>
      <c r="N70">
        <v>18.33689</v>
      </c>
      <c r="O70">
        <v>5.306311</v>
      </c>
      <c r="P70">
        <v>14.15583</v>
      </c>
      <c r="Q70">
        <v>73069</v>
      </c>
    </row>
    <row r="71" spans="1:17" x14ac:dyDescent="0.25">
      <c r="A71" t="s">
        <v>16</v>
      </c>
      <c r="B71">
        <v>4</v>
      </c>
      <c r="C71">
        <v>1.68</v>
      </c>
      <c r="D71">
        <v>2009</v>
      </c>
      <c r="E71" t="s">
        <v>29</v>
      </c>
      <c r="F71">
        <v>2009308</v>
      </c>
      <c r="G71">
        <v>2010080</v>
      </c>
      <c r="H71">
        <v>18375</v>
      </c>
      <c r="I71">
        <v>3302</v>
      </c>
      <c r="J71">
        <v>50</v>
      </c>
      <c r="K71">
        <v>732</v>
      </c>
      <c r="L71">
        <v>0</v>
      </c>
      <c r="M71">
        <v>100</v>
      </c>
      <c r="N71">
        <v>17.631550000000001</v>
      </c>
      <c r="O71">
        <v>7.0320410000000004</v>
      </c>
      <c r="P71">
        <v>13.214079999999999</v>
      </c>
      <c r="Q71">
        <v>72636</v>
      </c>
    </row>
    <row r="72" spans="1:17" x14ac:dyDescent="0.25">
      <c r="A72" t="s">
        <v>16</v>
      </c>
      <c r="B72">
        <v>4</v>
      </c>
      <c r="C72">
        <v>1.68</v>
      </c>
      <c r="D72">
        <v>2010</v>
      </c>
      <c r="E72" t="s">
        <v>29</v>
      </c>
      <c r="F72">
        <v>2010308</v>
      </c>
      <c r="G72">
        <v>2011077</v>
      </c>
      <c r="H72">
        <v>18846</v>
      </c>
      <c r="I72">
        <v>4086</v>
      </c>
      <c r="J72">
        <v>50</v>
      </c>
      <c r="K72">
        <v>576</v>
      </c>
      <c r="L72">
        <v>0</v>
      </c>
      <c r="M72">
        <v>100</v>
      </c>
      <c r="N72">
        <v>18.253399999999999</v>
      </c>
      <c r="O72">
        <v>7.5509719999999998</v>
      </c>
      <c r="P72">
        <v>13.2966</v>
      </c>
      <c r="Q72">
        <v>89882</v>
      </c>
    </row>
    <row r="73" spans="1:17" x14ac:dyDescent="0.25">
      <c r="A73" t="s">
        <v>16</v>
      </c>
      <c r="B73">
        <v>4</v>
      </c>
      <c r="C73">
        <v>1.68</v>
      </c>
      <c r="D73">
        <v>2011</v>
      </c>
      <c r="E73" t="s">
        <v>29</v>
      </c>
      <c r="F73">
        <v>2011308</v>
      </c>
      <c r="G73">
        <v>2012091</v>
      </c>
      <c r="H73">
        <v>9317</v>
      </c>
      <c r="I73">
        <v>1836</v>
      </c>
      <c r="J73">
        <v>50</v>
      </c>
      <c r="K73">
        <v>273</v>
      </c>
      <c r="L73">
        <v>0</v>
      </c>
      <c r="M73">
        <v>100</v>
      </c>
      <c r="N73">
        <v>18.335609999999999</v>
      </c>
      <c r="O73">
        <v>4.3287810000000002</v>
      </c>
      <c r="P73">
        <v>14.3278</v>
      </c>
      <c r="Q73">
        <v>40385</v>
      </c>
    </row>
    <row r="74" spans="1:17" x14ac:dyDescent="0.25">
      <c r="A74" t="s">
        <v>16</v>
      </c>
      <c r="B74">
        <v>4</v>
      </c>
      <c r="C74">
        <v>1.68</v>
      </c>
      <c r="D74">
        <v>2012</v>
      </c>
      <c r="E74" t="s">
        <v>29</v>
      </c>
      <c r="F74">
        <v>2012308</v>
      </c>
      <c r="G74">
        <v>2013078</v>
      </c>
      <c r="H74">
        <v>20357</v>
      </c>
      <c r="I74">
        <v>4795</v>
      </c>
      <c r="J74">
        <v>50</v>
      </c>
      <c r="K74">
        <v>595</v>
      </c>
      <c r="L74">
        <v>0</v>
      </c>
      <c r="M74">
        <v>100</v>
      </c>
      <c r="N74">
        <v>17.707249999999998</v>
      </c>
      <c r="O74">
        <v>6.1681160000000004</v>
      </c>
      <c r="P74">
        <v>13.796620000000001</v>
      </c>
      <c r="Q74">
        <v>105483</v>
      </c>
    </row>
    <row r="75" spans="1:17" x14ac:dyDescent="0.25">
      <c r="A75" t="s">
        <v>16</v>
      </c>
      <c r="B75">
        <v>4</v>
      </c>
      <c r="C75">
        <v>1.68</v>
      </c>
      <c r="D75">
        <v>2013</v>
      </c>
      <c r="E75" t="s">
        <v>29</v>
      </c>
      <c r="F75">
        <v>2013308</v>
      </c>
      <c r="G75">
        <v>2014078</v>
      </c>
      <c r="H75">
        <v>17276</v>
      </c>
      <c r="I75">
        <v>3756</v>
      </c>
      <c r="J75">
        <v>50</v>
      </c>
      <c r="K75">
        <v>537</v>
      </c>
      <c r="L75">
        <v>0</v>
      </c>
      <c r="M75">
        <v>100</v>
      </c>
      <c r="N75">
        <v>18.616499999999998</v>
      </c>
      <c r="O75">
        <v>5.965535</v>
      </c>
      <c r="P75">
        <v>14.380100000000001</v>
      </c>
      <c r="Q75">
        <v>82625</v>
      </c>
    </row>
    <row r="76" spans="1:17" x14ac:dyDescent="0.25">
      <c r="A76" t="s">
        <v>16</v>
      </c>
      <c r="B76">
        <v>4</v>
      </c>
      <c r="C76">
        <v>1.68</v>
      </c>
      <c r="D76">
        <v>2014</v>
      </c>
      <c r="E76" t="s">
        <v>29</v>
      </c>
      <c r="F76">
        <v>2014308</v>
      </c>
      <c r="G76">
        <v>2015087</v>
      </c>
      <c r="H76">
        <v>16145</v>
      </c>
      <c r="I76">
        <v>4730</v>
      </c>
      <c r="J76">
        <v>50</v>
      </c>
      <c r="K76">
        <v>392</v>
      </c>
      <c r="L76">
        <v>0</v>
      </c>
      <c r="M76">
        <v>100</v>
      </c>
      <c r="N76">
        <v>19.010249999999999</v>
      </c>
      <c r="O76">
        <v>5.658048</v>
      </c>
      <c r="P76">
        <v>14.69415</v>
      </c>
      <c r="Q76">
        <v>104064</v>
      </c>
    </row>
    <row r="77" spans="1:17" x14ac:dyDescent="0.25">
      <c r="A77" t="s">
        <v>16</v>
      </c>
      <c r="B77">
        <v>4</v>
      </c>
      <c r="C77">
        <v>1.68</v>
      </c>
      <c r="D77">
        <v>2015</v>
      </c>
      <c r="E77" t="s">
        <v>29</v>
      </c>
      <c r="F77">
        <v>2015308</v>
      </c>
      <c r="G77">
        <v>2016073</v>
      </c>
      <c r="H77">
        <v>18560</v>
      </c>
      <c r="I77">
        <v>3613</v>
      </c>
      <c r="J77">
        <v>50</v>
      </c>
      <c r="K77">
        <v>570</v>
      </c>
      <c r="L77">
        <v>0</v>
      </c>
      <c r="M77">
        <v>100</v>
      </c>
      <c r="N77">
        <v>18.074760000000001</v>
      </c>
      <c r="O77">
        <v>6.1184459999999996</v>
      </c>
      <c r="P77">
        <v>13.36408</v>
      </c>
      <c r="Q77">
        <v>79487</v>
      </c>
    </row>
    <row r="78" spans="1:17" x14ac:dyDescent="0.25">
      <c r="A78" t="s">
        <v>16</v>
      </c>
      <c r="B78">
        <v>4</v>
      </c>
      <c r="C78">
        <v>1.68</v>
      </c>
      <c r="D78">
        <v>2016</v>
      </c>
      <c r="E78" t="s">
        <v>29</v>
      </c>
      <c r="F78">
        <v>2016308</v>
      </c>
      <c r="G78">
        <v>2017074</v>
      </c>
      <c r="H78">
        <v>18706</v>
      </c>
      <c r="I78">
        <v>4577</v>
      </c>
      <c r="J78">
        <v>50</v>
      </c>
      <c r="K78">
        <v>390</v>
      </c>
      <c r="L78">
        <v>0</v>
      </c>
      <c r="M78">
        <v>100</v>
      </c>
      <c r="N78">
        <v>19.426570000000002</v>
      </c>
      <c r="O78">
        <v>6.0198070000000001</v>
      </c>
      <c r="P78">
        <v>14.56329</v>
      </c>
      <c r="Q78">
        <v>100705</v>
      </c>
    </row>
    <row r="79" spans="1:17" x14ac:dyDescent="0.25">
      <c r="A79" t="s">
        <v>16</v>
      </c>
      <c r="B79">
        <v>4</v>
      </c>
      <c r="C79">
        <v>1.68</v>
      </c>
      <c r="D79">
        <v>2017</v>
      </c>
      <c r="E79" t="s">
        <v>29</v>
      </c>
      <c r="F79">
        <v>2017308</v>
      </c>
      <c r="G79">
        <v>2018082</v>
      </c>
      <c r="H79">
        <v>18758</v>
      </c>
      <c r="I79">
        <v>3256</v>
      </c>
      <c r="J79">
        <v>50</v>
      </c>
      <c r="K79">
        <v>412</v>
      </c>
      <c r="L79">
        <v>0</v>
      </c>
      <c r="M79">
        <v>100</v>
      </c>
      <c r="N79">
        <v>17.59029</v>
      </c>
      <c r="O79">
        <v>5.3165040000000001</v>
      </c>
      <c r="P79">
        <v>13.90631</v>
      </c>
      <c r="Q79">
        <v>71640</v>
      </c>
    </row>
    <row r="80" spans="1:17" x14ac:dyDescent="0.25">
      <c r="A80" t="s">
        <v>16</v>
      </c>
      <c r="B80">
        <v>4</v>
      </c>
      <c r="C80">
        <v>1.68</v>
      </c>
      <c r="D80">
        <v>2018</v>
      </c>
      <c r="E80" t="s">
        <v>29</v>
      </c>
      <c r="F80">
        <v>2018308</v>
      </c>
      <c r="G80">
        <v>2019080</v>
      </c>
      <c r="H80">
        <v>13241</v>
      </c>
      <c r="I80">
        <v>2721</v>
      </c>
      <c r="J80">
        <v>50</v>
      </c>
      <c r="K80">
        <v>293</v>
      </c>
      <c r="L80">
        <v>0</v>
      </c>
      <c r="M80">
        <v>100</v>
      </c>
      <c r="N80">
        <v>19.478639999999999</v>
      </c>
      <c r="O80">
        <v>5.3257279999999998</v>
      </c>
      <c r="P80">
        <v>15.315049999999999</v>
      </c>
      <c r="Q80">
        <v>59871</v>
      </c>
    </row>
    <row r="81" spans="1:17" x14ac:dyDescent="0.25">
      <c r="A81" t="s">
        <v>16</v>
      </c>
      <c r="B81">
        <v>4</v>
      </c>
      <c r="C81">
        <v>1.68</v>
      </c>
      <c r="D81">
        <v>2019</v>
      </c>
      <c r="E81" t="s">
        <v>29</v>
      </c>
      <c r="F81">
        <v>2019308</v>
      </c>
      <c r="G81">
        <v>2020064</v>
      </c>
      <c r="H81">
        <v>15343</v>
      </c>
      <c r="I81">
        <v>3402</v>
      </c>
      <c r="J81">
        <v>50</v>
      </c>
      <c r="K81">
        <v>398</v>
      </c>
      <c r="L81">
        <v>0</v>
      </c>
      <c r="M81">
        <v>100</v>
      </c>
      <c r="N81">
        <v>19.013169999999999</v>
      </c>
      <c r="O81">
        <v>7.3853650000000002</v>
      </c>
      <c r="P81">
        <v>13.46683</v>
      </c>
      <c r="Q81">
        <v>74833</v>
      </c>
    </row>
    <row r="82" spans="1:17" x14ac:dyDescent="0.25">
      <c r="A82" t="s">
        <v>16</v>
      </c>
      <c r="B82">
        <v>5</v>
      </c>
      <c r="C82">
        <v>1.49</v>
      </c>
      <c r="D82">
        <v>2000</v>
      </c>
      <c r="E82" t="s">
        <v>28</v>
      </c>
      <c r="F82">
        <v>2000308</v>
      </c>
      <c r="G82">
        <v>2001062</v>
      </c>
      <c r="H82">
        <v>17376</v>
      </c>
      <c r="I82">
        <v>2388</v>
      </c>
      <c r="J82">
        <v>100</v>
      </c>
      <c r="K82">
        <v>641</v>
      </c>
      <c r="L82">
        <v>0</v>
      </c>
      <c r="M82">
        <v>125</v>
      </c>
      <c r="N82">
        <v>18.028639999999999</v>
      </c>
      <c r="O82">
        <v>8.0300960000000003</v>
      </c>
      <c r="P82">
        <v>13.62233</v>
      </c>
      <c r="Q82">
        <v>42984</v>
      </c>
    </row>
    <row r="83" spans="1:17" x14ac:dyDescent="0.25">
      <c r="A83" t="s">
        <v>16</v>
      </c>
      <c r="B83">
        <v>5</v>
      </c>
      <c r="C83">
        <v>1.49</v>
      </c>
      <c r="D83">
        <v>2001</v>
      </c>
      <c r="E83" t="s">
        <v>28</v>
      </c>
      <c r="F83">
        <v>2001308</v>
      </c>
      <c r="G83">
        <v>2002082</v>
      </c>
      <c r="H83">
        <v>23057</v>
      </c>
      <c r="I83">
        <v>3645</v>
      </c>
      <c r="J83">
        <v>100</v>
      </c>
      <c r="K83">
        <v>445</v>
      </c>
      <c r="L83">
        <v>0</v>
      </c>
      <c r="M83">
        <v>125</v>
      </c>
      <c r="N83">
        <v>17.575240000000001</v>
      </c>
      <c r="O83">
        <v>5.6582520000000001</v>
      </c>
      <c r="P83">
        <v>14.53107</v>
      </c>
      <c r="Q83">
        <v>65618</v>
      </c>
    </row>
    <row r="84" spans="1:17" x14ac:dyDescent="0.25">
      <c r="A84" t="s">
        <v>16</v>
      </c>
      <c r="B84">
        <v>5</v>
      </c>
      <c r="C84">
        <v>1.49</v>
      </c>
      <c r="D84">
        <v>2002</v>
      </c>
      <c r="E84" t="s">
        <v>28</v>
      </c>
      <c r="F84">
        <v>2002308</v>
      </c>
      <c r="G84">
        <v>2003072</v>
      </c>
      <c r="H84">
        <v>3976</v>
      </c>
      <c r="I84">
        <v>562</v>
      </c>
      <c r="J84">
        <v>100</v>
      </c>
      <c r="K84">
        <v>183</v>
      </c>
      <c r="L84">
        <v>0</v>
      </c>
      <c r="M84">
        <v>125</v>
      </c>
      <c r="N84">
        <v>17.995629999999998</v>
      </c>
      <c r="O84">
        <v>7.088349</v>
      </c>
      <c r="P84">
        <v>13.651450000000001</v>
      </c>
      <c r="Q84">
        <v>10111</v>
      </c>
    </row>
    <row r="85" spans="1:17" x14ac:dyDescent="0.25">
      <c r="A85" t="s">
        <v>16</v>
      </c>
      <c r="B85">
        <v>5</v>
      </c>
      <c r="C85">
        <v>1.49</v>
      </c>
      <c r="D85">
        <v>2003</v>
      </c>
      <c r="E85" t="s">
        <v>28</v>
      </c>
      <c r="F85">
        <v>2003308</v>
      </c>
      <c r="G85">
        <v>2004078</v>
      </c>
      <c r="H85">
        <v>23623</v>
      </c>
      <c r="I85">
        <v>3363</v>
      </c>
      <c r="J85">
        <v>100</v>
      </c>
      <c r="K85">
        <v>502</v>
      </c>
      <c r="L85">
        <v>0</v>
      </c>
      <c r="M85">
        <v>125</v>
      </c>
      <c r="N85">
        <v>16.806799999999999</v>
      </c>
      <c r="O85">
        <v>6.8432019999999998</v>
      </c>
      <c r="P85">
        <v>13.43253</v>
      </c>
      <c r="Q85">
        <v>60527</v>
      </c>
    </row>
    <row r="86" spans="1:17" x14ac:dyDescent="0.25">
      <c r="A86" t="s">
        <v>16</v>
      </c>
      <c r="B86">
        <v>5</v>
      </c>
      <c r="C86">
        <v>1.49</v>
      </c>
      <c r="D86">
        <v>2004</v>
      </c>
      <c r="E86" t="s">
        <v>28</v>
      </c>
      <c r="F86">
        <v>2004308</v>
      </c>
      <c r="G86">
        <v>2005094</v>
      </c>
      <c r="H86">
        <v>12827</v>
      </c>
      <c r="I86">
        <v>1643</v>
      </c>
      <c r="J86">
        <v>100</v>
      </c>
      <c r="K86">
        <v>321</v>
      </c>
      <c r="L86">
        <v>0</v>
      </c>
      <c r="M86">
        <v>125</v>
      </c>
      <c r="N86">
        <v>18.451689999999999</v>
      </c>
      <c r="O86">
        <v>3.9579710000000001</v>
      </c>
      <c r="P86">
        <v>15.298550000000001</v>
      </c>
      <c r="Q86">
        <v>29579</v>
      </c>
    </row>
    <row r="87" spans="1:17" x14ac:dyDescent="0.25">
      <c r="A87" t="s">
        <v>16</v>
      </c>
      <c r="B87">
        <v>5</v>
      </c>
      <c r="C87">
        <v>1.49</v>
      </c>
      <c r="D87">
        <v>2005</v>
      </c>
      <c r="E87" t="s">
        <v>28</v>
      </c>
      <c r="F87">
        <v>2005308</v>
      </c>
      <c r="G87">
        <v>2006088</v>
      </c>
      <c r="H87">
        <v>19217</v>
      </c>
      <c r="I87">
        <v>4493</v>
      </c>
      <c r="J87">
        <v>100</v>
      </c>
      <c r="K87">
        <v>344</v>
      </c>
      <c r="L87">
        <v>0</v>
      </c>
      <c r="M87">
        <v>125</v>
      </c>
      <c r="N87">
        <v>17.985859999999999</v>
      </c>
      <c r="O87">
        <v>5.5063409999999999</v>
      </c>
      <c r="P87">
        <v>14.232200000000001</v>
      </c>
      <c r="Q87">
        <v>80868</v>
      </c>
    </row>
    <row r="88" spans="1:17" x14ac:dyDescent="0.25">
      <c r="A88" t="s">
        <v>16</v>
      </c>
      <c r="B88">
        <v>5</v>
      </c>
      <c r="C88">
        <v>1.49</v>
      </c>
      <c r="D88">
        <v>2006</v>
      </c>
      <c r="E88" t="s">
        <v>28</v>
      </c>
      <c r="F88">
        <v>2006308</v>
      </c>
      <c r="G88">
        <v>2007080</v>
      </c>
      <c r="H88">
        <v>23490</v>
      </c>
      <c r="I88">
        <v>4216</v>
      </c>
      <c r="J88">
        <v>100</v>
      </c>
      <c r="K88">
        <v>571</v>
      </c>
      <c r="L88">
        <v>0</v>
      </c>
      <c r="M88">
        <v>125</v>
      </c>
      <c r="N88">
        <v>17.828009999999999</v>
      </c>
      <c r="O88">
        <v>6.246861</v>
      </c>
      <c r="P88">
        <v>13.635260000000001</v>
      </c>
      <c r="Q88">
        <v>75895</v>
      </c>
    </row>
    <row r="89" spans="1:17" x14ac:dyDescent="0.25">
      <c r="A89" t="s">
        <v>16</v>
      </c>
      <c r="B89">
        <v>5</v>
      </c>
      <c r="C89">
        <v>1.49</v>
      </c>
      <c r="D89">
        <v>2007</v>
      </c>
      <c r="E89" t="s">
        <v>28</v>
      </c>
      <c r="F89">
        <v>2007308</v>
      </c>
      <c r="G89">
        <v>2008076</v>
      </c>
      <c r="H89">
        <v>22200</v>
      </c>
      <c r="I89">
        <v>3427</v>
      </c>
      <c r="J89">
        <v>100</v>
      </c>
      <c r="K89">
        <v>464</v>
      </c>
      <c r="L89">
        <v>0</v>
      </c>
      <c r="M89">
        <v>125</v>
      </c>
      <c r="N89">
        <v>18.112200000000001</v>
      </c>
      <c r="O89">
        <v>5.5224399999999996</v>
      </c>
      <c r="P89">
        <v>13.54927</v>
      </c>
      <c r="Q89">
        <v>61687</v>
      </c>
    </row>
    <row r="90" spans="1:17" x14ac:dyDescent="0.25">
      <c r="A90" t="s">
        <v>16</v>
      </c>
      <c r="B90">
        <v>5</v>
      </c>
      <c r="C90">
        <v>1.49</v>
      </c>
      <c r="D90">
        <v>2008</v>
      </c>
      <c r="E90" t="s">
        <v>28</v>
      </c>
      <c r="F90">
        <v>2008308</v>
      </c>
      <c r="G90">
        <v>2009080</v>
      </c>
      <c r="H90">
        <v>19094</v>
      </c>
      <c r="I90">
        <v>3342</v>
      </c>
      <c r="J90">
        <v>100</v>
      </c>
      <c r="K90">
        <v>334</v>
      </c>
      <c r="L90">
        <v>0</v>
      </c>
      <c r="M90">
        <v>125</v>
      </c>
      <c r="N90">
        <v>18.33689</v>
      </c>
      <c r="O90">
        <v>5.306311</v>
      </c>
      <c r="P90">
        <v>14.15583</v>
      </c>
      <c r="Q90">
        <v>60165</v>
      </c>
    </row>
    <row r="91" spans="1:17" x14ac:dyDescent="0.25">
      <c r="A91" t="s">
        <v>16</v>
      </c>
      <c r="B91">
        <v>5</v>
      </c>
      <c r="C91">
        <v>1.49</v>
      </c>
      <c r="D91">
        <v>2009</v>
      </c>
      <c r="E91" t="s">
        <v>29</v>
      </c>
      <c r="F91">
        <v>2009308</v>
      </c>
      <c r="G91">
        <v>2010080</v>
      </c>
      <c r="H91">
        <v>18605</v>
      </c>
      <c r="I91">
        <v>3360</v>
      </c>
      <c r="J91">
        <v>100</v>
      </c>
      <c r="K91">
        <v>732</v>
      </c>
      <c r="L91">
        <v>0</v>
      </c>
      <c r="M91">
        <v>125</v>
      </c>
      <c r="N91">
        <v>17.631550000000001</v>
      </c>
      <c r="O91">
        <v>7.0320410000000004</v>
      </c>
      <c r="P91">
        <v>13.214079999999999</v>
      </c>
      <c r="Q91">
        <v>60479</v>
      </c>
    </row>
    <row r="92" spans="1:17" x14ac:dyDescent="0.25">
      <c r="A92" t="s">
        <v>16</v>
      </c>
      <c r="B92">
        <v>5</v>
      </c>
      <c r="C92">
        <v>1.49</v>
      </c>
      <c r="D92">
        <v>2010</v>
      </c>
      <c r="E92" t="s">
        <v>29</v>
      </c>
      <c r="F92">
        <v>2010308</v>
      </c>
      <c r="G92">
        <v>2011077</v>
      </c>
      <c r="H92">
        <v>19528</v>
      </c>
      <c r="I92">
        <v>4325</v>
      </c>
      <c r="J92">
        <v>100</v>
      </c>
      <c r="K92">
        <v>576</v>
      </c>
      <c r="L92">
        <v>0</v>
      </c>
      <c r="M92">
        <v>125</v>
      </c>
      <c r="N92">
        <v>18.253399999999999</v>
      </c>
      <c r="O92">
        <v>7.5509719999999998</v>
      </c>
      <c r="P92">
        <v>13.2966</v>
      </c>
      <c r="Q92">
        <v>77856</v>
      </c>
    </row>
    <row r="93" spans="1:17" x14ac:dyDescent="0.25">
      <c r="A93" t="s">
        <v>16</v>
      </c>
      <c r="B93">
        <v>5</v>
      </c>
      <c r="C93">
        <v>1.49</v>
      </c>
      <c r="D93">
        <v>2011</v>
      </c>
      <c r="E93" t="s">
        <v>29</v>
      </c>
      <c r="F93">
        <v>2011308</v>
      </c>
      <c r="G93">
        <v>2012091</v>
      </c>
      <c r="H93">
        <v>11440</v>
      </c>
      <c r="I93">
        <v>2243</v>
      </c>
      <c r="J93">
        <v>100</v>
      </c>
      <c r="K93">
        <v>273</v>
      </c>
      <c r="L93">
        <v>0</v>
      </c>
      <c r="M93">
        <v>125</v>
      </c>
      <c r="N93">
        <v>18.335609999999999</v>
      </c>
      <c r="O93">
        <v>4.3287810000000002</v>
      </c>
      <c r="P93">
        <v>14.3278</v>
      </c>
      <c r="Q93">
        <v>40371</v>
      </c>
    </row>
    <row r="94" spans="1:17" x14ac:dyDescent="0.25">
      <c r="A94" t="s">
        <v>16</v>
      </c>
      <c r="B94">
        <v>5</v>
      </c>
      <c r="C94">
        <v>1.49</v>
      </c>
      <c r="D94">
        <v>2012</v>
      </c>
      <c r="E94" t="s">
        <v>29</v>
      </c>
      <c r="F94">
        <v>2012308</v>
      </c>
      <c r="G94">
        <v>2013078</v>
      </c>
      <c r="H94">
        <v>21766</v>
      </c>
      <c r="I94">
        <v>4811</v>
      </c>
      <c r="J94">
        <v>100</v>
      </c>
      <c r="K94">
        <v>595</v>
      </c>
      <c r="L94">
        <v>0</v>
      </c>
      <c r="M94">
        <v>125</v>
      </c>
      <c r="N94">
        <v>17.707249999999998</v>
      </c>
      <c r="O94">
        <v>6.1681160000000004</v>
      </c>
      <c r="P94">
        <v>13.796620000000001</v>
      </c>
      <c r="Q94">
        <v>86596</v>
      </c>
    </row>
    <row r="95" spans="1:17" x14ac:dyDescent="0.25">
      <c r="A95" t="s">
        <v>16</v>
      </c>
      <c r="B95">
        <v>5</v>
      </c>
      <c r="C95">
        <v>1.49</v>
      </c>
      <c r="D95">
        <v>2013</v>
      </c>
      <c r="E95" t="s">
        <v>29</v>
      </c>
      <c r="F95">
        <v>2013308</v>
      </c>
      <c r="G95">
        <v>2014078</v>
      </c>
      <c r="H95">
        <v>17635</v>
      </c>
      <c r="I95">
        <v>3780</v>
      </c>
      <c r="J95">
        <v>100</v>
      </c>
      <c r="K95">
        <v>537</v>
      </c>
      <c r="L95">
        <v>0</v>
      </c>
      <c r="M95">
        <v>125</v>
      </c>
      <c r="N95">
        <v>18.616499999999998</v>
      </c>
      <c r="O95">
        <v>5.965535</v>
      </c>
      <c r="P95">
        <v>14.380100000000001</v>
      </c>
      <c r="Q95">
        <v>68047</v>
      </c>
    </row>
    <row r="96" spans="1:17" x14ac:dyDescent="0.25">
      <c r="A96" t="s">
        <v>16</v>
      </c>
      <c r="B96">
        <v>5</v>
      </c>
      <c r="C96">
        <v>1.49</v>
      </c>
      <c r="D96">
        <v>2014</v>
      </c>
      <c r="E96" t="s">
        <v>29</v>
      </c>
      <c r="F96">
        <v>2014308</v>
      </c>
      <c r="G96">
        <v>2015087</v>
      </c>
      <c r="H96">
        <v>19403</v>
      </c>
      <c r="I96">
        <v>4893</v>
      </c>
      <c r="J96">
        <v>100</v>
      </c>
      <c r="K96">
        <v>392</v>
      </c>
      <c r="L96">
        <v>0</v>
      </c>
      <c r="M96">
        <v>125</v>
      </c>
      <c r="N96">
        <v>19.010249999999999</v>
      </c>
      <c r="O96">
        <v>5.658048</v>
      </c>
      <c r="P96">
        <v>14.69415</v>
      </c>
      <c r="Q96">
        <v>88077</v>
      </c>
    </row>
    <row r="97" spans="1:17" x14ac:dyDescent="0.25">
      <c r="A97" t="s">
        <v>16</v>
      </c>
      <c r="B97">
        <v>5</v>
      </c>
      <c r="C97">
        <v>1.49</v>
      </c>
      <c r="D97">
        <v>2015</v>
      </c>
      <c r="E97" t="s">
        <v>29</v>
      </c>
      <c r="F97">
        <v>2015308</v>
      </c>
      <c r="G97">
        <v>2016073</v>
      </c>
      <c r="H97">
        <v>18717</v>
      </c>
      <c r="I97">
        <v>3645</v>
      </c>
      <c r="J97">
        <v>100</v>
      </c>
      <c r="K97">
        <v>570</v>
      </c>
      <c r="L97">
        <v>0</v>
      </c>
      <c r="M97">
        <v>125</v>
      </c>
      <c r="N97">
        <v>18.074760000000001</v>
      </c>
      <c r="O97">
        <v>6.1184459999999996</v>
      </c>
      <c r="P97">
        <v>13.36408</v>
      </c>
      <c r="Q97">
        <v>65602</v>
      </c>
    </row>
    <row r="98" spans="1:17" x14ac:dyDescent="0.25">
      <c r="A98" t="s">
        <v>16</v>
      </c>
      <c r="B98">
        <v>5</v>
      </c>
      <c r="C98">
        <v>1.49</v>
      </c>
      <c r="D98">
        <v>2016</v>
      </c>
      <c r="E98" t="s">
        <v>29</v>
      </c>
      <c r="F98">
        <v>2016308</v>
      </c>
      <c r="G98">
        <v>2017074</v>
      </c>
      <c r="H98">
        <v>19755</v>
      </c>
      <c r="I98">
        <v>4593</v>
      </c>
      <c r="J98">
        <v>100</v>
      </c>
      <c r="K98">
        <v>390</v>
      </c>
      <c r="L98">
        <v>0</v>
      </c>
      <c r="M98">
        <v>125</v>
      </c>
      <c r="N98">
        <v>19.426570000000002</v>
      </c>
      <c r="O98">
        <v>6.0198070000000001</v>
      </c>
      <c r="P98">
        <v>14.56329</v>
      </c>
      <c r="Q98">
        <v>82671</v>
      </c>
    </row>
    <row r="99" spans="1:17" x14ac:dyDescent="0.25">
      <c r="A99" t="s">
        <v>16</v>
      </c>
      <c r="B99">
        <v>5</v>
      </c>
      <c r="C99">
        <v>1.49</v>
      </c>
      <c r="D99">
        <v>2017</v>
      </c>
      <c r="E99" t="s">
        <v>29</v>
      </c>
      <c r="F99">
        <v>2017308</v>
      </c>
      <c r="G99">
        <v>2018082</v>
      </c>
      <c r="H99">
        <v>21554</v>
      </c>
      <c r="I99">
        <v>3814</v>
      </c>
      <c r="J99">
        <v>100</v>
      </c>
      <c r="K99">
        <v>412</v>
      </c>
      <c r="L99">
        <v>0</v>
      </c>
      <c r="M99">
        <v>125</v>
      </c>
      <c r="N99">
        <v>17.59029</v>
      </c>
      <c r="O99">
        <v>5.3165040000000001</v>
      </c>
      <c r="P99">
        <v>13.90631</v>
      </c>
      <c r="Q99">
        <v>68645</v>
      </c>
    </row>
    <row r="100" spans="1:17" x14ac:dyDescent="0.25">
      <c r="A100" t="s">
        <v>16</v>
      </c>
      <c r="B100">
        <v>5</v>
      </c>
      <c r="C100">
        <v>1.49</v>
      </c>
      <c r="D100">
        <v>2018</v>
      </c>
      <c r="E100" t="s">
        <v>29</v>
      </c>
      <c r="F100">
        <v>2018308</v>
      </c>
      <c r="G100">
        <v>2019080</v>
      </c>
      <c r="H100">
        <v>17793</v>
      </c>
      <c r="I100">
        <v>3486</v>
      </c>
      <c r="J100">
        <v>100</v>
      </c>
      <c r="K100">
        <v>293</v>
      </c>
      <c r="L100">
        <v>0</v>
      </c>
      <c r="M100">
        <v>125</v>
      </c>
      <c r="N100">
        <v>19.478639999999999</v>
      </c>
      <c r="O100">
        <v>5.3257279999999998</v>
      </c>
      <c r="P100">
        <v>15.315049999999999</v>
      </c>
      <c r="Q100">
        <v>62742</v>
      </c>
    </row>
    <row r="101" spans="1:17" x14ac:dyDescent="0.25">
      <c r="A101" t="s">
        <v>16</v>
      </c>
      <c r="B101">
        <v>5</v>
      </c>
      <c r="C101">
        <v>1.49</v>
      </c>
      <c r="D101">
        <v>2019</v>
      </c>
      <c r="E101" t="s">
        <v>29</v>
      </c>
      <c r="F101">
        <v>2019308</v>
      </c>
      <c r="G101">
        <v>2020064</v>
      </c>
      <c r="H101">
        <v>15591</v>
      </c>
      <c r="I101">
        <v>3455</v>
      </c>
      <c r="J101">
        <v>100</v>
      </c>
      <c r="K101">
        <v>398</v>
      </c>
      <c r="L101">
        <v>0</v>
      </c>
      <c r="M101">
        <v>125</v>
      </c>
      <c r="N101">
        <v>19.013169999999999</v>
      </c>
      <c r="O101">
        <v>7.3853650000000002</v>
      </c>
      <c r="P101">
        <v>13.46683</v>
      </c>
      <c r="Q101">
        <v>62192</v>
      </c>
    </row>
    <row r="102" spans="1:17" x14ac:dyDescent="0.25">
      <c r="A102" t="s">
        <v>16</v>
      </c>
      <c r="B102">
        <v>6</v>
      </c>
      <c r="C102">
        <v>1.41</v>
      </c>
      <c r="D102">
        <v>2000</v>
      </c>
      <c r="E102" t="s">
        <v>28</v>
      </c>
      <c r="F102">
        <v>2000339</v>
      </c>
      <c r="G102">
        <v>2001089</v>
      </c>
      <c r="H102">
        <v>18508</v>
      </c>
      <c r="I102">
        <v>2635</v>
      </c>
      <c r="J102">
        <v>100</v>
      </c>
      <c r="K102">
        <v>641</v>
      </c>
      <c r="L102">
        <v>0</v>
      </c>
      <c r="M102">
        <v>125</v>
      </c>
      <c r="N102">
        <v>18.32386</v>
      </c>
      <c r="O102">
        <v>8.1306799999999999</v>
      </c>
      <c r="P102">
        <v>14.706250000000001</v>
      </c>
      <c r="Q102">
        <v>57969</v>
      </c>
    </row>
    <row r="103" spans="1:17" x14ac:dyDescent="0.25">
      <c r="A103" t="s">
        <v>16</v>
      </c>
      <c r="B103">
        <v>6</v>
      </c>
      <c r="C103">
        <v>1.41</v>
      </c>
      <c r="D103">
        <v>2001</v>
      </c>
      <c r="E103" t="s">
        <v>28</v>
      </c>
      <c r="F103">
        <v>2001339</v>
      </c>
      <c r="G103">
        <v>2002100</v>
      </c>
      <c r="H103">
        <v>19718</v>
      </c>
      <c r="I103">
        <v>3382</v>
      </c>
      <c r="J103">
        <v>100</v>
      </c>
      <c r="K103">
        <v>445</v>
      </c>
      <c r="L103">
        <v>0</v>
      </c>
      <c r="M103">
        <v>125</v>
      </c>
      <c r="N103">
        <v>18.194800000000001</v>
      </c>
      <c r="O103">
        <v>6.367629</v>
      </c>
      <c r="P103">
        <v>15.50174</v>
      </c>
      <c r="Q103">
        <v>74408</v>
      </c>
    </row>
    <row r="104" spans="1:17" x14ac:dyDescent="0.25">
      <c r="A104" t="s">
        <v>16</v>
      </c>
      <c r="B104">
        <v>6</v>
      </c>
      <c r="C104">
        <v>1.41</v>
      </c>
      <c r="D104">
        <v>2002</v>
      </c>
      <c r="E104" t="s">
        <v>28</v>
      </c>
      <c r="F104">
        <v>2002339</v>
      </c>
      <c r="G104">
        <v>2003096</v>
      </c>
      <c r="H104">
        <v>7229</v>
      </c>
      <c r="I104">
        <v>1213</v>
      </c>
      <c r="J104">
        <v>100</v>
      </c>
      <c r="K104">
        <v>183</v>
      </c>
      <c r="L104">
        <v>0</v>
      </c>
      <c r="M104">
        <v>125</v>
      </c>
      <c r="N104">
        <v>18.493639999999999</v>
      </c>
      <c r="O104">
        <v>7.1520229999999998</v>
      </c>
      <c r="P104">
        <v>14.917339999999999</v>
      </c>
      <c r="Q104">
        <v>26676</v>
      </c>
    </row>
    <row r="105" spans="1:17" x14ac:dyDescent="0.25">
      <c r="A105" t="s">
        <v>16</v>
      </c>
      <c r="B105">
        <v>6</v>
      </c>
      <c r="C105">
        <v>1.41</v>
      </c>
      <c r="D105">
        <v>2003</v>
      </c>
      <c r="E105" t="s">
        <v>28</v>
      </c>
      <c r="F105">
        <v>2003339</v>
      </c>
      <c r="G105">
        <v>2004100</v>
      </c>
      <c r="H105">
        <v>25314</v>
      </c>
      <c r="I105">
        <v>4383</v>
      </c>
      <c r="J105">
        <v>100</v>
      </c>
      <c r="K105">
        <v>502</v>
      </c>
      <c r="L105">
        <v>0</v>
      </c>
      <c r="M105">
        <v>125</v>
      </c>
      <c r="N105">
        <v>17.17643</v>
      </c>
      <c r="O105">
        <v>6.702299</v>
      </c>
      <c r="P105">
        <v>14.68219</v>
      </c>
      <c r="Q105">
        <v>96425</v>
      </c>
    </row>
    <row r="106" spans="1:17" x14ac:dyDescent="0.25">
      <c r="A106" t="s">
        <v>16</v>
      </c>
      <c r="B106">
        <v>6</v>
      </c>
      <c r="C106">
        <v>1.41</v>
      </c>
      <c r="D106">
        <v>2004</v>
      </c>
      <c r="E106" t="s">
        <v>28</v>
      </c>
      <c r="F106">
        <v>2004339</v>
      </c>
      <c r="G106">
        <v>2005112</v>
      </c>
      <c r="H106">
        <v>11945</v>
      </c>
      <c r="I106">
        <v>2094</v>
      </c>
      <c r="J106">
        <v>100</v>
      </c>
      <c r="K106">
        <v>321</v>
      </c>
      <c r="L106">
        <v>0</v>
      </c>
      <c r="M106">
        <v>125</v>
      </c>
      <c r="N106">
        <v>18.942779999999999</v>
      </c>
      <c r="O106">
        <v>4.1294789999999999</v>
      </c>
      <c r="P106">
        <v>16.43815</v>
      </c>
      <c r="Q106">
        <v>46072</v>
      </c>
    </row>
    <row r="107" spans="1:17" x14ac:dyDescent="0.25">
      <c r="A107" t="s">
        <v>16</v>
      </c>
      <c r="B107">
        <v>6</v>
      </c>
      <c r="C107">
        <v>1.41</v>
      </c>
      <c r="D107">
        <v>2005</v>
      </c>
      <c r="E107" t="s">
        <v>28</v>
      </c>
      <c r="F107">
        <v>2005339</v>
      </c>
      <c r="G107">
        <v>2006106</v>
      </c>
      <c r="H107">
        <v>16203</v>
      </c>
      <c r="I107">
        <v>4521</v>
      </c>
      <c r="J107">
        <v>100</v>
      </c>
      <c r="K107">
        <v>344</v>
      </c>
      <c r="L107">
        <v>0</v>
      </c>
      <c r="M107">
        <v>125</v>
      </c>
      <c r="N107">
        <v>18.588370000000001</v>
      </c>
      <c r="O107">
        <v>5.7726740000000003</v>
      </c>
      <c r="P107">
        <v>15.37209</v>
      </c>
      <c r="Q107">
        <v>99453</v>
      </c>
    </row>
    <row r="108" spans="1:17" x14ac:dyDescent="0.25">
      <c r="A108" t="s">
        <v>16</v>
      </c>
      <c r="B108">
        <v>6</v>
      </c>
      <c r="C108">
        <v>1.41</v>
      </c>
      <c r="D108">
        <v>2006</v>
      </c>
      <c r="E108" t="s">
        <v>28</v>
      </c>
      <c r="F108">
        <v>2006339</v>
      </c>
      <c r="G108">
        <v>2007105</v>
      </c>
      <c r="H108">
        <v>22431</v>
      </c>
      <c r="I108">
        <v>3993</v>
      </c>
      <c r="J108">
        <v>100</v>
      </c>
      <c r="K108">
        <v>571</v>
      </c>
      <c r="L108">
        <v>0</v>
      </c>
      <c r="M108">
        <v>125</v>
      </c>
      <c r="N108">
        <v>17.881039999999999</v>
      </c>
      <c r="O108">
        <v>5.8183910000000001</v>
      </c>
      <c r="P108">
        <v>14.802289999999999</v>
      </c>
      <c r="Q108">
        <v>87855</v>
      </c>
    </row>
    <row r="109" spans="1:17" x14ac:dyDescent="0.25">
      <c r="A109" t="s">
        <v>16</v>
      </c>
      <c r="B109">
        <v>6</v>
      </c>
      <c r="C109">
        <v>1.41</v>
      </c>
      <c r="D109">
        <v>2007</v>
      </c>
      <c r="E109" t="s">
        <v>28</v>
      </c>
      <c r="F109">
        <v>2007339</v>
      </c>
      <c r="G109">
        <v>2008097</v>
      </c>
      <c r="H109">
        <v>22238</v>
      </c>
      <c r="I109">
        <v>4229</v>
      </c>
      <c r="J109">
        <v>100</v>
      </c>
      <c r="K109">
        <v>464</v>
      </c>
      <c r="L109">
        <v>0</v>
      </c>
      <c r="M109">
        <v>125</v>
      </c>
      <c r="N109">
        <v>18.524709999999999</v>
      </c>
      <c r="O109">
        <v>6.1454029999999999</v>
      </c>
      <c r="P109">
        <v>14.46035</v>
      </c>
      <c r="Q109">
        <v>93041</v>
      </c>
    </row>
    <row r="110" spans="1:17" x14ac:dyDescent="0.25">
      <c r="A110" t="s">
        <v>16</v>
      </c>
      <c r="B110">
        <v>6</v>
      </c>
      <c r="C110">
        <v>1.41</v>
      </c>
      <c r="D110">
        <v>2008</v>
      </c>
      <c r="E110" t="s">
        <v>28</v>
      </c>
      <c r="F110">
        <v>2008339</v>
      </c>
      <c r="G110">
        <v>2009099</v>
      </c>
      <c r="H110">
        <v>17485</v>
      </c>
      <c r="I110">
        <v>3734</v>
      </c>
      <c r="J110">
        <v>100</v>
      </c>
      <c r="K110">
        <v>334</v>
      </c>
      <c r="L110">
        <v>0</v>
      </c>
      <c r="M110">
        <v>125</v>
      </c>
      <c r="N110">
        <v>18.778410000000001</v>
      </c>
      <c r="O110">
        <v>5.7664780000000002</v>
      </c>
      <c r="P110">
        <v>14.977270000000001</v>
      </c>
      <c r="Q110">
        <v>82154</v>
      </c>
    </row>
    <row r="111" spans="1:17" x14ac:dyDescent="0.25">
      <c r="A111" t="s">
        <v>16</v>
      </c>
      <c r="B111">
        <v>6</v>
      </c>
      <c r="C111">
        <v>1.41</v>
      </c>
      <c r="D111">
        <v>2009</v>
      </c>
      <c r="E111" t="s">
        <v>29</v>
      </c>
      <c r="F111">
        <v>2009339</v>
      </c>
      <c r="G111">
        <v>2010103</v>
      </c>
      <c r="H111">
        <v>19413</v>
      </c>
      <c r="I111">
        <v>3867</v>
      </c>
      <c r="J111">
        <v>100</v>
      </c>
      <c r="K111">
        <v>732</v>
      </c>
      <c r="L111">
        <v>0</v>
      </c>
      <c r="M111">
        <v>125</v>
      </c>
      <c r="N111">
        <v>17.546849999999999</v>
      </c>
      <c r="O111">
        <v>7.0520019999999999</v>
      </c>
      <c r="P111">
        <v>14.197139999999999</v>
      </c>
      <c r="Q111">
        <v>85082</v>
      </c>
    </row>
    <row r="112" spans="1:17" x14ac:dyDescent="0.25">
      <c r="A112" t="s">
        <v>16</v>
      </c>
      <c r="B112">
        <v>6</v>
      </c>
      <c r="C112">
        <v>1.41</v>
      </c>
      <c r="D112">
        <v>2010</v>
      </c>
      <c r="E112" t="s">
        <v>29</v>
      </c>
      <c r="F112">
        <v>2010339</v>
      </c>
      <c r="G112">
        <v>2011098</v>
      </c>
      <c r="H112">
        <v>19599</v>
      </c>
      <c r="I112">
        <v>4226</v>
      </c>
      <c r="J112">
        <v>100</v>
      </c>
      <c r="K112">
        <v>576</v>
      </c>
      <c r="L112">
        <v>0</v>
      </c>
      <c r="M112">
        <v>125</v>
      </c>
      <c r="N112">
        <v>18.879429999999999</v>
      </c>
      <c r="O112">
        <v>7.8028589999999998</v>
      </c>
      <c r="P112">
        <v>14.34343</v>
      </c>
      <c r="Q112">
        <v>92972</v>
      </c>
    </row>
    <row r="113" spans="1:17" x14ac:dyDescent="0.25">
      <c r="A113" t="s">
        <v>16</v>
      </c>
      <c r="B113">
        <v>6</v>
      </c>
      <c r="C113">
        <v>1.41</v>
      </c>
      <c r="D113">
        <v>2011</v>
      </c>
      <c r="E113" t="s">
        <v>29</v>
      </c>
      <c r="F113">
        <v>2011339</v>
      </c>
      <c r="G113">
        <v>2012113</v>
      </c>
      <c r="H113">
        <v>11121</v>
      </c>
      <c r="I113">
        <v>2046</v>
      </c>
      <c r="J113">
        <v>100</v>
      </c>
      <c r="K113">
        <v>273</v>
      </c>
      <c r="L113">
        <v>0</v>
      </c>
      <c r="M113">
        <v>125</v>
      </c>
      <c r="N113">
        <v>18.73237</v>
      </c>
      <c r="O113">
        <v>3.9156070000000001</v>
      </c>
      <c r="P113">
        <v>15.65549</v>
      </c>
      <c r="Q113">
        <v>45019</v>
      </c>
    </row>
    <row r="114" spans="1:17" x14ac:dyDescent="0.25">
      <c r="A114" t="s">
        <v>16</v>
      </c>
      <c r="B114">
        <v>6</v>
      </c>
      <c r="C114">
        <v>1.41</v>
      </c>
      <c r="D114">
        <v>2012</v>
      </c>
      <c r="E114" t="s">
        <v>29</v>
      </c>
      <c r="F114">
        <v>2012339</v>
      </c>
      <c r="G114">
        <v>2013099</v>
      </c>
      <c r="H114">
        <v>21056</v>
      </c>
      <c r="I114">
        <v>4775</v>
      </c>
      <c r="J114">
        <v>100</v>
      </c>
      <c r="K114">
        <v>595</v>
      </c>
      <c r="L114">
        <v>0</v>
      </c>
      <c r="M114">
        <v>125</v>
      </c>
      <c r="N114">
        <v>18.109770000000001</v>
      </c>
      <c r="O114">
        <v>6.2149429999999999</v>
      </c>
      <c r="P114">
        <v>14.978160000000001</v>
      </c>
      <c r="Q114">
        <v>105050</v>
      </c>
    </row>
    <row r="115" spans="1:17" x14ac:dyDescent="0.25">
      <c r="A115" t="s">
        <v>16</v>
      </c>
      <c r="B115">
        <v>6</v>
      </c>
      <c r="C115">
        <v>1.41</v>
      </c>
      <c r="D115">
        <v>2013</v>
      </c>
      <c r="E115" t="s">
        <v>29</v>
      </c>
      <c r="F115">
        <v>2013339</v>
      </c>
      <c r="G115">
        <v>2014096</v>
      </c>
      <c r="H115">
        <v>19398</v>
      </c>
      <c r="I115">
        <v>4568</v>
      </c>
      <c r="J115">
        <v>100</v>
      </c>
      <c r="K115">
        <v>537</v>
      </c>
      <c r="L115">
        <v>0</v>
      </c>
      <c r="M115">
        <v>125</v>
      </c>
      <c r="N115">
        <v>19.203530000000001</v>
      </c>
      <c r="O115">
        <v>7.17</v>
      </c>
      <c r="P115">
        <v>15.28176</v>
      </c>
      <c r="Q115">
        <v>100502</v>
      </c>
    </row>
    <row r="116" spans="1:17" x14ac:dyDescent="0.25">
      <c r="A116" t="s">
        <v>16</v>
      </c>
      <c r="B116">
        <v>6</v>
      </c>
      <c r="C116">
        <v>1.41</v>
      </c>
      <c r="D116">
        <v>2014</v>
      </c>
      <c r="E116" t="s">
        <v>29</v>
      </c>
      <c r="F116">
        <v>2014339</v>
      </c>
      <c r="G116">
        <v>2015105</v>
      </c>
      <c r="H116">
        <v>14113</v>
      </c>
      <c r="I116">
        <v>3967</v>
      </c>
      <c r="J116">
        <v>100</v>
      </c>
      <c r="K116">
        <v>392</v>
      </c>
      <c r="L116">
        <v>0</v>
      </c>
      <c r="M116">
        <v>125</v>
      </c>
      <c r="N116">
        <v>19.462209999999999</v>
      </c>
      <c r="O116">
        <v>5.4459299999999997</v>
      </c>
      <c r="P116">
        <v>15.997680000000001</v>
      </c>
      <c r="Q116">
        <v>87281</v>
      </c>
    </row>
    <row r="117" spans="1:17" x14ac:dyDescent="0.25">
      <c r="A117" t="s">
        <v>16</v>
      </c>
      <c r="B117">
        <v>6</v>
      </c>
      <c r="C117">
        <v>1.41</v>
      </c>
      <c r="D117">
        <v>2015</v>
      </c>
      <c r="E117" t="s">
        <v>29</v>
      </c>
      <c r="F117">
        <v>2015339</v>
      </c>
      <c r="G117">
        <v>2016099</v>
      </c>
      <c r="H117">
        <v>22412</v>
      </c>
      <c r="I117">
        <v>5198</v>
      </c>
      <c r="J117">
        <v>100</v>
      </c>
      <c r="K117">
        <v>570</v>
      </c>
      <c r="L117">
        <v>0</v>
      </c>
      <c r="M117">
        <v>125</v>
      </c>
      <c r="N117">
        <v>17.837569999999999</v>
      </c>
      <c r="O117">
        <v>6.6271680000000002</v>
      </c>
      <c r="P117">
        <v>13.98382</v>
      </c>
      <c r="Q117">
        <v>114358</v>
      </c>
    </row>
    <row r="118" spans="1:17" x14ac:dyDescent="0.25">
      <c r="A118" t="s">
        <v>16</v>
      </c>
      <c r="B118">
        <v>6</v>
      </c>
      <c r="C118">
        <v>1.41</v>
      </c>
      <c r="D118">
        <v>2016</v>
      </c>
      <c r="E118" t="s">
        <v>29</v>
      </c>
      <c r="F118">
        <v>2016339</v>
      </c>
      <c r="G118">
        <v>2017099</v>
      </c>
      <c r="H118">
        <v>19680</v>
      </c>
      <c r="I118">
        <v>5775</v>
      </c>
      <c r="J118">
        <v>100</v>
      </c>
      <c r="K118">
        <v>390</v>
      </c>
      <c r="L118">
        <v>0</v>
      </c>
      <c r="M118">
        <v>125</v>
      </c>
      <c r="N118">
        <v>19.952269999999999</v>
      </c>
      <c r="O118">
        <v>6.1119310000000002</v>
      </c>
      <c r="P118">
        <v>15.62557</v>
      </c>
      <c r="Q118">
        <v>127051</v>
      </c>
    </row>
    <row r="119" spans="1:17" x14ac:dyDescent="0.25">
      <c r="A119" t="s">
        <v>16</v>
      </c>
      <c r="B119">
        <v>6</v>
      </c>
      <c r="C119">
        <v>1.41</v>
      </c>
      <c r="D119">
        <v>2017</v>
      </c>
      <c r="E119" t="s">
        <v>29</v>
      </c>
      <c r="F119">
        <v>2017339</v>
      </c>
      <c r="G119">
        <v>2018108</v>
      </c>
      <c r="H119">
        <v>22215</v>
      </c>
      <c r="I119">
        <v>4897</v>
      </c>
      <c r="J119">
        <v>100</v>
      </c>
      <c r="K119">
        <v>412</v>
      </c>
      <c r="L119">
        <v>0</v>
      </c>
      <c r="M119">
        <v>125</v>
      </c>
      <c r="N119">
        <v>17.491330000000001</v>
      </c>
      <c r="O119">
        <v>5.9109829999999999</v>
      </c>
      <c r="P119">
        <v>14.61619</v>
      </c>
      <c r="Q119">
        <v>107732</v>
      </c>
    </row>
    <row r="120" spans="1:17" x14ac:dyDescent="0.25">
      <c r="A120" t="s">
        <v>16</v>
      </c>
      <c r="B120">
        <v>6</v>
      </c>
      <c r="C120">
        <v>1.41</v>
      </c>
      <c r="D120">
        <v>2018</v>
      </c>
      <c r="E120" t="s">
        <v>29</v>
      </c>
      <c r="F120">
        <v>2018339</v>
      </c>
      <c r="G120">
        <v>2019102</v>
      </c>
      <c r="H120">
        <v>12230</v>
      </c>
      <c r="I120">
        <v>2646</v>
      </c>
      <c r="J120">
        <v>100</v>
      </c>
      <c r="K120">
        <v>293</v>
      </c>
      <c r="L120">
        <v>0</v>
      </c>
      <c r="M120">
        <v>125</v>
      </c>
      <c r="N120">
        <v>20.064730000000001</v>
      </c>
      <c r="O120">
        <v>5.1265900000000002</v>
      </c>
      <c r="P120">
        <v>16.75318</v>
      </c>
      <c r="Q120">
        <v>58205</v>
      </c>
    </row>
    <row r="121" spans="1:17" x14ac:dyDescent="0.25">
      <c r="A121" t="s">
        <v>16</v>
      </c>
      <c r="B121">
        <v>6</v>
      </c>
      <c r="C121">
        <v>1.41</v>
      </c>
      <c r="D121">
        <v>2019</v>
      </c>
      <c r="E121" t="s">
        <v>29</v>
      </c>
      <c r="F121">
        <v>2019339</v>
      </c>
      <c r="G121">
        <v>2020091</v>
      </c>
      <c r="H121">
        <v>18949</v>
      </c>
      <c r="I121">
        <v>3899</v>
      </c>
      <c r="J121">
        <v>100</v>
      </c>
      <c r="K121">
        <v>398</v>
      </c>
      <c r="L121">
        <v>0</v>
      </c>
      <c r="M121">
        <v>125</v>
      </c>
      <c r="N121">
        <v>19.624860000000002</v>
      </c>
      <c r="O121">
        <v>7.5219639999999997</v>
      </c>
      <c r="P121">
        <v>14.536989999999999</v>
      </c>
      <c r="Q121">
        <v>85782</v>
      </c>
    </row>
    <row r="122" spans="1:17" x14ac:dyDescent="0.25">
      <c r="A122" t="s">
        <v>16</v>
      </c>
      <c r="B122">
        <v>7</v>
      </c>
      <c r="C122">
        <v>1.63</v>
      </c>
      <c r="D122">
        <v>2000</v>
      </c>
      <c r="E122" t="s">
        <v>28</v>
      </c>
      <c r="F122">
        <v>2000308</v>
      </c>
      <c r="G122">
        <v>2001062</v>
      </c>
      <c r="H122">
        <v>16843</v>
      </c>
      <c r="I122">
        <v>2281</v>
      </c>
      <c r="J122">
        <v>50</v>
      </c>
      <c r="K122">
        <v>641</v>
      </c>
      <c r="L122">
        <v>0</v>
      </c>
      <c r="M122">
        <v>100</v>
      </c>
      <c r="N122">
        <v>18.028639999999999</v>
      </c>
      <c r="O122">
        <v>8.0300960000000003</v>
      </c>
      <c r="P122">
        <v>13.62233</v>
      </c>
      <c r="Q122">
        <v>45625</v>
      </c>
    </row>
    <row r="123" spans="1:17" x14ac:dyDescent="0.25">
      <c r="A123" t="s">
        <v>16</v>
      </c>
      <c r="B123">
        <v>7</v>
      </c>
      <c r="C123">
        <v>1.63</v>
      </c>
      <c r="D123">
        <v>2001</v>
      </c>
      <c r="E123" t="s">
        <v>28</v>
      </c>
      <c r="F123">
        <v>2001308</v>
      </c>
      <c r="G123">
        <v>2002082</v>
      </c>
      <c r="H123">
        <v>20006</v>
      </c>
      <c r="I123">
        <v>3420</v>
      </c>
      <c r="J123">
        <v>50</v>
      </c>
      <c r="K123">
        <v>445</v>
      </c>
      <c r="L123">
        <v>0</v>
      </c>
      <c r="M123">
        <v>100</v>
      </c>
      <c r="N123">
        <v>17.575240000000001</v>
      </c>
      <c r="O123">
        <v>5.6582520000000001</v>
      </c>
      <c r="P123">
        <v>14.53107</v>
      </c>
      <c r="Q123">
        <v>68397</v>
      </c>
    </row>
    <row r="124" spans="1:17" x14ac:dyDescent="0.25">
      <c r="A124" t="s">
        <v>16</v>
      </c>
      <c r="B124">
        <v>7</v>
      </c>
      <c r="C124">
        <v>1.63</v>
      </c>
      <c r="D124">
        <v>2002</v>
      </c>
      <c r="E124" t="s">
        <v>28</v>
      </c>
      <c r="F124">
        <v>2002308</v>
      </c>
      <c r="G124">
        <v>2003072</v>
      </c>
      <c r="H124">
        <v>3189</v>
      </c>
      <c r="I124">
        <v>451</v>
      </c>
      <c r="J124">
        <v>50</v>
      </c>
      <c r="K124">
        <v>183</v>
      </c>
      <c r="L124">
        <v>0</v>
      </c>
      <c r="M124">
        <v>100</v>
      </c>
      <c r="N124">
        <v>17.995629999999998</v>
      </c>
      <c r="O124">
        <v>7.088349</v>
      </c>
      <c r="P124">
        <v>13.651450000000001</v>
      </c>
      <c r="Q124">
        <v>9018</v>
      </c>
    </row>
    <row r="125" spans="1:17" x14ac:dyDescent="0.25">
      <c r="A125" t="s">
        <v>16</v>
      </c>
      <c r="B125">
        <v>7</v>
      </c>
      <c r="C125">
        <v>1.63</v>
      </c>
      <c r="D125">
        <v>2003</v>
      </c>
      <c r="E125" t="s">
        <v>28</v>
      </c>
      <c r="F125">
        <v>2003308</v>
      </c>
      <c r="G125">
        <v>2004078</v>
      </c>
      <c r="H125">
        <v>22934</v>
      </c>
      <c r="I125">
        <v>3358</v>
      </c>
      <c r="J125">
        <v>50</v>
      </c>
      <c r="K125">
        <v>502</v>
      </c>
      <c r="L125">
        <v>0</v>
      </c>
      <c r="M125">
        <v>100</v>
      </c>
      <c r="N125">
        <v>16.806799999999999</v>
      </c>
      <c r="O125">
        <v>6.8432019999999998</v>
      </c>
      <c r="P125">
        <v>13.43253</v>
      </c>
      <c r="Q125">
        <v>67167</v>
      </c>
    </row>
    <row r="126" spans="1:17" x14ac:dyDescent="0.25">
      <c r="A126" t="s">
        <v>16</v>
      </c>
      <c r="B126">
        <v>7</v>
      </c>
      <c r="C126">
        <v>1.63</v>
      </c>
      <c r="D126">
        <v>2004</v>
      </c>
      <c r="E126" t="s">
        <v>28</v>
      </c>
      <c r="F126">
        <v>2004308</v>
      </c>
      <c r="G126">
        <v>2005094</v>
      </c>
      <c r="H126">
        <v>10480</v>
      </c>
      <c r="I126">
        <v>1653</v>
      </c>
      <c r="J126">
        <v>50</v>
      </c>
      <c r="K126">
        <v>321</v>
      </c>
      <c r="L126">
        <v>0</v>
      </c>
      <c r="M126">
        <v>100</v>
      </c>
      <c r="N126">
        <v>18.451689999999999</v>
      </c>
      <c r="O126">
        <v>3.9579710000000001</v>
      </c>
      <c r="P126">
        <v>15.298550000000001</v>
      </c>
      <c r="Q126">
        <v>33058</v>
      </c>
    </row>
    <row r="127" spans="1:17" x14ac:dyDescent="0.25">
      <c r="A127" t="s">
        <v>16</v>
      </c>
      <c r="B127">
        <v>7</v>
      </c>
      <c r="C127">
        <v>1.63</v>
      </c>
      <c r="D127">
        <v>2005</v>
      </c>
      <c r="E127" t="s">
        <v>28</v>
      </c>
      <c r="F127">
        <v>2005308</v>
      </c>
      <c r="G127">
        <v>2006088</v>
      </c>
      <c r="H127">
        <v>16304</v>
      </c>
      <c r="I127">
        <v>4483</v>
      </c>
      <c r="J127">
        <v>50</v>
      </c>
      <c r="K127">
        <v>344</v>
      </c>
      <c r="L127">
        <v>0</v>
      </c>
      <c r="M127">
        <v>100</v>
      </c>
      <c r="N127">
        <v>17.985859999999999</v>
      </c>
      <c r="O127">
        <v>5.5063409999999999</v>
      </c>
      <c r="P127">
        <v>14.232200000000001</v>
      </c>
      <c r="Q127">
        <v>89660</v>
      </c>
    </row>
    <row r="128" spans="1:17" x14ac:dyDescent="0.25">
      <c r="A128" t="s">
        <v>16</v>
      </c>
      <c r="B128">
        <v>7</v>
      </c>
      <c r="C128">
        <v>1.63</v>
      </c>
      <c r="D128">
        <v>2006</v>
      </c>
      <c r="E128" t="s">
        <v>28</v>
      </c>
      <c r="F128">
        <v>2006308</v>
      </c>
      <c r="G128">
        <v>2007080</v>
      </c>
      <c r="H128">
        <v>23061</v>
      </c>
      <c r="I128">
        <v>4220</v>
      </c>
      <c r="J128">
        <v>50</v>
      </c>
      <c r="K128">
        <v>571</v>
      </c>
      <c r="L128">
        <v>0</v>
      </c>
      <c r="M128">
        <v>100</v>
      </c>
      <c r="N128">
        <v>17.828009999999999</v>
      </c>
      <c r="O128">
        <v>6.246861</v>
      </c>
      <c r="P128">
        <v>13.635260000000001</v>
      </c>
      <c r="Q128">
        <v>84404</v>
      </c>
    </row>
    <row r="129" spans="1:17" x14ac:dyDescent="0.25">
      <c r="A129" t="s">
        <v>16</v>
      </c>
      <c r="B129">
        <v>7</v>
      </c>
      <c r="C129">
        <v>1.63</v>
      </c>
      <c r="D129">
        <v>2007</v>
      </c>
      <c r="E129" t="s">
        <v>28</v>
      </c>
      <c r="F129">
        <v>2007308</v>
      </c>
      <c r="G129">
        <v>2008076</v>
      </c>
      <c r="H129">
        <v>19666</v>
      </c>
      <c r="I129">
        <v>3421</v>
      </c>
      <c r="J129">
        <v>50</v>
      </c>
      <c r="K129">
        <v>464</v>
      </c>
      <c r="L129">
        <v>0</v>
      </c>
      <c r="M129">
        <v>100</v>
      </c>
      <c r="N129">
        <v>18.112200000000001</v>
      </c>
      <c r="O129">
        <v>5.5224399999999996</v>
      </c>
      <c r="P129">
        <v>13.54927</v>
      </c>
      <c r="Q129">
        <v>68422</v>
      </c>
    </row>
    <row r="130" spans="1:17" x14ac:dyDescent="0.25">
      <c r="A130" t="s">
        <v>16</v>
      </c>
      <c r="B130">
        <v>7</v>
      </c>
      <c r="C130">
        <v>1.63</v>
      </c>
      <c r="D130">
        <v>2008</v>
      </c>
      <c r="E130" t="s">
        <v>28</v>
      </c>
      <c r="F130">
        <v>2008308</v>
      </c>
      <c r="G130">
        <v>2009080</v>
      </c>
      <c r="H130">
        <v>15920</v>
      </c>
      <c r="I130">
        <v>3310</v>
      </c>
      <c r="J130">
        <v>50</v>
      </c>
      <c r="K130">
        <v>334</v>
      </c>
      <c r="L130">
        <v>0</v>
      </c>
      <c r="M130">
        <v>100</v>
      </c>
      <c r="N130">
        <v>18.33689</v>
      </c>
      <c r="O130">
        <v>5.306311</v>
      </c>
      <c r="P130">
        <v>14.15583</v>
      </c>
      <c r="Q130">
        <v>66197</v>
      </c>
    </row>
    <row r="131" spans="1:17" x14ac:dyDescent="0.25">
      <c r="A131" t="s">
        <v>16</v>
      </c>
      <c r="B131">
        <v>7</v>
      </c>
      <c r="C131">
        <v>1.63</v>
      </c>
      <c r="D131">
        <v>2009</v>
      </c>
      <c r="E131" t="s">
        <v>28</v>
      </c>
      <c r="F131">
        <v>2009308</v>
      </c>
      <c r="G131">
        <v>2010080</v>
      </c>
      <c r="H131">
        <v>18435</v>
      </c>
      <c r="I131">
        <v>2653</v>
      </c>
      <c r="J131">
        <v>50</v>
      </c>
      <c r="K131">
        <v>732</v>
      </c>
      <c r="L131">
        <v>0</v>
      </c>
      <c r="M131">
        <v>100</v>
      </c>
      <c r="N131">
        <v>17.631550000000001</v>
      </c>
      <c r="O131">
        <v>7.0320410000000004</v>
      </c>
      <c r="P131">
        <v>13.214079999999999</v>
      </c>
      <c r="Q131">
        <v>53067</v>
      </c>
    </row>
    <row r="132" spans="1:17" x14ac:dyDescent="0.25">
      <c r="A132" t="s">
        <v>16</v>
      </c>
      <c r="B132">
        <v>7</v>
      </c>
      <c r="C132">
        <v>1.63</v>
      </c>
      <c r="D132">
        <v>2010</v>
      </c>
      <c r="E132" t="s">
        <v>28</v>
      </c>
      <c r="F132">
        <v>2010308</v>
      </c>
      <c r="G132">
        <v>2011077</v>
      </c>
      <c r="H132">
        <v>19099</v>
      </c>
      <c r="I132">
        <v>3340</v>
      </c>
      <c r="J132">
        <v>50</v>
      </c>
      <c r="K132">
        <v>576</v>
      </c>
      <c r="L132">
        <v>0</v>
      </c>
      <c r="M132">
        <v>100</v>
      </c>
      <c r="N132">
        <v>18.253399999999999</v>
      </c>
      <c r="O132">
        <v>7.5509719999999998</v>
      </c>
      <c r="P132">
        <v>13.2966</v>
      </c>
      <c r="Q132">
        <v>66799</v>
      </c>
    </row>
    <row r="133" spans="1:17" x14ac:dyDescent="0.25">
      <c r="A133" t="s">
        <v>16</v>
      </c>
      <c r="B133">
        <v>7</v>
      </c>
      <c r="C133">
        <v>1.63</v>
      </c>
      <c r="D133">
        <v>2011</v>
      </c>
      <c r="E133" t="s">
        <v>29</v>
      </c>
      <c r="F133">
        <v>2011308</v>
      </c>
      <c r="G133">
        <v>2012091</v>
      </c>
      <c r="H133">
        <v>9205</v>
      </c>
      <c r="I133">
        <v>1812</v>
      </c>
      <c r="J133">
        <v>50</v>
      </c>
      <c r="K133">
        <v>273</v>
      </c>
      <c r="L133">
        <v>0</v>
      </c>
      <c r="M133">
        <v>100</v>
      </c>
      <c r="N133">
        <v>18.335609999999999</v>
      </c>
      <c r="O133">
        <v>4.3287810000000002</v>
      </c>
      <c r="P133">
        <v>14.3278</v>
      </c>
      <c r="Q133">
        <v>36250</v>
      </c>
    </row>
    <row r="134" spans="1:17" x14ac:dyDescent="0.25">
      <c r="A134" t="s">
        <v>16</v>
      </c>
      <c r="B134">
        <v>7</v>
      </c>
      <c r="C134">
        <v>1.63</v>
      </c>
      <c r="D134">
        <v>2012</v>
      </c>
      <c r="E134" t="s">
        <v>29</v>
      </c>
      <c r="F134">
        <v>2012308</v>
      </c>
      <c r="G134">
        <v>2013078</v>
      </c>
      <c r="H134">
        <v>20277</v>
      </c>
      <c r="I134">
        <v>4794</v>
      </c>
      <c r="J134">
        <v>50</v>
      </c>
      <c r="K134">
        <v>595</v>
      </c>
      <c r="L134">
        <v>0</v>
      </c>
      <c r="M134">
        <v>100</v>
      </c>
      <c r="N134">
        <v>17.707249999999998</v>
      </c>
      <c r="O134">
        <v>6.1681160000000004</v>
      </c>
      <c r="P134">
        <v>13.796620000000001</v>
      </c>
      <c r="Q134">
        <v>95875</v>
      </c>
    </row>
    <row r="135" spans="1:17" x14ac:dyDescent="0.25">
      <c r="A135" t="s">
        <v>16</v>
      </c>
      <c r="B135">
        <v>7</v>
      </c>
      <c r="C135">
        <v>1.63</v>
      </c>
      <c r="D135">
        <v>2013</v>
      </c>
      <c r="E135" t="s">
        <v>29</v>
      </c>
      <c r="F135">
        <v>2013308</v>
      </c>
      <c r="G135">
        <v>2014078</v>
      </c>
      <c r="H135">
        <v>17209</v>
      </c>
      <c r="I135">
        <v>3748</v>
      </c>
      <c r="J135">
        <v>50</v>
      </c>
      <c r="K135">
        <v>537</v>
      </c>
      <c r="L135">
        <v>0</v>
      </c>
      <c r="M135">
        <v>100</v>
      </c>
      <c r="N135">
        <v>18.616499999999998</v>
      </c>
      <c r="O135">
        <v>5.965535</v>
      </c>
      <c r="P135">
        <v>14.380100000000001</v>
      </c>
      <c r="Q135">
        <v>74962</v>
      </c>
    </row>
    <row r="136" spans="1:17" x14ac:dyDescent="0.25">
      <c r="A136" t="s">
        <v>16</v>
      </c>
      <c r="B136">
        <v>7</v>
      </c>
      <c r="C136">
        <v>1.63</v>
      </c>
      <c r="D136">
        <v>2014</v>
      </c>
      <c r="E136" t="s">
        <v>29</v>
      </c>
      <c r="F136">
        <v>2014308</v>
      </c>
      <c r="G136">
        <v>2015087</v>
      </c>
      <c r="H136">
        <v>16065</v>
      </c>
      <c r="I136">
        <v>4703</v>
      </c>
      <c r="J136">
        <v>50</v>
      </c>
      <c r="K136">
        <v>392</v>
      </c>
      <c r="L136">
        <v>0</v>
      </c>
      <c r="M136">
        <v>100</v>
      </c>
      <c r="N136">
        <v>19.010249999999999</v>
      </c>
      <c r="O136">
        <v>5.658048</v>
      </c>
      <c r="P136">
        <v>14.69415</v>
      </c>
      <c r="Q136">
        <v>94067</v>
      </c>
    </row>
    <row r="137" spans="1:17" x14ac:dyDescent="0.25">
      <c r="A137" t="s">
        <v>16</v>
      </c>
      <c r="B137">
        <v>7</v>
      </c>
      <c r="C137">
        <v>1.63</v>
      </c>
      <c r="D137">
        <v>2015</v>
      </c>
      <c r="E137" t="s">
        <v>29</v>
      </c>
      <c r="F137">
        <v>2015308</v>
      </c>
      <c r="G137">
        <v>2016073</v>
      </c>
      <c r="H137">
        <v>18468</v>
      </c>
      <c r="I137">
        <v>3595</v>
      </c>
      <c r="J137">
        <v>50</v>
      </c>
      <c r="K137">
        <v>570</v>
      </c>
      <c r="L137">
        <v>0</v>
      </c>
      <c r="M137">
        <v>100</v>
      </c>
      <c r="N137">
        <v>18.074760000000001</v>
      </c>
      <c r="O137">
        <v>6.1184459999999996</v>
      </c>
      <c r="P137">
        <v>13.36408</v>
      </c>
      <c r="Q137">
        <v>71901</v>
      </c>
    </row>
    <row r="138" spans="1:17" x14ac:dyDescent="0.25">
      <c r="A138" t="s">
        <v>16</v>
      </c>
      <c r="B138">
        <v>7</v>
      </c>
      <c r="C138">
        <v>1.63</v>
      </c>
      <c r="D138">
        <v>2016</v>
      </c>
      <c r="E138" t="s">
        <v>29</v>
      </c>
      <c r="F138">
        <v>2016308</v>
      </c>
      <c r="G138">
        <v>2017074</v>
      </c>
      <c r="H138">
        <v>18675</v>
      </c>
      <c r="I138">
        <v>4576</v>
      </c>
      <c r="J138">
        <v>50</v>
      </c>
      <c r="K138">
        <v>390</v>
      </c>
      <c r="L138">
        <v>0</v>
      </c>
      <c r="M138">
        <v>100</v>
      </c>
      <c r="N138">
        <v>19.426570000000002</v>
      </c>
      <c r="O138">
        <v>6.0198070000000001</v>
      </c>
      <c r="P138">
        <v>14.56329</v>
      </c>
      <c r="Q138">
        <v>91524</v>
      </c>
    </row>
    <row r="139" spans="1:17" x14ac:dyDescent="0.25">
      <c r="A139" t="s">
        <v>16</v>
      </c>
      <c r="B139">
        <v>7</v>
      </c>
      <c r="C139">
        <v>1.63</v>
      </c>
      <c r="D139">
        <v>2017</v>
      </c>
      <c r="E139" t="s">
        <v>29</v>
      </c>
      <c r="F139">
        <v>2017308</v>
      </c>
      <c r="G139">
        <v>2018082</v>
      </c>
      <c r="H139">
        <v>18718</v>
      </c>
      <c r="I139">
        <v>3250</v>
      </c>
      <c r="J139">
        <v>50</v>
      </c>
      <c r="K139">
        <v>412</v>
      </c>
      <c r="L139">
        <v>0</v>
      </c>
      <c r="M139">
        <v>100</v>
      </c>
      <c r="N139">
        <v>17.59029</v>
      </c>
      <c r="O139">
        <v>5.3165040000000001</v>
      </c>
      <c r="P139">
        <v>13.90631</v>
      </c>
      <c r="Q139">
        <v>64999</v>
      </c>
    </row>
    <row r="140" spans="1:17" x14ac:dyDescent="0.25">
      <c r="A140" t="s">
        <v>16</v>
      </c>
      <c r="B140">
        <v>7</v>
      </c>
      <c r="C140">
        <v>1.63</v>
      </c>
      <c r="D140">
        <v>2018</v>
      </c>
      <c r="E140" t="s">
        <v>29</v>
      </c>
      <c r="F140">
        <v>2018308</v>
      </c>
      <c r="G140">
        <v>2019080</v>
      </c>
      <c r="H140">
        <v>13202</v>
      </c>
      <c r="I140">
        <v>2709</v>
      </c>
      <c r="J140">
        <v>50</v>
      </c>
      <c r="K140">
        <v>293</v>
      </c>
      <c r="L140">
        <v>0</v>
      </c>
      <c r="M140">
        <v>100</v>
      </c>
      <c r="N140">
        <v>19.478639999999999</v>
      </c>
      <c r="O140">
        <v>5.3257279999999998</v>
      </c>
      <c r="P140">
        <v>15.315049999999999</v>
      </c>
      <c r="Q140">
        <v>54171</v>
      </c>
    </row>
    <row r="141" spans="1:17" x14ac:dyDescent="0.25">
      <c r="A141" t="s">
        <v>16</v>
      </c>
      <c r="B141">
        <v>7</v>
      </c>
      <c r="C141">
        <v>1.63</v>
      </c>
      <c r="D141">
        <v>2019</v>
      </c>
      <c r="E141" t="s">
        <v>29</v>
      </c>
      <c r="F141">
        <v>2019308</v>
      </c>
      <c r="G141">
        <v>2020064</v>
      </c>
      <c r="H141">
        <v>15332</v>
      </c>
      <c r="I141">
        <v>3398</v>
      </c>
      <c r="J141">
        <v>50</v>
      </c>
      <c r="K141">
        <v>398</v>
      </c>
      <c r="L141">
        <v>0</v>
      </c>
      <c r="M141">
        <v>100</v>
      </c>
      <c r="N141">
        <v>19.013169999999999</v>
      </c>
      <c r="O141">
        <v>7.3853650000000002</v>
      </c>
      <c r="P141">
        <v>13.46683</v>
      </c>
      <c r="Q141">
        <v>67962</v>
      </c>
    </row>
    <row r="142" spans="1:17" x14ac:dyDescent="0.25">
      <c r="A142" t="s">
        <v>16</v>
      </c>
      <c r="B142">
        <v>8</v>
      </c>
      <c r="C142">
        <v>1.49</v>
      </c>
      <c r="D142">
        <v>2000</v>
      </c>
      <c r="E142" t="s">
        <v>28</v>
      </c>
      <c r="F142">
        <v>2000325</v>
      </c>
      <c r="G142">
        <v>2001079</v>
      </c>
      <c r="H142">
        <v>17514</v>
      </c>
      <c r="I142">
        <v>2283</v>
      </c>
      <c r="J142">
        <v>100</v>
      </c>
      <c r="K142">
        <v>641</v>
      </c>
      <c r="L142">
        <v>0</v>
      </c>
      <c r="M142">
        <v>125</v>
      </c>
      <c r="N142">
        <v>18.27947</v>
      </c>
      <c r="O142">
        <v>8.2805239999999998</v>
      </c>
      <c r="P142">
        <v>14.03947</v>
      </c>
      <c r="Q142">
        <v>47949</v>
      </c>
    </row>
    <row r="143" spans="1:17" x14ac:dyDescent="0.25">
      <c r="A143" t="s">
        <v>16</v>
      </c>
      <c r="B143">
        <v>8</v>
      </c>
      <c r="C143">
        <v>1.49</v>
      </c>
      <c r="D143">
        <v>2001</v>
      </c>
      <c r="E143" t="s">
        <v>28</v>
      </c>
      <c r="F143">
        <v>2001325</v>
      </c>
      <c r="G143">
        <v>2002091</v>
      </c>
      <c r="H143">
        <v>20897</v>
      </c>
      <c r="I143">
        <v>3343</v>
      </c>
      <c r="J143">
        <v>100</v>
      </c>
      <c r="K143">
        <v>445</v>
      </c>
      <c r="L143">
        <v>0</v>
      </c>
      <c r="M143">
        <v>125</v>
      </c>
      <c r="N143">
        <v>17.879149999999999</v>
      </c>
      <c r="O143">
        <v>6.0192500000000004</v>
      </c>
      <c r="P143">
        <v>14.90856</v>
      </c>
      <c r="Q143">
        <v>70203</v>
      </c>
    </row>
    <row r="144" spans="1:17" x14ac:dyDescent="0.25">
      <c r="A144" t="s">
        <v>16</v>
      </c>
      <c r="B144">
        <v>8</v>
      </c>
      <c r="C144">
        <v>1.49</v>
      </c>
      <c r="D144">
        <v>2002</v>
      </c>
      <c r="E144" t="s">
        <v>28</v>
      </c>
      <c r="F144">
        <v>2002325</v>
      </c>
      <c r="G144">
        <v>2003086</v>
      </c>
      <c r="H144">
        <v>2573</v>
      </c>
      <c r="I144">
        <v>400</v>
      </c>
      <c r="J144">
        <v>100</v>
      </c>
      <c r="K144">
        <v>183</v>
      </c>
      <c r="L144">
        <v>0</v>
      </c>
      <c r="M144">
        <v>125</v>
      </c>
      <c r="N144">
        <v>18.200530000000001</v>
      </c>
      <c r="O144">
        <v>7.032978</v>
      </c>
      <c r="P144">
        <v>14.28777</v>
      </c>
      <c r="Q144">
        <v>8410</v>
      </c>
    </row>
    <row r="145" spans="1:17" x14ac:dyDescent="0.25">
      <c r="A145" t="s">
        <v>16</v>
      </c>
      <c r="B145">
        <v>8</v>
      </c>
      <c r="C145">
        <v>1.49</v>
      </c>
      <c r="D145">
        <v>2003</v>
      </c>
      <c r="E145" t="s">
        <v>28</v>
      </c>
      <c r="F145">
        <v>2003325</v>
      </c>
      <c r="G145">
        <v>2004091</v>
      </c>
      <c r="H145">
        <v>24584</v>
      </c>
      <c r="I145">
        <v>3959</v>
      </c>
      <c r="J145">
        <v>100</v>
      </c>
      <c r="K145">
        <v>502</v>
      </c>
      <c r="L145">
        <v>0</v>
      </c>
      <c r="M145">
        <v>125</v>
      </c>
      <c r="N145">
        <v>16.82713</v>
      </c>
      <c r="O145">
        <v>6.659573</v>
      </c>
      <c r="P145">
        <v>14.002129999999999</v>
      </c>
      <c r="Q145">
        <v>83142</v>
      </c>
    </row>
    <row r="146" spans="1:17" x14ac:dyDescent="0.25">
      <c r="A146" t="s">
        <v>16</v>
      </c>
      <c r="B146">
        <v>8</v>
      </c>
      <c r="C146">
        <v>1.49</v>
      </c>
      <c r="D146">
        <v>2004</v>
      </c>
      <c r="E146" t="s">
        <v>28</v>
      </c>
      <c r="F146">
        <v>2004325</v>
      </c>
      <c r="G146">
        <v>2005104</v>
      </c>
      <c r="H146">
        <v>12900</v>
      </c>
      <c r="I146">
        <v>2359</v>
      </c>
      <c r="J146">
        <v>100</v>
      </c>
      <c r="K146">
        <v>321</v>
      </c>
      <c r="L146">
        <v>0</v>
      </c>
      <c r="M146">
        <v>125</v>
      </c>
      <c r="N146">
        <v>18.544979999999999</v>
      </c>
      <c r="O146">
        <v>4.1169310000000001</v>
      </c>
      <c r="P146">
        <v>15.66455</v>
      </c>
      <c r="Q146">
        <v>49537</v>
      </c>
    </row>
    <row r="147" spans="1:17" x14ac:dyDescent="0.25">
      <c r="A147" t="s">
        <v>16</v>
      </c>
      <c r="B147">
        <v>8</v>
      </c>
      <c r="C147">
        <v>1.49</v>
      </c>
      <c r="D147">
        <v>2005</v>
      </c>
      <c r="E147" t="s">
        <v>28</v>
      </c>
      <c r="F147">
        <v>2005325</v>
      </c>
      <c r="G147">
        <v>2006099</v>
      </c>
      <c r="H147">
        <v>17633</v>
      </c>
      <c r="I147">
        <v>4581</v>
      </c>
      <c r="J147">
        <v>100</v>
      </c>
      <c r="K147">
        <v>344</v>
      </c>
      <c r="L147">
        <v>0</v>
      </c>
      <c r="M147">
        <v>125</v>
      </c>
      <c r="N147">
        <v>18.25187</v>
      </c>
      <c r="O147">
        <v>5.5534759999999999</v>
      </c>
      <c r="P147">
        <v>14.824070000000001</v>
      </c>
      <c r="Q147">
        <v>96200</v>
      </c>
    </row>
    <row r="148" spans="1:17" x14ac:dyDescent="0.25">
      <c r="A148" t="s">
        <v>16</v>
      </c>
      <c r="B148">
        <v>8</v>
      </c>
      <c r="C148">
        <v>1.49</v>
      </c>
      <c r="D148">
        <v>2006</v>
      </c>
      <c r="E148" t="s">
        <v>28</v>
      </c>
      <c r="F148">
        <v>2006325</v>
      </c>
      <c r="G148">
        <v>2007096</v>
      </c>
      <c r="H148">
        <v>23092</v>
      </c>
      <c r="I148">
        <v>4191</v>
      </c>
      <c r="J148">
        <v>100</v>
      </c>
      <c r="K148">
        <v>571</v>
      </c>
      <c r="L148">
        <v>0</v>
      </c>
      <c r="M148">
        <v>125</v>
      </c>
      <c r="N148">
        <v>17.707930000000001</v>
      </c>
      <c r="O148">
        <v>5.9359789999999997</v>
      </c>
      <c r="P148">
        <v>14.156079999999999</v>
      </c>
      <c r="Q148">
        <v>88002</v>
      </c>
    </row>
    <row r="149" spans="1:17" x14ac:dyDescent="0.25">
      <c r="A149" t="s">
        <v>16</v>
      </c>
      <c r="B149">
        <v>8</v>
      </c>
      <c r="C149">
        <v>1.49</v>
      </c>
      <c r="D149">
        <v>2007</v>
      </c>
      <c r="E149" t="s">
        <v>28</v>
      </c>
      <c r="F149">
        <v>2007325</v>
      </c>
      <c r="G149">
        <v>2008089</v>
      </c>
      <c r="H149">
        <v>22381</v>
      </c>
      <c r="I149">
        <v>4024</v>
      </c>
      <c r="J149">
        <v>100</v>
      </c>
      <c r="K149">
        <v>464</v>
      </c>
      <c r="L149">
        <v>0</v>
      </c>
      <c r="M149">
        <v>125</v>
      </c>
      <c r="N149">
        <v>18.158829999999998</v>
      </c>
      <c r="O149">
        <v>5.9566850000000002</v>
      </c>
      <c r="P149">
        <v>13.9123</v>
      </c>
      <c r="Q149">
        <v>84501</v>
      </c>
    </row>
    <row r="150" spans="1:17" x14ac:dyDescent="0.25">
      <c r="A150" t="s">
        <v>16</v>
      </c>
      <c r="B150">
        <v>8</v>
      </c>
      <c r="C150">
        <v>1.49</v>
      </c>
      <c r="D150">
        <v>2008</v>
      </c>
      <c r="E150" t="s">
        <v>28</v>
      </c>
      <c r="F150">
        <v>2008325</v>
      </c>
      <c r="G150">
        <v>2009092</v>
      </c>
      <c r="H150">
        <v>17899</v>
      </c>
      <c r="I150">
        <v>3418</v>
      </c>
      <c r="J150">
        <v>100</v>
      </c>
      <c r="K150">
        <v>334</v>
      </c>
      <c r="L150">
        <v>0</v>
      </c>
      <c r="M150">
        <v>125</v>
      </c>
      <c r="N150">
        <v>18.368259999999999</v>
      </c>
      <c r="O150">
        <v>5.5873020000000002</v>
      </c>
      <c r="P150">
        <v>14.4381</v>
      </c>
      <c r="Q150">
        <v>71784</v>
      </c>
    </row>
    <row r="151" spans="1:17" x14ac:dyDescent="0.25">
      <c r="A151" t="s">
        <v>16</v>
      </c>
      <c r="B151">
        <v>8</v>
      </c>
      <c r="C151">
        <v>1.49</v>
      </c>
      <c r="D151">
        <v>2009</v>
      </c>
      <c r="E151" t="s">
        <v>29</v>
      </c>
      <c r="F151">
        <v>2009325</v>
      </c>
      <c r="G151">
        <v>2010092</v>
      </c>
      <c r="H151">
        <v>20380</v>
      </c>
      <c r="I151">
        <v>4087</v>
      </c>
      <c r="J151">
        <v>100</v>
      </c>
      <c r="K151">
        <v>732</v>
      </c>
      <c r="L151">
        <v>0</v>
      </c>
      <c r="M151">
        <v>125</v>
      </c>
      <c r="N151">
        <v>17.39415</v>
      </c>
      <c r="O151">
        <v>7.0106400000000004</v>
      </c>
      <c r="P151">
        <v>13.622870000000001</v>
      </c>
      <c r="Q151">
        <v>85831</v>
      </c>
    </row>
    <row r="152" spans="1:17" x14ac:dyDescent="0.25">
      <c r="A152" t="s">
        <v>16</v>
      </c>
      <c r="B152">
        <v>8</v>
      </c>
      <c r="C152">
        <v>1.49</v>
      </c>
      <c r="D152">
        <v>2010</v>
      </c>
      <c r="E152" t="s">
        <v>29</v>
      </c>
      <c r="F152">
        <v>2010325</v>
      </c>
      <c r="G152">
        <v>2011089</v>
      </c>
      <c r="H152">
        <v>19292</v>
      </c>
      <c r="I152">
        <v>4241</v>
      </c>
      <c r="J152">
        <v>100</v>
      </c>
      <c r="K152">
        <v>576</v>
      </c>
      <c r="L152">
        <v>0</v>
      </c>
      <c r="M152">
        <v>125</v>
      </c>
      <c r="N152">
        <v>18.51596</v>
      </c>
      <c r="O152">
        <v>7.6718099999999998</v>
      </c>
      <c r="P152">
        <v>13.812760000000001</v>
      </c>
      <c r="Q152">
        <v>89064</v>
      </c>
    </row>
    <row r="153" spans="1:17" x14ac:dyDescent="0.25">
      <c r="A153" t="s">
        <v>16</v>
      </c>
      <c r="B153">
        <v>8</v>
      </c>
      <c r="C153">
        <v>1.49</v>
      </c>
      <c r="D153">
        <v>2011</v>
      </c>
      <c r="E153" t="s">
        <v>29</v>
      </c>
      <c r="F153">
        <v>2011325</v>
      </c>
      <c r="G153">
        <v>2012105</v>
      </c>
      <c r="H153">
        <v>12192</v>
      </c>
      <c r="I153">
        <v>2394</v>
      </c>
      <c r="J153">
        <v>100</v>
      </c>
      <c r="K153">
        <v>273</v>
      </c>
      <c r="L153">
        <v>0</v>
      </c>
      <c r="M153">
        <v>125</v>
      </c>
      <c r="N153">
        <v>18.387229999999999</v>
      </c>
      <c r="O153">
        <v>3.9143620000000001</v>
      </c>
      <c r="P153">
        <v>15.01276</v>
      </c>
      <c r="Q153">
        <v>50267</v>
      </c>
    </row>
    <row r="154" spans="1:17" x14ac:dyDescent="0.25">
      <c r="A154" t="s">
        <v>16</v>
      </c>
      <c r="B154">
        <v>8</v>
      </c>
      <c r="C154">
        <v>1.49</v>
      </c>
      <c r="D154">
        <v>2012</v>
      </c>
      <c r="E154" t="s">
        <v>29</v>
      </c>
      <c r="F154">
        <v>2012325</v>
      </c>
      <c r="G154">
        <v>2013094</v>
      </c>
      <c r="H154">
        <v>22172</v>
      </c>
      <c r="I154">
        <v>4733</v>
      </c>
      <c r="J154">
        <v>100</v>
      </c>
      <c r="K154">
        <v>595</v>
      </c>
      <c r="L154">
        <v>0</v>
      </c>
      <c r="M154">
        <v>125</v>
      </c>
      <c r="N154">
        <v>17.721689999999999</v>
      </c>
      <c r="O154">
        <v>5.9714299999999998</v>
      </c>
      <c r="P154">
        <v>14.36614</v>
      </c>
      <c r="Q154">
        <v>99394</v>
      </c>
    </row>
    <row r="155" spans="1:17" x14ac:dyDescent="0.25">
      <c r="A155" t="s">
        <v>16</v>
      </c>
      <c r="B155">
        <v>8</v>
      </c>
      <c r="C155">
        <v>1.49</v>
      </c>
      <c r="D155">
        <v>2013</v>
      </c>
      <c r="E155" t="s">
        <v>29</v>
      </c>
      <c r="F155">
        <v>2013325</v>
      </c>
      <c r="G155">
        <v>2014091</v>
      </c>
      <c r="H155">
        <v>19239</v>
      </c>
      <c r="I155">
        <v>4307</v>
      </c>
      <c r="J155">
        <v>100</v>
      </c>
      <c r="K155">
        <v>537</v>
      </c>
      <c r="L155">
        <v>0</v>
      </c>
      <c r="M155">
        <v>125</v>
      </c>
      <c r="N155">
        <v>18.930440000000001</v>
      </c>
      <c r="O155">
        <v>6.4771739999999998</v>
      </c>
      <c r="P155">
        <v>14.86359</v>
      </c>
      <c r="Q155">
        <v>90457</v>
      </c>
    </row>
    <row r="156" spans="1:17" x14ac:dyDescent="0.25">
      <c r="A156" t="s">
        <v>16</v>
      </c>
      <c r="B156">
        <v>8</v>
      </c>
      <c r="C156">
        <v>1.49</v>
      </c>
      <c r="D156">
        <v>2014</v>
      </c>
      <c r="E156" t="s">
        <v>29</v>
      </c>
      <c r="F156">
        <v>2014325</v>
      </c>
      <c r="G156">
        <v>2015097</v>
      </c>
      <c r="H156">
        <v>16140</v>
      </c>
      <c r="I156">
        <v>4346</v>
      </c>
      <c r="J156">
        <v>100</v>
      </c>
      <c r="K156">
        <v>392</v>
      </c>
      <c r="L156">
        <v>0</v>
      </c>
      <c r="M156">
        <v>125</v>
      </c>
      <c r="N156">
        <v>19.080960000000001</v>
      </c>
      <c r="O156">
        <v>5.3455029999999999</v>
      </c>
      <c r="P156">
        <v>15.28519</v>
      </c>
      <c r="Q156">
        <v>91269</v>
      </c>
    </row>
    <row r="157" spans="1:17" x14ac:dyDescent="0.25">
      <c r="A157" t="s">
        <v>16</v>
      </c>
      <c r="B157">
        <v>8</v>
      </c>
      <c r="C157">
        <v>1.49</v>
      </c>
      <c r="D157">
        <v>2015</v>
      </c>
      <c r="E157" t="s">
        <v>29</v>
      </c>
      <c r="F157">
        <v>2015325</v>
      </c>
      <c r="G157">
        <v>2016087</v>
      </c>
      <c r="H157">
        <v>18529</v>
      </c>
      <c r="I157">
        <v>3879</v>
      </c>
      <c r="J157">
        <v>100</v>
      </c>
      <c r="K157">
        <v>570</v>
      </c>
      <c r="L157">
        <v>0</v>
      </c>
      <c r="M157">
        <v>125</v>
      </c>
      <c r="N157">
        <v>17.87433</v>
      </c>
      <c r="O157">
        <v>6.2737970000000001</v>
      </c>
      <c r="P157">
        <v>13.583959999999999</v>
      </c>
      <c r="Q157">
        <v>81452</v>
      </c>
    </row>
    <row r="158" spans="1:17" x14ac:dyDescent="0.25">
      <c r="A158" t="s">
        <v>16</v>
      </c>
      <c r="B158">
        <v>8</v>
      </c>
      <c r="C158">
        <v>1.49</v>
      </c>
      <c r="D158">
        <v>2016</v>
      </c>
      <c r="E158" t="s">
        <v>29</v>
      </c>
      <c r="F158">
        <v>2016325</v>
      </c>
      <c r="G158">
        <v>2017089</v>
      </c>
      <c r="H158">
        <v>21184</v>
      </c>
      <c r="I158">
        <v>5280</v>
      </c>
      <c r="J158">
        <v>100</v>
      </c>
      <c r="K158">
        <v>390</v>
      </c>
      <c r="L158">
        <v>0</v>
      </c>
      <c r="M158">
        <v>125</v>
      </c>
      <c r="N158">
        <v>19.706910000000001</v>
      </c>
      <c r="O158">
        <v>6.1574470000000003</v>
      </c>
      <c r="P158">
        <v>15.05585</v>
      </c>
      <c r="Q158">
        <v>110877</v>
      </c>
    </row>
    <row r="159" spans="1:17" x14ac:dyDescent="0.25">
      <c r="A159" t="s">
        <v>16</v>
      </c>
      <c r="B159">
        <v>8</v>
      </c>
      <c r="C159">
        <v>1.49</v>
      </c>
      <c r="D159">
        <v>2017</v>
      </c>
      <c r="E159" t="s">
        <v>29</v>
      </c>
      <c r="F159">
        <v>2017325</v>
      </c>
      <c r="G159">
        <v>2018098</v>
      </c>
      <c r="H159">
        <v>22535</v>
      </c>
      <c r="I159">
        <v>4964</v>
      </c>
      <c r="J159">
        <v>100</v>
      </c>
      <c r="K159">
        <v>412</v>
      </c>
      <c r="L159">
        <v>0</v>
      </c>
      <c r="M159">
        <v>125</v>
      </c>
      <c r="N159">
        <v>17.268450000000001</v>
      </c>
      <c r="O159">
        <v>5.5914429999999999</v>
      </c>
      <c r="P159">
        <v>14.19572</v>
      </c>
      <c r="Q159">
        <v>104249</v>
      </c>
    </row>
    <row r="160" spans="1:17" x14ac:dyDescent="0.25">
      <c r="A160" t="s">
        <v>16</v>
      </c>
      <c r="B160">
        <v>8</v>
      </c>
      <c r="C160">
        <v>1.49</v>
      </c>
      <c r="D160">
        <v>2018</v>
      </c>
      <c r="E160" t="s">
        <v>29</v>
      </c>
      <c r="F160">
        <v>2018325</v>
      </c>
      <c r="G160">
        <v>2019092</v>
      </c>
      <c r="H160">
        <v>13411</v>
      </c>
      <c r="I160">
        <v>2359</v>
      </c>
      <c r="J160">
        <v>100</v>
      </c>
      <c r="K160">
        <v>293</v>
      </c>
      <c r="L160">
        <v>0</v>
      </c>
      <c r="M160">
        <v>125</v>
      </c>
      <c r="N160">
        <v>19.677119999999999</v>
      </c>
      <c r="O160">
        <v>5.0265959999999996</v>
      </c>
      <c r="P160">
        <v>16.048940000000002</v>
      </c>
      <c r="Q160">
        <v>49547</v>
      </c>
    </row>
    <row r="161" spans="1:17" x14ac:dyDescent="0.25">
      <c r="A161" t="s">
        <v>16</v>
      </c>
      <c r="B161">
        <v>8</v>
      </c>
      <c r="C161">
        <v>1.49</v>
      </c>
      <c r="D161">
        <v>2019</v>
      </c>
      <c r="E161" t="s">
        <v>29</v>
      </c>
      <c r="F161">
        <v>2019325</v>
      </c>
      <c r="G161">
        <v>2020080</v>
      </c>
      <c r="H161">
        <v>18240</v>
      </c>
      <c r="I161">
        <v>3508</v>
      </c>
      <c r="J161">
        <v>100</v>
      </c>
      <c r="K161">
        <v>398</v>
      </c>
      <c r="L161">
        <v>0</v>
      </c>
      <c r="M161">
        <v>125</v>
      </c>
      <c r="N161">
        <v>19.30958</v>
      </c>
      <c r="O161">
        <v>7.4345749999999997</v>
      </c>
      <c r="P161">
        <v>13.95</v>
      </c>
      <c r="Q161">
        <v>73676</v>
      </c>
    </row>
    <row r="162" spans="1:17" x14ac:dyDescent="0.25">
      <c r="A162" t="s">
        <v>16</v>
      </c>
      <c r="B162">
        <v>9</v>
      </c>
      <c r="C162">
        <v>1.46</v>
      </c>
      <c r="D162">
        <v>2000</v>
      </c>
      <c r="E162" t="s">
        <v>28</v>
      </c>
      <c r="F162">
        <v>2000325</v>
      </c>
      <c r="G162">
        <v>2001079</v>
      </c>
      <c r="H162">
        <v>17200</v>
      </c>
      <c r="I162">
        <v>2283</v>
      </c>
      <c r="J162">
        <v>50</v>
      </c>
      <c r="K162">
        <v>641</v>
      </c>
      <c r="L162">
        <v>0</v>
      </c>
      <c r="M162">
        <v>125</v>
      </c>
      <c r="N162">
        <v>18.27947</v>
      </c>
      <c r="O162">
        <v>8.2805239999999998</v>
      </c>
      <c r="P162">
        <v>14.03947</v>
      </c>
      <c r="Q162">
        <v>38806</v>
      </c>
    </row>
    <row r="163" spans="1:17" x14ac:dyDescent="0.25">
      <c r="A163" t="s">
        <v>16</v>
      </c>
      <c r="B163">
        <v>9</v>
      </c>
      <c r="C163">
        <v>1.46</v>
      </c>
      <c r="D163">
        <v>2001</v>
      </c>
      <c r="E163" t="s">
        <v>28</v>
      </c>
      <c r="F163">
        <v>2001325</v>
      </c>
      <c r="G163">
        <v>2002091</v>
      </c>
      <c r="H163">
        <v>17242</v>
      </c>
      <c r="I163">
        <v>3255</v>
      </c>
      <c r="J163">
        <v>50</v>
      </c>
      <c r="K163">
        <v>445</v>
      </c>
      <c r="L163">
        <v>0</v>
      </c>
      <c r="M163">
        <v>125</v>
      </c>
      <c r="N163">
        <v>17.879149999999999</v>
      </c>
      <c r="O163">
        <v>6.0192500000000004</v>
      </c>
      <c r="P163">
        <v>14.90856</v>
      </c>
      <c r="Q163">
        <v>55341</v>
      </c>
    </row>
    <row r="164" spans="1:17" x14ac:dyDescent="0.25">
      <c r="A164" t="s">
        <v>16</v>
      </c>
      <c r="B164">
        <v>9</v>
      </c>
      <c r="C164">
        <v>1.46</v>
      </c>
      <c r="D164">
        <v>2002</v>
      </c>
      <c r="E164" t="s">
        <v>28</v>
      </c>
      <c r="F164">
        <v>2002325</v>
      </c>
      <c r="G164">
        <v>2003086</v>
      </c>
      <c r="H164">
        <v>2697</v>
      </c>
      <c r="I164">
        <v>423</v>
      </c>
      <c r="J164">
        <v>50</v>
      </c>
      <c r="K164">
        <v>183</v>
      </c>
      <c r="L164">
        <v>0</v>
      </c>
      <c r="M164">
        <v>125</v>
      </c>
      <c r="N164">
        <v>18.200530000000001</v>
      </c>
      <c r="O164">
        <v>7.032978</v>
      </c>
      <c r="P164">
        <v>14.28777</v>
      </c>
      <c r="Q164">
        <v>7190</v>
      </c>
    </row>
    <row r="165" spans="1:17" x14ac:dyDescent="0.25">
      <c r="A165" t="s">
        <v>16</v>
      </c>
      <c r="B165">
        <v>9</v>
      </c>
      <c r="C165">
        <v>1.46</v>
      </c>
      <c r="D165">
        <v>2003</v>
      </c>
      <c r="E165" t="s">
        <v>28</v>
      </c>
      <c r="F165">
        <v>2003325</v>
      </c>
      <c r="G165">
        <v>2004091</v>
      </c>
      <c r="H165">
        <v>22836</v>
      </c>
      <c r="I165">
        <v>3961</v>
      </c>
      <c r="J165">
        <v>50</v>
      </c>
      <c r="K165">
        <v>502</v>
      </c>
      <c r="L165">
        <v>0</v>
      </c>
      <c r="M165">
        <v>125</v>
      </c>
      <c r="N165">
        <v>16.82713</v>
      </c>
      <c r="O165">
        <v>6.659573</v>
      </c>
      <c r="P165">
        <v>14.002129999999999</v>
      </c>
      <c r="Q165">
        <v>67340</v>
      </c>
    </row>
    <row r="166" spans="1:17" x14ac:dyDescent="0.25">
      <c r="A166" t="s">
        <v>16</v>
      </c>
      <c r="B166">
        <v>9</v>
      </c>
      <c r="C166">
        <v>1.46</v>
      </c>
      <c r="D166">
        <v>2004</v>
      </c>
      <c r="E166" t="s">
        <v>28</v>
      </c>
      <c r="F166">
        <v>2004325</v>
      </c>
      <c r="G166">
        <v>2005104</v>
      </c>
      <c r="H166">
        <v>10060</v>
      </c>
      <c r="I166">
        <v>2479</v>
      </c>
      <c r="J166">
        <v>50</v>
      </c>
      <c r="K166">
        <v>321</v>
      </c>
      <c r="L166">
        <v>0</v>
      </c>
      <c r="M166">
        <v>125</v>
      </c>
      <c r="N166">
        <v>18.544979999999999</v>
      </c>
      <c r="O166">
        <v>4.1169310000000001</v>
      </c>
      <c r="P166">
        <v>15.66455</v>
      </c>
      <c r="Q166">
        <v>42142</v>
      </c>
    </row>
    <row r="167" spans="1:17" x14ac:dyDescent="0.25">
      <c r="A167" t="s">
        <v>16</v>
      </c>
      <c r="B167">
        <v>9</v>
      </c>
      <c r="C167">
        <v>1.46</v>
      </c>
      <c r="D167">
        <v>2005</v>
      </c>
      <c r="E167" t="s">
        <v>28</v>
      </c>
      <c r="F167">
        <v>2005325</v>
      </c>
      <c r="G167">
        <v>2006099</v>
      </c>
      <c r="H167">
        <v>14319</v>
      </c>
      <c r="I167">
        <v>4579</v>
      </c>
      <c r="J167">
        <v>50</v>
      </c>
      <c r="K167">
        <v>344</v>
      </c>
      <c r="L167">
        <v>0</v>
      </c>
      <c r="M167">
        <v>125</v>
      </c>
      <c r="N167">
        <v>18.25187</v>
      </c>
      <c r="O167">
        <v>5.5534759999999999</v>
      </c>
      <c r="P167">
        <v>14.824070000000001</v>
      </c>
      <c r="Q167">
        <v>77837</v>
      </c>
    </row>
    <row r="168" spans="1:17" x14ac:dyDescent="0.25">
      <c r="A168" t="s">
        <v>16</v>
      </c>
      <c r="B168">
        <v>9</v>
      </c>
      <c r="C168">
        <v>1.46</v>
      </c>
      <c r="D168">
        <v>2006</v>
      </c>
      <c r="E168" t="s">
        <v>28</v>
      </c>
      <c r="F168">
        <v>2006325</v>
      </c>
      <c r="G168">
        <v>2007096</v>
      </c>
      <c r="H168">
        <v>21249</v>
      </c>
      <c r="I168">
        <v>4198</v>
      </c>
      <c r="J168">
        <v>50</v>
      </c>
      <c r="K168">
        <v>571</v>
      </c>
      <c r="L168">
        <v>0</v>
      </c>
      <c r="M168">
        <v>125</v>
      </c>
      <c r="N168">
        <v>17.707930000000001</v>
      </c>
      <c r="O168">
        <v>5.9359789999999997</v>
      </c>
      <c r="P168">
        <v>14.156079999999999</v>
      </c>
      <c r="Q168">
        <v>71358</v>
      </c>
    </row>
    <row r="169" spans="1:17" x14ac:dyDescent="0.25">
      <c r="A169" t="s">
        <v>16</v>
      </c>
      <c r="B169">
        <v>9</v>
      </c>
      <c r="C169">
        <v>1.46</v>
      </c>
      <c r="D169">
        <v>2007</v>
      </c>
      <c r="E169" t="s">
        <v>28</v>
      </c>
      <c r="F169">
        <v>2007325</v>
      </c>
      <c r="G169">
        <v>2008089</v>
      </c>
      <c r="H169">
        <v>19172</v>
      </c>
      <c r="I169">
        <v>4049</v>
      </c>
      <c r="J169">
        <v>50</v>
      </c>
      <c r="K169">
        <v>464</v>
      </c>
      <c r="L169">
        <v>0</v>
      </c>
      <c r="M169">
        <v>125</v>
      </c>
      <c r="N169">
        <v>18.158829999999998</v>
      </c>
      <c r="O169">
        <v>5.9566850000000002</v>
      </c>
      <c r="P169">
        <v>13.9123</v>
      </c>
      <c r="Q169">
        <v>68836</v>
      </c>
    </row>
    <row r="170" spans="1:17" x14ac:dyDescent="0.25">
      <c r="A170" t="s">
        <v>16</v>
      </c>
      <c r="B170">
        <v>9</v>
      </c>
      <c r="C170">
        <v>1.46</v>
      </c>
      <c r="D170">
        <v>2008</v>
      </c>
      <c r="E170" t="s">
        <v>28</v>
      </c>
      <c r="F170">
        <v>2008325</v>
      </c>
      <c r="G170">
        <v>2009092</v>
      </c>
      <c r="H170">
        <v>14896</v>
      </c>
      <c r="I170">
        <v>3384</v>
      </c>
      <c r="J170">
        <v>50</v>
      </c>
      <c r="K170">
        <v>334</v>
      </c>
      <c r="L170">
        <v>0</v>
      </c>
      <c r="M170">
        <v>125</v>
      </c>
      <c r="N170">
        <v>18.368259999999999</v>
      </c>
      <c r="O170">
        <v>5.5873020000000002</v>
      </c>
      <c r="P170">
        <v>14.4381</v>
      </c>
      <c r="Q170">
        <v>57525</v>
      </c>
    </row>
    <row r="171" spans="1:17" x14ac:dyDescent="0.25">
      <c r="A171" t="s">
        <v>16</v>
      </c>
      <c r="B171">
        <v>9</v>
      </c>
      <c r="C171">
        <v>1.46</v>
      </c>
      <c r="D171">
        <v>2009</v>
      </c>
      <c r="E171" t="s">
        <v>28</v>
      </c>
      <c r="F171">
        <v>2009325</v>
      </c>
      <c r="G171">
        <v>2010092</v>
      </c>
      <c r="H171">
        <v>19933</v>
      </c>
      <c r="I171">
        <v>3348</v>
      </c>
      <c r="J171">
        <v>50</v>
      </c>
      <c r="K171">
        <v>732</v>
      </c>
      <c r="L171">
        <v>0</v>
      </c>
      <c r="M171">
        <v>125</v>
      </c>
      <c r="N171">
        <v>17.39415</v>
      </c>
      <c r="O171">
        <v>7.0106400000000004</v>
      </c>
      <c r="P171">
        <v>13.622870000000001</v>
      </c>
      <c r="Q171">
        <v>56924</v>
      </c>
    </row>
    <row r="172" spans="1:17" x14ac:dyDescent="0.25">
      <c r="A172" t="s">
        <v>16</v>
      </c>
      <c r="B172">
        <v>9</v>
      </c>
      <c r="C172">
        <v>1.46</v>
      </c>
      <c r="D172">
        <v>2010</v>
      </c>
      <c r="E172" t="s">
        <v>28</v>
      </c>
      <c r="F172">
        <v>2010325</v>
      </c>
      <c r="G172">
        <v>2011089</v>
      </c>
      <c r="H172">
        <v>18064</v>
      </c>
      <c r="I172">
        <v>3367</v>
      </c>
      <c r="J172">
        <v>50</v>
      </c>
      <c r="K172">
        <v>576</v>
      </c>
      <c r="L172">
        <v>0</v>
      </c>
      <c r="M172">
        <v>125</v>
      </c>
      <c r="N172">
        <v>18.51596</v>
      </c>
      <c r="O172">
        <v>7.6718099999999998</v>
      </c>
      <c r="P172">
        <v>13.812760000000001</v>
      </c>
      <c r="Q172">
        <v>57232</v>
      </c>
    </row>
    <row r="173" spans="1:17" x14ac:dyDescent="0.25">
      <c r="A173" t="s">
        <v>16</v>
      </c>
      <c r="B173">
        <v>9</v>
      </c>
      <c r="C173">
        <v>1.46</v>
      </c>
      <c r="D173">
        <v>2011</v>
      </c>
      <c r="E173" t="s">
        <v>29</v>
      </c>
      <c r="F173">
        <v>2011325</v>
      </c>
      <c r="G173">
        <v>2012105</v>
      </c>
      <c r="H173">
        <v>9392</v>
      </c>
      <c r="I173">
        <v>2218</v>
      </c>
      <c r="J173">
        <v>50</v>
      </c>
      <c r="K173">
        <v>273</v>
      </c>
      <c r="L173">
        <v>0</v>
      </c>
      <c r="M173">
        <v>125</v>
      </c>
      <c r="N173">
        <v>18.387229999999999</v>
      </c>
      <c r="O173">
        <v>3.9143620000000001</v>
      </c>
      <c r="P173">
        <v>15.01276</v>
      </c>
      <c r="Q173">
        <v>37714</v>
      </c>
    </row>
    <row r="174" spans="1:17" x14ac:dyDescent="0.25">
      <c r="A174" t="s">
        <v>16</v>
      </c>
      <c r="B174">
        <v>9</v>
      </c>
      <c r="C174">
        <v>1.46</v>
      </c>
      <c r="D174">
        <v>2012</v>
      </c>
      <c r="E174" t="s">
        <v>29</v>
      </c>
      <c r="F174">
        <v>2012325</v>
      </c>
      <c r="G174">
        <v>2013094</v>
      </c>
      <c r="H174">
        <v>19254</v>
      </c>
      <c r="I174">
        <v>4729</v>
      </c>
      <c r="J174">
        <v>50</v>
      </c>
      <c r="K174">
        <v>595</v>
      </c>
      <c r="L174">
        <v>0</v>
      </c>
      <c r="M174">
        <v>125</v>
      </c>
      <c r="N174">
        <v>17.721689999999999</v>
      </c>
      <c r="O174">
        <v>5.9714299999999998</v>
      </c>
      <c r="P174">
        <v>14.36614</v>
      </c>
      <c r="Q174">
        <v>80392</v>
      </c>
    </row>
    <row r="175" spans="1:17" x14ac:dyDescent="0.25">
      <c r="A175" t="s">
        <v>16</v>
      </c>
      <c r="B175">
        <v>9</v>
      </c>
      <c r="C175">
        <v>1.46</v>
      </c>
      <c r="D175">
        <v>2013</v>
      </c>
      <c r="E175" t="s">
        <v>29</v>
      </c>
      <c r="F175">
        <v>2013325</v>
      </c>
      <c r="G175">
        <v>2014091</v>
      </c>
      <c r="H175">
        <v>16922</v>
      </c>
      <c r="I175">
        <v>4360</v>
      </c>
      <c r="J175">
        <v>50</v>
      </c>
      <c r="K175">
        <v>537</v>
      </c>
      <c r="L175">
        <v>0</v>
      </c>
      <c r="M175">
        <v>125</v>
      </c>
      <c r="N175">
        <v>18.930440000000001</v>
      </c>
      <c r="O175">
        <v>6.4771739999999998</v>
      </c>
      <c r="P175">
        <v>14.86359</v>
      </c>
      <c r="Q175">
        <v>74122</v>
      </c>
    </row>
    <row r="176" spans="1:17" x14ac:dyDescent="0.25">
      <c r="A176" t="s">
        <v>16</v>
      </c>
      <c r="B176">
        <v>9</v>
      </c>
      <c r="C176">
        <v>1.46</v>
      </c>
      <c r="D176">
        <v>2014</v>
      </c>
      <c r="E176" t="s">
        <v>29</v>
      </c>
      <c r="F176">
        <v>2014325</v>
      </c>
      <c r="G176">
        <v>2015097</v>
      </c>
      <c r="H176">
        <v>13282</v>
      </c>
      <c r="I176">
        <v>4386</v>
      </c>
      <c r="J176">
        <v>50</v>
      </c>
      <c r="K176">
        <v>392</v>
      </c>
      <c r="L176">
        <v>0</v>
      </c>
      <c r="M176">
        <v>125</v>
      </c>
      <c r="N176">
        <v>19.080960000000001</v>
      </c>
      <c r="O176">
        <v>5.3455029999999999</v>
      </c>
      <c r="P176">
        <v>15.28519</v>
      </c>
      <c r="Q176">
        <v>74559</v>
      </c>
    </row>
    <row r="177" spans="1:17" x14ac:dyDescent="0.25">
      <c r="A177" t="s">
        <v>16</v>
      </c>
      <c r="B177">
        <v>9</v>
      </c>
      <c r="C177">
        <v>1.46</v>
      </c>
      <c r="D177">
        <v>2015</v>
      </c>
      <c r="E177" t="s">
        <v>29</v>
      </c>
      <c r="F177">
        <v>2015325</v>
      </c>
      <c r="G177">
        <v>2016087</v>
      </c>
      <c r="H177">
        <v>18293</v>
      </c>
      <c r="I177">
        <v>3876</v>
      </c>
      <c r="J177">
        <v>50</v>
      </c>
      <c r="K177">
        <v>570</v>
      </c>
      <c r="L177">
        <v>0</v>
      </c>
      <c r="M177">
        <v>125</v>
      </c>
      <c r="N177">
        <v>17.87433</v>
      </c>
      <c r="O177">
        <v>6.2737970000000001</v>
      </c>
      <c r="P177">
        <v>13.583959999999999</v>
      </c>
      <c r="Q177">
        <v>65900</v>
      </c>
    </row>
    <row r="178" spans="1:17" x14ac:dyDescent="0.25">
      <c r="A178" t="s">
        <v>16</v>
      </c>
      <c r="B178">
        <v>9</v>
      </c>
      <c r="C178">
        <v>1.46</v>
      </c>
      <c r="D178">
        <v>2016</v>
      </c>
      <c r="E178" t="s">
        <v>29</v>
      </c>
      <c r="F178">
        <v>2016325</v>
      </c>
      <c r="G178">
        <v>2017089</v>
      </c>
      <c r="H178">
        <v>18092</v>
      </c>
      <c r="I178">
        <v>5309</v>
      </c>
      <c r="J178">
        <v>50</v>
      </c>
      <c r="K178">
        <v>390</v>
      </c>
      <c r="L178">
        <v>0</v>
      </c>
      <c r="M178">
        <v>125</v>
      </c>
      <c r="N178">
        <v>19.706910000000001</v>
      </c>
      <c r="O178">
        <v>6.1574470000000003</v>
      </c>
      <c r="P178">
        <v>15.05585</v>
      </c>
      <c r="Q178">
        <v>90250</v>
      </c>
    </row>
    <row r="179" spans="1:17" x14ac:dyDescent="0.25">
      <c r="A179" t="s">
        <v>16</v>
      </c>
      <c r="B179">
        <v>9</v>
      </c>
      <c r="C179">
        <v>1.46</v>
      </c>
      <c r="D179">
        <v>2017</v>
      </c>
      <c r="E179" t="s">
        <v>29</v>
      </c>
      <c r="F179">
        <v>2017325</v>
      </c>
      <c r="G179">
        <v>2018098</v>
      </c>
      <c r="H179">
        <v>19411</v>
      </c>
      <c r="I179">
        <v>4866</v>
      </c>
      <c r="J179">
        <v>50</v>
      </c>
      <c r="K179">
        <v>412</v>
      </c>
      <c r="L179">
        <v>0</v>
      </c>
      <c r="M179">
        <v>125</v>
      </c>
      <c r="N179">
        <v>17.268450000000001</v>
      </c>
      <c r="O179">
        <v>5.5914429999999999</v>
      </c>
      <c r="P179">
        <v>14.19572</v>
      </c>
      <c r="Q179">
        <v>82719</v>
      </c>
    </row>
    <row r="180" spans="1:17" x14ac:dyDescent="0.25">
      <c r="A180" t="s">
        <v>16</v>
      </c>
      <c r="B180">
        <v>9</v>
      </c>
      <c r="C180">
        <v>1.46</v>
      </c>
      <c r="D180">
        <v>2018</v>
      </c>
      <c r="E180" t="s">
        <v>29</v>
      </c>
      <c r="F180">
        <v>2018325</v>
      </c>
      <c r="G180">
        <v>2019092</v>
      </c>
      <c r="H180">
        <v>10921</v>
      </c>
      <c r="I180">
        <v>2406</v>
      </c>
      <c r="J180">
        <v>50</v>
      </c>
      <c r="K180">
        <v>293</v>
      </c>
      <c r="L180">
        <v>0</v>
      </c>
      <c r="M180">
        <v>125</v>
      </c>
      <c r="N180">
        <v>19.677119999999999</v>
      </c>
      <c r="O180">
        <v>5.0265959999999996</v>
      </c>
      <c r="P180">
        <v>16.048940000000002</v>
      </c>
      <c r="Q180">
        <v>40910</v>
      </c>
    </row>
    <row r="181" spans="1:17" x14ac:dyDescent="0.25">
      <c r="A181" t="s">
        <v>16</v>
      </c>
      <c r="B181">
        <v>9</v>
      </c>
      <c r="C181">
        <v>1.46</v>
      </c>
      <c r="D181">
        <v>2019</v>
      </c>
      <c r="E181" t="s">
        <v>29</v>
      </c>
      <c r="F181">
        <v>2019325</v>
      </c>
      <c r="G181">
        <v>2020080</v>
      </c>
      <c r="H181">
        <v>17793</v>
      </c>
      <c r="I181">
        <v>3352</v>
      </c>
      <c r="J181">
        <v>50</v>
      </c>
      <c r="K181">
        <v>398</v>
      </c>
      <c r="L181">
        <v>0</v>
      </c>
      <c r="M181">
        <v>125</v>
      </c>
      <c r="N181">
        <v>19.30958</v>
      </c>
      <c r="O181">
        <v>7.4345749999999997</v>
      </c>
      <c r="P181">
        <v>13.95</v>
      </c>
      <c r="Q181">
        <v>56979</v>
      </c>
    </row>
    <row r="182" spans="1:17" x14ac:dyDescent="0.25">
      <c r="A182" t="s">
        <v>16</v>
      </c>
      <c r="B182">
        <v>10</v>
      </c>
      <c r="C182">
        <v>1.49</v>
      </c>
      <c r="D182">
        <v>2000</v>
      </c>
      <c r="E182" t="s">
        <v>28</v>
      </c>
      <c r="F182">
        <v>2000339</v>
      </c>
      <c r="G182">
        <v>2001089</v>
      </c>
      <c r="H182">
        <v>16540</v>
      </c>
      <c r="I182">
        <v>2377</v>
      </c>
      <c r="J182">
        <v>50</v>
      </c>
      <c r="K182">
        <v>641</v>
      </c>
      <c r="L182">
        <v>0</v>
      </c>
      <c r="M182">
        <v>100</v>
      </c>
      <c r="N182">
        <v>18.32386</v>
      </c>
      <c r="O182">
        <v>8.1306799999999999</v>
      </c>
      <c r="P182">
        <v>14.706250000000001</v>
      </c>
      <c r="Q182">
        <v>47548</v>
      </c>
    </row>
    <row r="183" spans="1:17" x14ac:dyDescent="0.25">
      <c r="A183" t="s">
        <v>16</v>
      </c>
      <c r="B183">
        <v>10</v>
      </c>
      <c r="C183">
        <v>1.49</v>
      </c>
      <c r="D183">
        <v>2001</v>
      </c>
      <c r="E183" t="s">
        <v>28</v>
      </c>
      <c r="F183">
        <v>2001339</v>
      </c>
      <c r="G183">
        <v>2002100</v>
      </c>
      <c r="H183">
        <v>15834</v>
      </c>
      <c r="I183">
        <v>3108</v>
      </c>
      <c r="J183">
        <v>50</v>
      </c>
      <c r="K183">
        <v>445</v>
      </c>
      <c r="L183">
        <v>0</v>
      </c>
      <c r="M183">
        <v>100</v>
      </c>
      <c r="N183">
        <v>18.194800000000001</v>
      </c>
      <c r="O183">
        <v>6.367629</v>
      </c>
      <c r="P183">
        <v>15.50174</v>
      </c>
      <c r="Q183">
        <v>62167</v>
      </c>
    </row>
    <row r="184" spans="1:17" x14ac:dyDescent="0.25">
      <c r="A184" t="s">
        <v>16</v>
      </c>
      <c r="B184">
        <v>10</v>
      </c>
      <c r="C184">
        <v>1.49</v>
      </c>
      <c r="D184">
        <v>2002</v>
      </c>
      <c r="E184" t="s">
        <v>28</v>
      </c>
      <c r="F184">
        <v>2002339</v>
      </c>
      <c r="G184">
        <v>2003096</v>
      </c>
      <c r="H184">
        <v>6424</v>
      </c>
      <c r="I184">
        <v>1281</v>
      </c>
      <c r="J184">
        <v>50</v>
      </c>
      <c r="K184">
        <v>183</v>
      </c>
      <c r="L184">
        <v>0</v>
      </c>
      <c r="M184">
        <v>100</v>
      </c>
      <c r="N184">
        <v>18.493639999999999</v>
      </c>
      <c r="O184">
        <v>7.1520229999999998</v>
      </c>
      <c r="P184">
        <v>14.917339999999999</v>
      </c>
      <c r="Q184">
        <v>25618</v>
      </c>
    </row>
    <row r="185" spans="1:17" x14ac:dyDescent="0.25">
      <c r="A185" t="s">
        <v>16</v>
      </c>
      <c r="B185">
        <v>10</v>
      </c>
      <c r="C185">
        <v>1.49</v>
      </c>
      <c r="D185">
        <v>2003</v>
      </c>
      <c r="E185" t="s">
        <v>28</v>
      </c>
      <c r="F185">
        <v>2003339</v>
      </c>
      <c r="G185">
        <v>2004100</v>
      </c>
      <c r="H185">
        <v>22971</v>
      </c>
      <c r="I185">
        <v>4368</v>
      </c>
      <c r="J185">
        <v>50</v>
      </c>
      <c r="K185">
        <v>502</v>
      </c>
      <c r="L185">
        <v>0</v>
      </c>
      <c r="M185">
        <v>100</v>
      </c>
      <c r="N185">
        <v>17.17643</v>
      </c>
      <c r="O185">
        <v>6.702299</v>
      </c>
      <c r="P185">
        <v>14.68219</v>
      </c>
      <c r="Q185">
        <v>87350</v>
      </c>
    </row>
    <row r="186" spans="1:17" x14ac:dyDescent="0.25">
      <c r="A186" t="s">
        <v>16</v>
      </c>
      <c r="B186">
        <v>10</v>
      </c>
      <c r="C186">
        <v>1.49</v>
      </c>
      <c r="D186">
        <v>2004</v>
      </c>
      <c r="E186" t="s">
        <v>28</v>
      </c>
      <c r="F186">
        <v>2004339</v>
      </c>
      <c r="G186">
        <v>2005112</v>
      </c>
      <c r="H186">
        <v>9171</v>
      </c>
      <c r="I186">
        <v>2096</v>
      </c>
      <c r="J186">
        <v>50</v>
      </c>
      <c r="K186">
        <v>321</v>
      </c>
      <c r="L186">
        <v>0</v>
      </c>
      <c r="M186">
        <v>100</v>
      </c>
      <c r="N186">
        <v>18.942779999999999</v>
      </c>
      <c r="O186">
        <v>4.1294789999999999</v>
      </c>
      <c r="P186">
        <v>16.43815</v>
      </c>
      <c r="Q186">
        <v>41912</v>
      </c>
    </row>
    <row r="187" spans="1:17" x14ac:dyDescent="0.25">
      <c r="A187" t="s">
        <v>16</v>
      </c>
      <c r="B187">
        <v>10</v>
      </c>
      <c r="C187">
        <v>1.49</v>
      </c>
      <c r="D187">
        <v>2005</v>
      </c>
      <c r="E187" t="s">
        <v>28</v>
      </c>
      <c r="F187">
        <v>2005339</v>
      </c>
      <c r="G187">
        <v>2006106</v>
      </c>
      <c r="H187">
        <v>13007</v>
      </c>
      <c r="I187">
        <v>4516</v>
      </c>
      <c r="J187">
        <v>50</v>
      </c>
      <c r="K187">
        <v>344</v>
      </c>
      <c r="L187">
        <v>0</v>
      </c>
      <c r="M187">
        <v>100</v>
      </c>
      <c r="N187">
        <v>18.588370000000001</v>
      </c>
      <c r="O187">
        <v>5.7726740000000003</v>
      </c>
      <c r="P187">
        <v>15.37209</v>
      </c>
      <c r="Q187">
        <v>90329</v>
      </c>
    </row>
    <row r="188" spans="1:17" x14ac:dyDescent="0.25">
      <c r="A188" t="s">
        <v>16</v>
      </c>
      <c r="B188">
        <v>10</v>
      </c>
      <c r="C188">
        <v>1.49</v>
      </c>
      <c r="D188">
        <v>2006</v>
      </c>
      <c r="E188" t="s">
        <v>28</v>
      </c>
      <c r="F188">
        <v>2006339</v>
      </c>
      <c r="G188">
        <v>2007105</v>
      </c>
      <c r="H188">
        <v>20099</v>
      </c>
      <c r="I188">
        <v>3965</v>
      </c>
      <c r="J188">
        <v>50</v>
      </c>
      <c r="K188">
        <v>571</v>
      </c>
      <c r="L188">
        <v>0</v>
      </c>
      <c r="M188">
        <v>100</v>
      </c>
      <c r="N188">
        <v>17.881039999999999</v>
      </c>
      <c r="O188">
        <v>5.8183910000000001</v>
      </c>
      <c r="P188">
        <v>14.802289999999999</v>
      </c>
      <c r="Q188">
        <v>79299</v>
      </c>
    </row>
    <row r="189" spans="1:17" x14ac:dyDescent="0.25">
      <c r="A189" t="s">
        <v>16</v>
      </c>
      <c r="B189">
        <v>10</v>
      </c>
      <c r="C189">
        <v>1.49</v>
      </c>
      <c r="D189">
        <v>2007</v>
      </c>
      <c r="E189" t="s">
        <v>28</v>
      </c>
      <c r="F189">
        <v>2007339</v>
      </c>
      <c r="G189">
        <v>2008097</v>
      </c>
      <c r="H189">
        <v>18468</v>
      </c>
      <c r="I189">
        <v>4225</v>
      </c>
      <c r="J189">
        <v>50</v>
      </c>
      <c r="K189">
        <v>464</v>
      </c>
      <c r="L189">
        <v>0</v>
      </c>
      <c r="M189">
        <v>100</v>
      </c>
      <c r="N189">
        <v>18.524709999999999</v>
      </c>
      <c r="O189">
        <v>6.1454029999999999</v>
      </c>
      <c r="P189">
        <v>14.46035</v>
      </c>
      <c r="Q189">
        <v>84499</v>
      </c>
    </row>
    <row r="190" spans="1:17" x14ac:dyDescent="0.25">
      <c r="A190" t="s">
        <v>16</v>
      </c>
      <c r="B190">
        <v>10</v>
      </c>
      <c r="C190">
        <v>1.49</v>
      </c>
      <c r="D190">
        <v>2008</v>
      </c>
      <c r="E190" t="s">
        <v>29</v>
      </c>
      <c r="F190">
        <v>2008339</v>
      </c>
      <c r="G190">
        <v>2009099</v>
      </c>
      <c r="H190">
        <v>14332</v>
      </c>
      <c r="I190">
        <v>4637</v>
      </c>
      <c r="J190">
        <v>50</v>
      </c>
      <c r="K190">
        <v>334</v>
      </c>
      <c r="L190">
        <v>0</v>
      </c>
      <c r="M190">
        <v>100</v>
      </c>
      <c r="N190">
        <v>18.778410000000001</v>
      </c>
      <c r="O190">
        <v>5.7664780000000002</v>
      </c>
      <c r="P190">
        <v>14.977270000000001</v>
      </c>
      <c r="Q190">
        <v>92738</v>
      </c>
    </row>
    <row r="191" spans="1:17" x14ac:dyDescent="0.25">
      <c r="A191" t="s">
        <v>16</v>
      </c>
      <c r="B191">
        <v>10</v>
      </c>
      <c r="C191">
        <v>1.49</v>
      </c>
      <c r="D191">
        <v>2009</v>
      </c>
      <c r="E191" t="s">
        <v>29</v>
      </c>
      <c r="F191">
        <v>2009339</v>
      </c>
      <c r="G191">
        <v>2010103</v>
      </c>
      <c r="H191">
        <v>15764</v>
      </c>
      <c r="I191">
        <v>3373</v>
      </c>
      <c r="J191">
        <v>50</v>
      </c>
      <c r="K191">
        <v>732</v>
      </c>
      <c r="L191">
        <v>0</v>
      </c>
      <c r="M191">
        <v>100</v>
      </c>
      <c r="N191">
        <v>17.546849999999999</v>
      </c>
      <c r="O191">
        <v>7.0520019999999999</v>
      </c>
      <c r="P191">
        <v>14.197139999999999</v>
      </c>
      <c r="Q191">
        <v>67460</v>
      </c>
    </row>
    <row r="192" spans="1:17" x14ac:dyDescent="0.25">
      <c r="A192" t="s">
        <v>16</v>
      </c>
      <c r="B192">
        <v>10</v>
      </c>
      <c r="C192">
        <v>1.49</v>
      </c>
      <c r="D192">
        <v>2010</v>
      </c>
      <c r="E192" t="s">
        <v>29</v>
      </c>
      <c r="F192">
        <v>2010339</v>
      </c>
      <c r="G192">
        <v>2011098</v>
      </c>
      <c r="H192">
        <v>16689</v>
      </c>
      <c r="I192">
        <v>4094</v>
      </c>
      <c r="J192">
        <v>50</v>
      </c>
      <c r="K192">
        <v>576</v>
      </c>
      <c r="L192">
        <v>0</v>
      </c>
      <c r="M192">
        <v>100</v>
      </c>
      <c r="N192">
        <v>18.879429999999999</v>
      </c>
      <c r="O192">
        <v>7.8028589999999998</v>
      </c>
      <c r="P192">
        <v>14.34343</v>
      </c>
      <c r="Q192">
        <v>81884</v>
      </c>
    </row>
    <row r="193" spans="1:17" x14ac:dyDescent="0.25">
      <c r="A193" t="s">
        <v>16</v>
      </c>
      <c r="B193">
        <v>10</v>
      </c>
      <c r="C193">
        <v>1.49</v>
      </c>
      <c r="D193">
        <v>2011</v>
      </c>
      <c r="E193" t="s">
        <v>29</v>
      </c>
      <c r="F193">
        <v>2011339</v>
      </c>
      <c r="G193">
        <v>2012113</v>
      </c>
      <c r="H193">
        <v>9023</v>
      </c>
      <c r="I193">
        <v>2050</v>
      </c>
      <c r="J193">
        <v>50</v>
      </c>
      <c r="K193">
        <v>273</v>
      </c>
      <c r="L193">
        <v>0</v>
      </c>
      <c r="M193">
        <v>100</v>
      </c>
      <c r="N193">
        <v>18.73237</v>
      </c>
      <c r="O193">
        <v>3.9156070000000001</v>
      </c>
      <c r="P193">
        <v>15.65549</v>
      </c>
      <c r="Q193">
        <v>41005</v>
      </c>
    </row>
    <row r="194" spans="1:17" x14ac:dyDescent="0.25">
      <c r="A194" t="s">
        <v>16</v>
      </c>
      <c r="B194">
        <v>10</v>
      </c>
      <c r="C194">
        <v>1.49</v>
      </c>
      <c r="D194">
        <v>2012</v>
      </c>
      <c r="E194" t="s">
        <v>29</v>
      </c>
      <c r="F194">
        <v>2012339</v>
      </c>
      <c r="G194">
        <v>2013099</v>
      </c>
      <c r="H194">
        <v>17902</v>
      </c>
      <c r="I194">
        <v>4765</v>
      </c>
      <c r="J194">
        <v>50</v>
      </c>
      <c r="K194">
        <v>595</v>
      </c>
      <c r="L194">
        <v>0</v>
      </c>
      <c r="M194">
        <v>100</v>
      </c>
      <c r="N194">
        <v>18.109770000000001</v>
      </c>
      <c r="O194">
        <v>6.2149429999999999</v>
      </c>
      <c r="P194">
        <v>14.978160000000001</v>
      </c>
      <c r="Q194">
        <v>95310</v>
      </c>
    </row>
    <row r="195" spans="1:17" x14ac:dyDescent="0.25">
      <c r="A195" t="s">
        <v>16</v>
      </c>
      <c r="B195">
        <v>10</v>
      </c>
      <c r="C195">
        <v>1.49</v>
      </c>
      <c r="D195">
        <v>2013</v>
      </c>
      <c r="E195" t="s">
        <v>29</v>
      </c>
      <c r="F195">
        <v>2013339</v>
      </c>
      <c r="G195">
        <v>2014096</v>
      </c>
      <c r="H195">
        <v>16612</v>
      </c>
      <c r="I195">
        <v>4523</v>
      </c>
      <c r="J195">
        <v>50</v>
      </c>
      <c r="K195">
        <v>537</v>
      </c>
      <c r="L195">
        <v>0</v>
      </c>
      <c r="M195">
        <v>100</v>
      </c>
      <c r="N195">
        <v>19.203530000000001</v>
      </c>
      <c r="O195">
        <v>7.17</v>
      </c>
      <c r="P195">
        <v>15.28176</v>
      </c>
      <c r="Q195">
        <v>90466</v>
      </c>
    </row>
    <row r="196" spans="1:17" x14ac:dyDescent="0.25">
      <c r="A196" t="s">
        <v>16</v>
      </c>
      <c r="B196">
        <v>10</v>
      </c>
      <c r="C196">
        <v>1.49</v>
      </c>
      <c r="D196">
        <v>2014</v>
      </c>
      <c r="E196" t="s">
        <v>29</v>
      </c>
      <c r="F196">
        <v>2014339</v>
      </c>
      <c r="G196">
        <v>2015105</v>
      </c>
      <c r="H196">
        <v>11159</v>
      </c>
      <c r="I196">
        <v>3903</v>
      </c>
      <c r="J196">
        <v>50</v>
      </c>
      <c r="K196">
        <v>392</v>
      </c>
      <c r="L196">
        <v>0</v>
      </c>
      <c r="M196">
        <v>100</v>
      </c>
      <c r="N196">
        <v>19.462209999999999</v>
      </c>
      <c r="O196">
        <v>5.4459299999999997</v>
      </c>
      <c r="P196">
        <v>15.997680000000001</v>
      </c>
      <c r="Q196">
        <v>78063</v>
      </c>
    </row>
    <row r="197" spans="1:17" x14ac:dyDescent="0.25">
      <c r="A197" t="s">
        <v>16</v>
      </c>
      <c r="B197">
        <v>10</v>
      </c>
      <c r="C197">
        <v>1.49</v>
      </c>
      <c r="D197">
        <v>2015</v>
      </c>
      <c r="E197" t="s">
        <v>29</v>
      </c>
      <c r="F197">
        <v>2015339</v>
      </c>
      <c r="G197">
        <v>2016099</v>
      </c>
      <c r="H197">
        <v>22043</v>
      </c>
      <c r="I197">
        <v>5184</v>
      </c>
      <c r="J197">
        <v>50</v>
      </c>
      <c r="K197">
        <v>570</v>
      </c>
      <c r="L197">
        <v>0</v>
      </c>
      <c r="M197">
        <v>100</v>
      </c>
      <c r="N197">
        <v>17.837569999999999</v>
      </c>
      <c r="O197">
        <v>6.6271680000000002</v>
      </c>
      <c r="P197">
        <v>13.98382</v>
      </c>
      <c r="Q197">
        <v>103678</v>
      </c>
    </row>
    <row r="198" spans="1:17" x14ac:dyDescent="0.25">
      <c r="A198" t="s">
        <v>16</v>
      </c>
      <c r="B198">
        <v>10</v>
      </c>
      <c r="C198">
        <v>1.49</v>
      </c>
      <c r="D198">
        <v>2016</v>
      </c>
      <c r="E198" t="s">
        <v>29</v>
      </c>
      <c r="F198">
        <v>2016339</v>
      </c>
      <c r="G198">
        <v>2017099</v>
      </c>
      <c r="H198">
        <v>15798</v>
      </c>
      <c r="I198">
        <v>5662</v>
      </c>
      <c r="J198">
        <v>50</v>
      </c>
      <c r="K198">
        <v>390</v>
      </c>
      <c r="L198">
        <v>0</v>
      </c>
      <c r="M198">
        <v>100</v>
      </c>
      <c r="N198">
        <v>19.952269999999999</v>
      </c>
      <c r="O198">
        <v>6.1119310000000002</v>
      </c>
      <c r="P198">
        <v>15.62557</v>
      </c>
      <c r="Q198">
        <v>113238</v>
      </c>
    </row>
    <row r="199" spans="1:17" x14ac:dyDescent="0.25">
      <c r="A199" t="s">
        <v>16</v>
      </c>
      <c r="B199">
        <v>10</v>
      </c>
      <c r="C199">
        <v>1.49</v>
      </c>
      <c r="D199">
        <v>2017</v>
      </c>
      <c r="E199" t="s">
        <v>29</v>
      </c>
      <c r="F199">
        <v>2017339</v>
      </c>
      <c r="G199">
        <v>2018108</v>
      </c>
      <c r="H199">
        <v>19220</v>
      </c>
      <c r="I199">
        <v>4802</v>
      </c>
      <c r="J199">
        <v>50</v>
      </c>
      <c r="K199">
        <v>412</v>
      </c>
      <c r="L199">
        <v>0</v>
      </c>
      <c r="M199">
        <v>100</v>
      </c>
      <c r="N199">
        <v>17.491330000000001</v>
      </c>
      <c r="O199">
        <v>5.9109829999999999</v>
      </c>
      <c r="P199">
        <v>14.61619</v>
      </c>
      <c r="Q199">
        <v>96047</v>
      </c>
    </row>
    <row r="200" spans="1:17" x14ac:dyDescent="0.25">
      <c r="A200" t="s">
        <v>16</v>
      </c>
      <c r="B200">
        <v>10</v>
      </c>
      <c r="C200">
        <v>1.49</v>
      </c>
      <c r="D200">
        <v>2018</v>
      </c>
      <c r="E200" t="s">
        <v>29</v>
      </c>
      <c r="F200">
        <v>2018339</v>
      </c>
      <c r="G200">
        <v>2019102</v>
      </c>
      <c r="H200">
        <v>9514</v>
      </c>
      <c r="I200">
        <v>2624</v>
      </c>
      <c r="J200">
        <v>50</v>
      </c>
      <c r="K200">
        <v>293</v>
      </c>
      <c r="L200">
        <v>0</v>
      </c>
      <c r="M200">
        <v>100</v>
      </c>
      <c r="N200">
        <v>20.064730000000001</v>
      </c>
      <c r="O200">
        <v>5.1265900000000002</v>
      </c>
      <c r="P200">
        <v>16.75318</v>
      </c>
      <c r="Q200">
        <v>52475</v>
      </c>
    </row>
    <row r="201" spans="1:17" x14ac:dyDescent="0.25">
      <c r="A201" t="s">
        <v>16</v>
      </c>
      <c r="B201">
        <v>10</v>
      </c>
      <c r="C201">
        <v>1.49</v>
      </c>
      <c r="D201">
        <v>2019</v>
      </c>
      <c r="E201" t="s">
        <v>29</v>
      </c>
      <c r="F201">
        <v>2019339</v>
      </c>
      <c r="G201">
        <v>2020091</v>
      </c>
      <c r="H201">
        <v>18245</v>
      </c>
      <c r="I201">
        <v>3771</v>
      </c>
      <c r="J201">
        <v>50</v>
      </c>
      <c r="K201">
        <v>398</v>
      </c>
      <c r="L201">
        <v>0</v>
      </c>
      <c r="M201">
        <v>100</v>
      </c>
      <c r="N201">
        <v>19.624860000000002</v>
      </c>
      <c r="O201">
        <v>7.5219639999999997</v>
      </c>
      <c r="P201">
        <v>14.536989999999999</v>
      </c>
      <c r="Q201">
        <v>75426</v>
      </c>
    </row>
    <row r="202" spans="1:17" x14ac:dyDescent="0.25">
      <c r="A202" t="s">
        <v>16</v>
      </c>
      <c r="B202">
        <v>11</v>
      </c>
      <c r="C202">
        <v>1.52</v>
      </c>
      <c r="D202">
        <v>2000</v>
      </c>
      <c r="E202" t="s">
        <v>28</v>
      </c>
      <c r="F202">
        <v>2000308</v>
      </c>
      <c r="G202">
        <v>2001062</v>
      </c>
      <c r="H202">
        <v>16051</v>
      </c>
      <c r="I202">
        <v>2122</v>
      </c>
      <c r="J202">
        <v>50</v>
      </c>
      <c r="K202">
        <v>641</v>
      </c>
      <c r="L202">
        <v>0</v>
      </c>
      <c r="M202">
        <v>75</v>
      </c>
      <c r="N202">
        <v>18.028639999999999</v>
      </c>
      <c r="O202">
        <v>8.0300960000000003</v>
      </c>
      <c r="P202">
        <v>13.62233</v>
      </c>
      <c r="Q202">
        <v>38192</v>
      </c>
    </row>
    <row r="203" spans="1:17" x14ac:dyDescent="0.25">
      <c r="A203" t="s">
        <v>16</v>
      </c>
      <c r="B203">
        <v>11</v>
      </c>
      <c r="C203">
        <v>1.52</v>
      </c>
      <c r="D203">
        <v>2001</v>
      </c>
      <c r="E203" t="s">
        <v>28</v>
      </c>
      <c r="F203">
        <v>2001308</v>
      </c>
      <c r="G203">
        <v>2002082</v>
      </c>
      <c r="H203">
        <v>18934</v>
      </c>
      <c r="I203">
        <v>3093</v>
      </c>
      <c r="J203">
        <v>50</v>
      </c>
      <c r="K203">
        <v>445</v>
      </c>
      <c r="L203">
        <v>0</v>
      </c>
      <c r="M203">
        <v>75</v>
      </c>
      <c r="N203">
        <v>17.575240000000001</v>
      </c>
      <c r="O203">
        <v>5.6582520000000001</v>
      </c>
      <c r="P203">
        <v>14.53107</v>
      </c>
      <c r="Q203">
        <v>55682</v>
      </c>
    </row>
    <row r="204" spans="1:17" x14ac:dyDescent="0.25">
      <c r="A204" t="s">
        <v>16</v>
      </c>
      <c r="B204">
        <v>11</v>
      </c>
      <c r="C204">
        <v>1.52</v>
      </c>
      <c r="D204">
        <v>2002</v>
      </c>
      <c r="E204" t="s">
        <v>28</v>
      </c>
      <c r="F204">
        <v>2002308</v>
      </c>
      <c r="G204">
        <v>2003072</v>
      </c>
      <c r="H204">
        <v>2785</v>
      </c>
      <c r="I204">
        <v>393</v>
      </c>
      <c r="J204">
        <v>50</v>
      </c>
      <c r="K204">
        <v>183</v>
      </c>
      <c r="L204">
        <v>0</v>
      </c>
      <c r="M204">
        <v>75</v>
      </c>
      <c r="N204">
        <v>17.995629999999998</v>
      </c>
      <c r="O204">
        <v>7.088349</v>
      </c>
      <c r="P204">
        <v>13.651450000000001</v>
      </c>
      <c r="Q204">
        <v>7069</v>
      </c>
    </row>
    <row r="205" spans="1:17" x14ac:dyDescent="0.25">
      <c r="A205" t="s">
        <v>16</v>
      </c>
      <c r="B205">
        <v>11</v>
      </c>
      <c r="C205">
        <v>1.52</v>
      </c>
      <c r="D205">
        <v>2003</v>
      </c>
      <c r="E205" t="s">
        <v>28</v>
      </c>
      <c r="F205">
        <v>2003308</v>
      </c>
      <c r="G205">
        <v>2004078</v>
      </c>
      <c r="H205">
        <v>22787</v>
      </c>
      <c r="I205">
        <v>3337</v>
      </c>
      <c r="J205">
        <v>50</v>
      </c>
      <c r="K205">
        <v>502</v>
      </c>
      <c r="L205">
        <v>0</v>
      </c>
      <c r="M205">
        <v>75</v>
      </c>
      <c r="N205">
        <v>16.806799999999999</v>
      </c>
      <c r="O205">
        <v>6.8432019999999998</v>
      </c>
      <c r="P205">
        <v>13.43253</v>
      </c>
      <c r="Q205">
        <v>60062</v>
      </c>
    </row>
    <row r="206" spans="1:17" x14ac:dyDescent="0.25">
      <c r="A206" t="s">
        <v>16</v>
      </c>
      <c r="B206">
        <v>11</v>
      </c>
      <c r="C206">
        <v>1.52</v>
      </c>
      <c r="D206">
        <v>2004</v>
      </c>
      <c r="E206" t="s">
        <v>28</v>
      </c>
      <c r="F206">
        <v>2004308</v>
      </c>
      <c r="G206">
        <v>2005094</v>
      </c>
      <c r="H206">
        <v>10080</v>
      </c>
      <c r="I206">
        <v>1521</v>
      </c>
      <c r="J206">
        <v>50</v>
      </c>
      <c r="K206">
        <v>321</v>
      </c>
      <c r="L206">
        <v>0</v>
      </c>
      <c r="M206">
        <v>75</v>
      </c>
      <c r="N206">
        <v>18.451689999999999</v>
      </c>
      <c r="O206">
        <v>3.9579710000000001</v>
      </c>
      <c r="P206">
        <v>15.298550000000001</v>
      </c>
      <c r="Q206">
        <v>27377</v>
      </c>
    </row>
    <row r="207" spans="1:17" x14ac:dyDescent="0.25">
      <c r="A207" t="s">
        <v>16</v>
      </c>
      <c r="B207">
        <v>11</v>
      </c>
      <c r="C207">
        <v>1.52</v>
      </c>
      <c r="D207">
        <v>2005</v>
      </c>
      <c r="E207" t="s">
        <v>28</v>
      </c>
      <c r="F207">
        <v>2005308</v>
      </c>
      <c r="G207">
        <v>2006088</v>
      </c>
      <c r="H207">
        <v>16280</v>
      </c>
      <c r="I207">
        <v>4462</v>
      </c>
      <c r="J207">
        <v>50</v>
      </c>
      <c r="K207">
        <v>344</v>
      </c>
      <c r="L207">
        <v>0</v>
      </c>
      <c r="M207">
        <v>75</v>
      </c>
      <c r="N207">
        <v>17.985859999999999</v>
      </c>
      <c r="O207">
        <v>5.5063409999999999</v>
      </c>
      <c r="P207">
        <v>14.232200000000001</v>
      </c>
      <c r="Q207">
        <v>80316</v>
      </c>
    </row>
    <row r="208" spans="1:17" x14ac:dyDescent="0.25">
      <c r="A208" t="s">
        <v>16</v>
      </c>
      <c r="B208">
        <v>11</v>
      </c>
      <c r="C208">
        <v>1.52</v>
      </c>
      <c r="D208">
        <v>2006</v>
      </c>
      <c r="E208" t="s">
        <v>28</v>
      </c>
      <c r="F208">
        <v>2006308</v>
      </c>
      <c r="G208">
        <v>2007080</v>
      </c>
      <c r="H208">
        <v>22454</v>
      </c>
      <c r="I208">
        <v>4073</v>
      </c>
      <c r="J208">
        <v>50</v>
      </c>
      <c r="K208">
        <v>571</v>
      </c>
      <c r="L208">
        <v>0</v>
      </c>
      <c r="M208">
        <v>75</v>
      </c>
      <c r="N208">
        <v>17.828009999999999</v>
      </c>
      <c r="O208">
        <v>6.246861</v>
      </c>
      <c r="P208">
        <v>13.635260000000001</v>
      </c>
      <c r="Q208">
        <v>73313</v>
      </c>
    </row>
    <row r="209" spans="1:17" x14ac:dyDescent="0.25">
      <c r="A209" t="s">
        <v>16</v>
      </c>
      <c r="B209">
        <v>11</v>
      </c>
      <c r="C209">
        <v>1.52</v>
      </c>
      <c r="D209">
        <v>2007</v>
      </c>
      <c r="E209" t="s">
        <v>28</v>
      </c>
      <c r="F209">
        <v>2007308</v>
      </c>
      <c r="G209">
        <v>2008076</v>
      </c>
      <c r="H209">
        <v>19449</v>
      </c>
      <c r="I209">
        <v>3351</v>
      </c>
      <c r="J209">
        <v>50</v>
      </c>
      <c r="K209">
        <v>464</v>
      </c>
      <c r="L209">
        <v>0</v>
      </c>
      <c r="M209">
        <v>75</v>
      </c>
      <c r="N209">
        <v>18.112200000000001</v>
      </c>
      <c r="O209">
        <v>5.5224399999999996</v>
      </c>
      <c r="P209">
        <v>13.54927</v>
      </c>
      <c r="Q209">
        <v>60322</v>
      </c>
    </row>
    <row r="210" spans="1:17" x14ac:dyDescent="0.25">
      <c r="A210" t="s">
        <v>16</v>
      </c>
      <c r="B210">
        <v>11</v>
      </c>
      <c r="C210">
        <v>1.52</v>
      </c>
      <c r="D210">
        <v>2008</v>
      </c>
      <c r="E210" t="s">
        <v>28</v>
      </c>
      <c r="F210">
        <v>2008308</v>
      </c>
      <c r="G210">
        <v>2009080</v>
      </c>
      <c r="H210">
        <v>15626</v>
      </c>
      <c r="I210">
        <v>3244</v>
      </c>
      <c r="J210">
        <v>50</v>
      </c>
      <c r="K210">
        <v>334</v>
      </c>
      <c r="L210">
        <v>0</v>
      </c>
      <c r="M210">
        <v>75</v>
      </c>
      <c r="N210">
        <v>18.33689</v>
      </c>
      <c r="O210">
        <v>5.306311</v>
      </c>
      <c r="P210">
        <v>14.15583</v>
      </c>
      <c r="Q210">
        <v>58396</v>
      </c>
    </row>
    <row r="211" spans="1:17" x14ac:dyDescent="0.25">
      <c r="A211" t="s">
        <v>16</v>
      </c>
      <c r="B211">
        <v>11</v>
      </c>
      <c r="C211">
        <v>1.52</v>
      </c>
      <c r="D211">
        <v>2009</v>
      </c>
      <c r="E211" t="s">
        <v>28</v>
      </c>
      <c r="F211">
        <v>2009308</v>
      </c>
      <c r="G211">
        <v>2010080</v>
      </c>
      <c r="H211">
        <v>16834</v>
      </c>
      <c r="I211">
        <v>2360</v>
      </c>
      <c r="J211">
        <v>50</v>
      </c>
      <c r="K211">
        <v>732</v>
      </c>
      <c r="L211">
        <v>0</v>
      </c>
      <c r="M211">
        <v>75</v>
      </c>
      <c r="N211">
        <v>17.631550000000001</v>
      </c>
      <c r="O211">
        <v>7.0320410000000004</v>
      </c>
      <c r="P211">
        <v>13.214079999999999</v>
      </c>
      <c r="Q211">
        <v>42487</v>
      </c>
    </row>
    <row r="212" spans="1:17" x14ac:dyDescent="0.25">
      <c r="A212" t="s">
        <v>16</v>
      </c>
      <c r="B212">
        <v>11</v>
      </c>
      <c r="C212">
        <v>1.52</v>
      </c>
      <c r="D212">
        <v>2010</v>
      </c>
      <c r="E212" t="s">
        <v>28</v>
      </c>
      <c r="F212">
        <v>2010308</v>
      </c>
      <c r="G212">
        <v>2011077</v>
      </c>
      <c r="H212">
        <v>18123</v>
      </c>
      <c r="I212">
        <v>3070</v>
      </c>
      <c r="J212">
        <v>50</v>
      </c>
      <c r="K212">
        <v>576</v>
      </c>
      <c r="L212">
        <v>0</v>
      </c>
      <c r="M212">
        <v>75</v>
      </c>
      <c r="N212">
        <v>18.253399999999999</v>
      </c>
      <c r="O212">
        <v>7.5509719999999998</v>
      </c>
      <c r="P212">
        <v>13.2966</v>
      </c>
      <c r="Q212">
        <v>55257</v>
      </c>
    </row>
    <row r="213" spans="1:17" x14ac:dyDescent="0.25">
      <c r="A213" t="s">
        <v>16</v>
      </c>
      <c r="B213">
        <v>11</v>
      </c>
      <c r="C213">
        <v>1.52</v>
      </c>
      <c r="D213">
        <v>2011</v>
      </c>
      <c r="E213" t="s">
        <v>29</v>
      </c>
      <c r="F213">
        <v>2011308</v>
      </c>
      <c r="G213">
        <v>2012091</v>
      </c>
      <c r="H213">
        <v>8480</v>
      </c>
      <c r="I213">
        <v>1650</v>
      </c>
      <c r="J213">
        <v>50</v>
      </c>
      <c r="K213">
        <v>273</v>
      </c>
      <c r="L213">
        <v>0</v>
      </c>
      <c r="M213">
        <v>75</v>
      </c>
      <c r="N213">
        <v>18.335609999999999</v>
      </c>
      <c r="O213">
        <v>4.3287810000000002</v>
      </c>
      <c r="P213">
        <v>14.3278</v>
      </c>
      <c r="Q213">
        <v>29704</v>
      </c>
    </row>
    <row r="214" spans="1:17" x14ac:dyDescent="0.25">
      <c r="A214" t="s">
        <v>16</v>
      </c>
      <c r="B214">
        <v>11</v>
      </c>
      <c r="C214">
        <v>1.52</v>
      </c>
      <c r="D214">
        <v>2012</v>
      </c>
      <c r="E214" t="s">
        <v>29</v>
      </c>
      <c r="F214">
        <v>2012308</v>
      </c>
      <c r="G214">
        <v>2013078</v>
      </c>
      <c r="H214">
        <v>19928</v>
      </c>
      <c r="I214">
        <v>4771</v>
      </c>
      <c r="J214">
        <v>50</v>
      </c>
      <c r="K214">
        <v>595</v>
      </c>
      <c r="L214">
        <v>0</v>
      </c>
      <c r="M214">
        <v>75</v>
      </c>
      <c r="N214">
        <v>17.707249999999998</v>
      </c>
      <c r="O214">
        <v>6.1681160000000004</v>
      </c>
      <c r="P214">
        <v>13.796620000000001</v>
      </c>
      <c r="Q214">
        <v>85873</v>
      </c>
    </row>
    <row r="215" spans="1:17" x14ac:dyDescent="0.25">
      <c r="A215" t="s">
        <v>16</v>
      </c>
      <c r="B215">
        <v>11</v>
      </c>
      <c r="C215">
        <v>1.52</v>
      </c>
      <c r="D215">
        <v>2013</v>
      </c>
      <c r="E215" t="s">
        <v>29</v>
      </c>
      <c r="F215">
        <v>2013308</v>
      </c>
      <c r="G215">
        <v>2014078</v>
      </c>
      <c r="H215">
        <v>16284</v>
      </c>
      <c r="I215">
        <v>3533</v>
      </c>
      <c r="J215">
        <v>50</v>
      </c>
      <c r="K215">
        <v>537</v>
      </c>
      <c r="L215">
        <v>0</v>
      </c>
      <c r="M215">
        <v>75</v>
      </c>
      <c r="N215">
        <v>18.616499999999998</v>
      </c>
      <c r="O215">
        <v>5.965535</v>
      </c>
      <c r="P215">
        <v>14.380100000000001</v>
      </c>
      <c r="Q215">
        <v>63596</v>
      </c>
    </row>
    <row r="216" spans="1:17" x14ac:dyDescent="0.25">
      <c r="A216" t="s">
        <v>16</v>
      </c>
      <c r="B216">
        <v>11</v>
      </c>
      <c r="C216">
        <v>1.52</v>
      </c>
      <c r="D216">
        <v>2014</v>
      </c>
      <c r="E216" t="s">
        <v>29</v>
      </c>
      <c r="F216">
        <v>2014308</v>
      </c>
      <c r="G216">
        <v>2015087</v>
      </c>
      <c r="H216">
        <v>15018</v>
      </c>
      <c r="I216">
        <v>4239</v>
      </c>
      <c r="J216">
        <v>50</v>
      </c>
      <c r="K216">
        <v>392</v>
      </c>
      <c r="L216">
        <v>0</v>
      </c>
      <c r="M216">
        <v>75</v>
      </c>
      <c r="N216">
        <v>19.010249999999999</v>
      </c>
      <c r="O216">
        <v>5.658048</v>
      </c>
      <c r="P216">
        <v>14.69415</v>
      </c>
      <c r="Q216">
        <v>76303</v>
      </c>
    </row>
    <row r="217" spans="1:17" x14ac:dyDescent="0.25">
      <c r="A217" t="s">
        <v>16</v>
      </c>
      <c r="B217">
        <v>11</v>
      </c>
      <c r="C217">
        <v>1.52</v>
      </c>
      <c r="D217">
        <v>2015</v>
      </c>
      <c r="E217" t="s">
        <v>29</v>
      </c>
      <c r="F217">
        <v>2015308</v>
      </c>
      <c r="G217">
        <v>2016073</v>
      </c>
      <c r="H217">
        <v>18068</v>
      </c>
      <c r="I217">
        <v>3512</v>
      </c>
      <c r="J217">
        <v>50</v>
      </c>
      <c r="K217">
        <v>570</v>
      </c>
      <c r="L217">
        <v>0</v>
      </c>
      <c r="M217">
        <v>75</v>
      </c>
      <c r="N217">
        <v>18.074760000000001</v>
      </c>
      <c r="O217">
        <v>6.1184459999999996</v>
      </c>
      <c r="P217">
        <v>13.36408</v>
      </c>
      <c r="Q217">
        <v>63211</v>
      </c>
    </row>
    <row r="218" spans="1:17" x14ac:dyDescent="0.25">
      <c r="A218" t="s">
        <v>16</v>
      </c>
      <c r="B218">
        <v>11</v>
      </c>
      <c r="C218">
        <v>1.52</v>
      </c>
      <c r="D218">
        <v>2016</v>
      </c>
      <c r="E218" t="s">
        <v>29</v>
      </c>
      <c r="F218">
        <v>2016308</v>
      </c>
      <c r="G218">
        <v>2017074</v>
      </c>
      <c r="H218">
        <v>18476</v>
      </c>
      <c r="I218">
        <v>4495</v>
      </c>
      <c r="J218">
        <v>50</v>
      </c>
      <c r="K218">
        <v>390</v>
      </c>
      <c r="L218">
        <v>0</v>
      </c>
      <c r="M218">
        <v>75</v>
      </c>
      <c r="N218">
        <v>19.426570000000002</v>
      </c>
      <c r="O218">
        <v>6.0198070000000001</v>
      </c>
      <c r="P218">
        <v>14.56329</v>
      </c>
      <c r="Q218">
        <v>80912</v>
      </c>
    </row>
    <row r="219" spans="1:17" x14ac:dyDescent="0.25">
      <c r="A219" t="s">
        <v>16</v>
      </c>
      <c r="B219">
        <v>11</v>
      </c>
      <c r="C219">
        <v>1.52</v>
      </c>
      <c r="D219">
        <v>2017</v>
      </c>
      <c r="E219" t="s">
        <v>29</v>
      </c>
      <c r="F219">
        <v>2017308</v>
      </c>
      <c r="G219">
        <v>2018082</v>
      </c>
      <c r="H219">
        <v>18280</v>
      </c>
      <c r="I219">
        <v>3133</v>
      </c>
      <c r="J219">
        <v>50</v>
      </c>
      <c r="K219">
        <v>412</v>
      </c>
      <c r="L219">
        <v>0</v>
      </c>
      <c r="M219">
        <v>75</v>
      </c>
      <c r="N219">
        <v>17.59029</v>
      </c>
      <c r="O219">
        <v>5.3165040000000001</v>
      </c>
      <c r="P219">
        <v>13.90631</v>
      </c>
      <c r="Q219">
        <v>56385</v>
      </c>
    </row>
    <row r="220" spans="1:17" x14ac:dyDescent="0.25">
      <c r="A220" t="s">
        <v>16</v>
      </c>
      <c r="B220">
        <v>11</v>
      </c>
      <c r="C220">
        <v>1.52</v>
      </c>
      <c r="D220">
        <v>2018</v>
      </c>
      <c r="E220" t="s">
        <v>29</v>
      </c>
      <c r="F220">
        <v>2018308</v>
      </c>
      <c r="G220">
        <v>2019080</v>
      </c>
      <c r="H220">
        <v>12563</v>
      </c>
      <c r="I220">
        <v>2505</v>
      </c>
      <c r="J220">
        <v>50</v>
      </c>
      <c r="K220">
        <v>293</v>
      </c>
      <c r="L220">
        <v>0</v>
      </c>
      <c r="M220">
        <v>75</v>
      </c>
      <c r="N220">
        <v>19.478639999999999</v>
      </c>
      <c r="O220">
        <v>5.3257279999999998</v>
      </c>
      <c r="P220">
        <v>15.315049999999999</v>
      </c>
      <c r="Q220">
        <v>45095</v>
      </c>
    </row>
    <row r="221" spans="1:17" x14ac:dyDescent="0.25">
      <c r="A221" t="s">
        <v>16</v>
      </c>
      <c r="B221">
        <v>11</v>
      </c>
      <c r="C221">
        <v>1.52</v>
      </c>
      <c r="D221">
        <v>2019</v>
      </c>
      <c r="E221" t="s">
        <v>29</v>
      </c>
      <c r="F221">
        <v>2019308</v>
      </c>
      <c r="G221">
        <v>2020064</v>
      </c>
      <c r="H221">
        <v>15288</v>
      </c>
      <c r="I221">
        <v>3402</v>
      </c>
      <c r="J221">
        <v>50</v>
      </c>
      <c r="K221">
        <v>398</v>
      </c>
      <c r="L221">
        <v>0</v>
      </c>
      <c r="M221">
        <v>75</v>
      </c>
      <c r="N221">
        <v>19.013169999999999</v>
      </c>
      <c r="O221">
        <v>7.3853650000000002</v>
      </c>
      <c r="P221">
        <v>13.46683</v>
      </c>
      <c r="Q221">
        <v>61227</v>
      </c>
    </row>
    <row r="222" spans="1:17" x14ac:dyDescent="0.25">
      <c r="A222" t="s">
        <v>16</v>
      </c>
      <c r="B222">
        <v>12</v>
      </c>
      <c r="C222">
        <v>1.61</v>
      </c>
      <c r="D222">
        <v>2000</v>
      </c>
      <c r="E222" t="s">
        <v>28</v>
      </c>
      <c r="F222">
        <v>2000325</v>
      </c>
      <c r="G222">
        <v>2001079</v>
      </c>
      <c r="H222">
        <v>15479</v>
      </c>
      <c r="I222">
        <v>1825</v>
      </c>
      <c r="J222">
        <v>100</v>
      </c>
      <c r="K222">
        <v>641</v>
      </c>
      <c r="L222">
        <v>0</v>
      </c>
      <c r="M222">
        <v>75</v>
      </c>
      <c r="N222">
        <v>18.27947</v>
      </c>
      <c r="O222">
        <v>8.2805239999999998</v>
      </c>
      <c r="P222">
        <v>14.03947</v>
      </c>
      <c r="Q222">
        <v>34671</v>
      </c>
    </row>
    <row r="223" spans="1:17" x14ac:dyDescent="0.25">
      <c r="A223" t="s">
        <v>16</v>
      </c>
      <c r="B223">
        <v>12</v>
      </c>
      <c r="C223">
        <v>1.61</v>
      </c>
      <c r="D223">
        <v>2001</v>
      </c>
      <c r="E223" t="s">
        <v>28</v>
      </c>
      <c r="F223">
        <v>2001325</v>
      </c>
      <c r="G223">
        <v>2002091</v>
      </c>
      <c r="H223">
        <v>20219</v>
      </c>
      <c r="I223">
        <v>3060</v>
      </c>
      <c r="J223">
        <v>100</v>
      </c>
      <c r="K223">
        <v>445</v>
      </c>
      <c r="L223">
        <v>0</v>
      </c>
      <c r="M223">
        <v>75</v>
      </c>
      <c r="N223">
        <v>17.879149999999999</v>
      </c>
      <c r="O223">
        <v>6.0192500000000004</v>
      </c>
      <c r="P223">
        <v>14.90856</v>
      </c>
      <c r="Q223">
        <v>58132</v>
      </c>
    </row>
    <row r="224" spans="1:17" x14ac:dyDescent="0.25">
      <c r="A224" t="s">
        <v>16</v>
      </c>
      <c r="B224">
        <v>12</v>
      </c>
      <c r="C224">
        <v>1.61</v>
      </c>
      <c r="D224">
        <v>2002</v>
      </c>
      <c r="E224" t="s">
        <v>28</v>
      </c>
      <c r="F224">
        <v>2002325</v>
      </c>
      <c r="G224">
        <v>2003086</v>
      </c>
      <c r="H224">
        <v>1520</v>
      </c>
      <c r="I224">
        <v>235</v>
      </c>
      <c r="J224">
        <v>100</v>
      </c>
      <c r="K224">
        <v>183</v>
      </c>
      <c r="L224">
        <v>0</v>
      </c>
      <c r="M224">
        <v>75</v>
      </c>
      <c r="N224">
        <v>18.200530000000001</v>
      </c>
      <c r="O224">
        <v>7.032978</v>
      </c>
      <c r="P224">
        <v>14.28777</v>
      </c>
      <c r="Q224">
        <v>4472</v>
      </c>
    </row>
    <row r="225" spans="1:17" x14ac:dyDescent="0.25">
      <c r="A225" t="s">
        <v>16</v>
      </c>
      <c r="B225">
        <v>12</v>
      </c>
      <c r="C225">
        <v>1.61</v>
      </c>
      <c r="D225">
        <v>2003</v>
      </c>
      <c r="E225" t="s">
        <v>28</v>
      </c>
      <c r="F225">
        <v>2003325</v>
      </c>
      <c r="G225">
        <v>2004091</v>
      </c>
      <c r="H225">
        <v>24390</v>
      </c>
      <c r="I225">
        <v>3913</v>
      </c>
      <c r="J225">
        <v>100</v>
      </c>
      <c r="K225">
        <v>502</v>
      </c>
      <c r="L225">
        <v>0</v>
      </c>
      <c r="M225">
        <v>75</v>
      </c>
      <c r="N225">
        <v>16.82713</v>
      </c>
      <c r="O225">
        <v>6.659573</v>
      </c>
      <c r="P225">
        <v>14.002129999999999</v>
      </c>
      <c r="Q225">
        <v>74349</v>
      </c>
    </row>
    <row r="226" spans="1:17" x14ac:dyDescent="0.25">
      <c r="A226" t="s">
        <v>16</v>
      </c>
      <c r="B226">
        <v>12</v>
      </c>
      <c r="C226">
        <v>1.61</v>
      </c>
      <c r="D226">
        <v>2004</v>
      </c>
      <c r="E226" t="s">
        <v>28</v>
      </c>
      <c r="F226">
        <v>2004325</v>
      </c>
      <c r="G226">
        <v>2005104</v>
      </c>
      <c r="H226">
        <v>11987</v>
      </c>
      <c r="I226">
        <v>1927</v>
      </c>
      <c r="J226">
        <v>100</v>
      </c>
      <c r="K226">
        <v>321</v>
      </c>
      <c r="L226">
        <v>0</v>
      </c>
      <c r="M226">
        <v>75</v>
      </c>
      <c r="N226">
        <v>18.544979999999999</v>
      </c>
      <c r="O226">
        <v>4.1169310000000001</v>
      </c>
      <c r="P226">
        <v>15.66455</v>
      </c>
      <c r="Q226">
        <v>36618</v>
      </c>
    </row>
    <row r="227" spans="1:17" x14ac:dyDescent="0.25">
      <c r="A227" t="s">
        <v>16</v>
      </c>
      <c r="B227">
        <v>12</v>
      </c>
      <c r="C227">
        <v>1.61</v>
      </c>
      <c r="D227">
        <v>2005</v>
      </c>
      <c r="E227" t="s">
        <v>28</v>
      </c>
      <c r="F227">
        <v>2005325</v>
      </c>
      <c r="G227">
        <v>2006099</v>
      </c>
      <c r="H227">
        <v>17811</v>
      </c>
      <c r="I227">
        <v>4565</v>
      </c>
      <c r="J227">
        <v>100</v>
      </c>
      <c r="K227">
        <v>344</v>
      </c>
      <c r="L227">
        <v>0</v>
      </c>
      <c r="M227">
        <v>75</v>
      </c>
      <c r="N227">
        <v>18.25187</v>
      </c>
      <c r="O227">
        <v>5.5534759999999999</v>
      </c>
      <c r="P227">
        <v>14.824070000000001</v>
      </c>
      <c r="Q227">
        <v>86735</v>
      </c>
    </row>
    <row r="228" spans="1:17" x14ac:dyDescent="0.25">
      <c r="A228" t="s">
        <v>16</v>
      </c>
      <c r="B228">
        <v>12</v>
      </c>
      <c r="C228">
        <v>1.61</v>
      </c>
      <c r="D228">
        <v>2006</v>
      </c>
      <c r="E228" t="s">
        <v>28</v>
      </c>
      <c r="F228">
        <v>2006325</v>
      </c>
      <c r="G228">
        <v>2007096</v>
      </c>
      <c r="H228">
        <v>22426</v>
      </c>
      <c r="I228">
        <v>4028</v>
      </c>
      <c r="J228">
        <v>100</v>
      </c>
      <c r="K228">
        <v>571</v>
      </c>
      <c r="L228">
        <v>0</v>
      </c>
      <c r="M228">
        <v>75</v>
      </c>
      <c r="N228">
        <v>17.707930000000001</v>
      </c>
      <c r="O228">
        <v>5.9359789999999997</v>
      </c>
      <c r="P228">
        <v>14.156079999999999</v>
      </c>
      <c r="Q228">
        <v>76523</v>
      </c>
    </row>
    <row r="229" spans="1:17" x14ac:dyDescent="0.25">
      <c r="A229" t="s">
        <v>16</v>
      </c>
      <c r="B229">
        <v>12</v>
      </c>
      <c r="C229">
        <v>1.61</v>
      </c>
      <c r="D229">
        <v>2007</v>
      </c>
      <c r="E229" t="s">
        <v>28</v>
      </c>
      <c r="F229">
        <v>2007325</v>
      </c>
      <c r="G229">
        <v>2008089</v>
      </c>
      <c r="H229">
        <v>22197</v>
      </c>
      <c r="I229">
        <v>3922</v>
      </c>
      <c r="J229">
        <v>100</v>
      </c>
      <c r="K229">
        <v>464</v>
      </c>
      <c r="L229">
        <v>0</v>
      </c>
      <c r="M229">
        <v>75</v>
      </c>
      <c r="N229">
        <v>18.158829999999998</v>
      </c>
      <c r="O229">
        <v>5.9566850000000002</v>
      </c>
      <c r="P229">
        <v>13.9123</v>
      </c>
      <c r="Q229">
        <v>74518</v>
      </c>
    </row>
    <row r="230" spans="1:17" x14ac:dyDescent="0.25">
      <c r="A230" t="s">
        <v>16</v>
      </c>
      <c r="B230">
        <v>12</v>
      </c>
      <c r="C230">
        <v>1.61</v>
      </c>
      <c r="D230">
        <v>2008</v>
      </c>
      <c r="E230" t="s">
        <v>29</v>
      </c>
      <c r="F230">
        <v>2008325</v>
      </c>
      <c r="G230">
        <v>2009092</v>
      </c>
      <c r="H230">
        <v>17732</v>
      </c>
      <c r="I230">
        <v>4157</v>
      </c>
      <c r="J230">
        <v>100</v>
      </c>
      <c r="K230">
        <v>334</v>
      </c>
      <c r="L230">
        <v>0</v>
      </c>
      <c r="M230">
        <v>75</v>
      </c>
      <c r="N230">
        <v>18.368259999999999</v>
      </c>
      <c r="O230">
        <v>5.5873020000000002</v>
      </c>
      <c r="P230">
        <v>14.4381</v>
      </c>
      <c r="Q230">
        <v>78978</v>
      </c>
    </row>
    <row r="231" spans="1:17" x14ac:dyDescent="0.25">
      <c r="A231" t="s">
        <v>16</v>
      </c>
      <c r="B231">
        <v>12</v>
      </c>
      <c r="C231">
        <v>1.61</v>
      </c>
      <c r="D231">
        <v>2009</v>
      </c>
      <c r="E231" t="s">
        <v>29</v>
      </c>
      <c r="F231">
        <v>2009325</v>
      </c>
      <c r="G231">
        <v>2010092</v>
      </c>
      <c r="H231">
        <v>17496</v>
      </c>
      <c r="I231">
        <v>3338</v>
      </c>
      <c r="J231">
        <v>100</v>
      </c>
      <c r="K231">
        <v>732</v>
      </c>
      <c r="L231">
        <v>0</v>
      </c>
      <c r="M231">
        <v>75</v>
      </c>
      <c r="N231">
        <v>17.39415</v>
      </c>
      <c r="O231">
        <v>7.0106400000000004</v>
      </c>
      <c r="P231">
        <v>13.622870000000001</v>
      </c>
      <c r="Q231">
        <v>63419</v>
      </c>
    </row>
    <row r="232" spans="1:17" x14ac:dyDescent="0.25">
      <c r="A232" t="s">
        <v>16</v>
      </c>
      <c r="B232">
        <v>12</v>
      </c>
      <c r="C232">
        <v>1.61</v>
      </c>
      <c r="D232">
        <v>2010</v>
      </c>
      <c r="E232" t="s">
        <v>29</v>
      </c>
      <c r="F232">
        <v>2010325</v>
      </c>
      <c r="G232">
        <v>2011089</v>
      </c>
      <c r="H232">
        <v>17570</v>
      </c>
      <c r="I232">
        <v>3690</v>
      </c>
      <c r="J232">
        <v>100</v>
      </c>
      <c r="K232">
        <v>576</v>
      </c>
      <c r="L232">
        <v>0</v>
      </c>
      <c r="M232">
        <v>75</v>
      </c>
      <c r="N232">
        <v>18.51596</v>
      </c>
      <c r="O232">
        <v>7.6718099999999998</v>
      </c>
      <c r="P232">
        <v>13.812760000000001</v>
      </c>
      <c r="Q232">
        <v>70103</v>
      </c>
    </row>
    <row r="233" spans="1:17" x14ac:dyDescent="0.25">
      <c r="A233" t="s">
        <v>16</v>
      </c>
      <c r="B233">
        <v>12</v>
      </c>
      <c r="C233">
        <v>1.61</v>
      </c>
      <c r="D233">
        <v>2011</v>
      </c>
      <c r="E233" t="s">
        <v>29</v>
      </c>
      <c r="F233">
        <v>2011325</v>
      </c>
      <c r="G233">
        <v>2012105</v>
      </c>
      <c r="H233">
        <v>11938</v>
      </c>
      <c r="I233">
        <v>2306</v>
      </c>
      <c r="J233">
        <v>100</v>
      </c>
      <c r="K233">
        <v>273</v>
      </c>
      <c r="L233">
        <v>0</v>
      </c>
      <c r="M233">
        <v>75</v>
      </c>
      <c r="N233">
        <v>18.387229999999999</v>
      </c>
      <c r="O233">
        <v>3.9143620000000001</v>
      </c>
      <c r="P233">
        <v>15.01276</v>
      </c>
      <c r="Q233">
        <v>43818</v>
      </c>
    </row>
    <row r="234" spans="1:17" x14ac:dyDescent="0.25">
      <c r="A234" t="s">
        <v>16</v>
      </c>
      <c r="B234">
        <v>12</v>
      </c>
      <c r="C234">
        <v>1.61</v>
      </c>
      <c r="D234">
        <v>2012</v>
      </c>
      <c r="E234" t="s">
        <v>29</v>
      </c>
      <c r="F234">
        <v>2012325</v>
      </c>
      <c r="G234">
        <v>2013094</v>
      </c>
      <c r="H234">
        <v>21745</v>
      </c>
      <c r="I234">
        <v>4687</v>
      </c>
      <c r="J234">
        <v>100</v>
      </c>
      <c r="K234">
        <v>595</v>
      </c>
      <c r="L234">
        <v>0</v>
      </c>
      <c r="M234">
        <v>75</v>
      </c>
      <c r="N234">
        <v>17.721689999999999</v>
      </c>
      <c r="O234">
        <v>5.9714299999999998</v>
      </c>
      <c r="P234">
        <v>14.36614</v>
      </c>
      <c r="Q234">
        <v>89058</v>
      </c>
    </row>
    <row r="235" spans="1:17" x14ac:dyDescent="0.25">
      <c r="A235" t="s">
        <v>16</v>
      </c>
      <c r="B235">
        <v>12</v>
      </c>
      <c r="C235">
        <v>1.61</v>
      </c>
      <c r="D235">
        <v>2013</v>
      </c>
      <c r="E235" t="s">
        <v>29</v>
      </c>
      <c r="F235">
        <v>2013325</v>
      </c>
      <c r="G235">
        <v>2014091</v>
      </c>
      <c r="H235">
        <v>17785</v>
      </c>
      <c r="I235">
        <v>3804</v>
      </c>
      <c r="J235">
        <v>100</v>
      </c>
      <c r="K235">
        <v>537</v>
      </c>
      <c r="L235">
        <v>0</v>
      </c>
      <c r="M235">
        <v>75</v>
      </c>
      <c r="N235">
        <v>18.930440000000001</v>
      </c>
      <c r="O235">
        <v>6.4771739999999998</v>
      </c>
      <c r="P235">
        <v>14.86359</v>
      </c>
      <c r="Q235">
        <v>72270</v>
      </c>
    </row>
    <row r="236" spans="1:17" x14ac:dyDescent="0.25">
      <c r="A236" t="s">
        <v>16</v>
      </c>
      <c r="B236">
        <v>12</v>
      </c>
      <c r="C236">
        <v>1.61</v>
      </c>
      <c r="D236">
        <v>2014</v>
      </c>
      <c r="E236" t="s">
        <v>29</v>
      </c>
      <c r="F236">
        <v>2014325</v>
      </c>
      <c r="G236">
        <v>2015097</v>
      </c>
      <c r="H236">
        <v>15329</v>
      </c>
      <c r="I236">
        <v>3887</v>
      </c>
      <c r="J236">
        <v>100</v>
      </c>
      <c r="K236">
        <v>392</v>
      </c>
      <c r="L236">
        <v>0</v>
      </c>
      <c r="M236">
        <v>75</v>
      </c>
      <c r="N236">
        <v>19.080960000000001</v>
      </c>
      <c r="O236">
        <v>5.3455029999999999</v>
      </c>
      <c r="P236">
        <v>15.28519</v>
      </c>
      <c r="Q236">
        <v>73862</v>
      </c>
    </row>
    <row r="237" spans="1:17" x14ac:dyDescent="0.25">
      <c r="A237" t="s">
        <v>16</v>
      </c>
      <c r="B237">
        <v>12</v>
      </c>
      <c r="C237">
        <v>1.61</v>
      </c>
      <c r="D237">
        <v>2015</v>
      </c>
      <c r="E237" t="s">
        <v>29</v>
      </c>
      <c r="F237">
        <v>2015325</v>
      </c>
      <c r="G237">
        <v>2016087</v>
      </c>
      <c r="H237">
        <v>18129</v>
      </c>
      <c r="I237">
        <v>3794</v>
      </c>
      <c r="J237">
        <v>100</v>
      </c>
      <c r="K237">
        <v>570</v>
      </c>
      <c r="L237">
        <v>0</v>
      </c>
      <c r="M237">
        <v>75</v>
      </c>
      <c r="N237">
        <v>17.87433</v>
      </c>
      <c r="O237">
        <v>6.2737970000000001</v>
      </c>
      <c r="P237">
        <v>13.583959999999999</v>
      </c>
      <c r="Q237">
        <v>72096</v>
      </c>
    </row>
    <row r="238" spans="1:17" x14ac:dyDescent="0.25">
      <c r="A238" t="s">
        <v>16</v>
      </c>
      <c r="B238">
        <v>12</v>
      </c>
      <c r="C238">
        <v>1.61</v>
      </c>
      <c r="D238">
        <v>2016</v>
      </c>
      <c r="E238" t="s">
        <v>29</v>
      </c>
      <c r="F238">
        <v>2016325</v>
      </c>
      <c r="G238">
        <v>2017089</v>
      </c>
      <c r="H238">
        <v>20245</v>
      </c>
      <c r="I238">
        <v>4939</v>
      </c>
      <c r="J238">
        <v>100</v>
      </c>
      <c r="K238">
        <v>390</v>
      </c>
      <c r="L238">
        <v>0</v>
      </c>
      <c r="M238">
        <v>75</v>
      </c>
      <c r="N238">
        <v>19.706910000000001</v>
      </c>
      <c r="O238">
        <v>6.1574470000000003</v>
      </c>
      <c r="P238">
        <v>15.05585</v>
      </c>
      <c r="Q238">
        <v>93840</v>
      </c>
    </row>
    <row r="239" spans="1:17" x14ac:dyDescent="0.25">
      <c r="A239" t="s">
        <v>16</v>
      </c>
      <c r="B239">
        <v>12</v>
      </c>
      <c r="C239">
        <v>1.61</v>
      </c>
      <c r="D239">
        <v>2017</v>
      </c>
      <c r="E239" t="s">
        <v>29</v>
      </c>
      <c r="F239">
        <v>2017325</v>
      </c>
      <c r="G239">
        <v>2018098</v>
      </c>
      <c r="H239">
        <v>21219</v>
      </c>
      <c r="I239">
        <v>4512</v>
      </c>
      <c r="J239">
        <v>100</v>
      </c>
      <c r="K239">
        <v>412</v>
      </c>
      <c r="L239">
        <v>0</v>
      </c>
      <c r="M239">
        <v>75</v>
      </c>
      <c r="N239">
        <v>17.268450000000001</v>
      </c>
      <c r="O239">
        <v>5.5914429999999999</v>
      </c>
      <c r="P239">
        <v>14.19572</v>
      </c>
      <c r="Q239">
        <v>85733</v>
      </c>
    </row>
    <row r="240" spans="1:17" x14ac:dyDescent="0.25">
      <c r="A240" t="s">
        <v>16</v>
      </c>
      <c r="B240">
        <v>12</v>
      </c>
      <c r="C240">
        <v>1.61</v>
      </c>
      <c r="D240">
        <v>2018</v>
      </c>
      <c r="E240" t="s">
        <v>29</v>
      </c>
      <c r="F240">
        <v>2018325</v>
      </c>
      <c r="G240">
        <v>2019092</v>
      </c>
      <c r="H240">
        <v>12463</v>
      </c>
      <c r="I240">
        <v>2046</v>
      </c>
      <c r="J240">
        <v>100</v>
      </c>
      <c r="K240">
        <v>293</v>
      </c>
      <c r="L240">
        <v>0</v>
      </c>
      <c r="M240">
        <v>75</v>
      </c>
      <c r="N240">
        <v>19.677119999999999</v>
      </c>
      <c r="O240">
        <v>5.0265959999999996</v>
      </c>
      <c r="P240">
        <v>16.048940000000002</v>
      </c>
      <c r="Q240">
        <v>38872</v>
      </c>
    </row>
    <row r="241" spans="1:17" x14ac:dyDescent="0.25">
      <c r="A241" t="s">
        <v>16</v>
      </c>
      <c r="B241">
        <v>12</v>
      </c>
      <c r="C241">
        <v>1.61</v>
      </c>
      <c r="D241">
        <v>2019</v>
      </c>
      <c r="E241" t="s">
        <v>29</v>
      </c>
      <c r="F241">
        <v>2019325</v>
      </c>
      <c r="G241">
        <v>2020080</v>
      </c>
      <c r="H241">
        <v>18154</v>
      </c>
      <c r="I241">
        <v>3509</v>
      </c>
      <c r="J241">
        <v>100</v>
      </c>
      <c r="K241">
        <v>398</v>
      </c>
      <c r="L241">
        <v>0</v>
      </c>
      <c r="M241">
        <v>75</v>
      </c>
      <c r="N241">
        <v>19.30958</v>
      </c>
      <c r="O241">
        <v>7.4345749999999997</v>
      </c>
      <c r="P241">
        <v>13.95</v>
      </c>
      <c r="Q241">
        <v>66663</v>
      </c>
    </row>
    <row r="242" spans="1:17" x14ac:dyDescent="0.25">
      <c r="A242" t="s">
        <v>16</v>
      </c>
      <c r="B242">
        <v>13</v>
      </c>
      <c r="C242">
        <v>1.58</v>
      </c>
      <c r="D242">
        <v>2000</v>
      </c>
      <c r="E242" t="s">
        <v>28</v>
      </c>
      <c r="F242">
        <v>2000339</v>
      </c>
      <c r="G242">
        <v>2001089</v>
      </c>
      <c r="H242">
        <v>15956</v>
      </c>
      <c r="I242">
        <v>2047</v>
      </c>
      <c r="J242">
        <v>100</v>
      </c>
      <c r="K242">
        <v>641</v>
      </c>
      <c r="L242">
        <v>0</v>
      </c>
      <c r="M242">
        <v>75</v>
      </c>
      <c r="N242">
        <v>18.32386</v>
      </c>
      <c r="O242">
        <v>8.1306799999999999</v>
      </c>
      <c r="P242">
        <v>14.706250000000001</v>
      </c>
      <c r="Q242">
        <v>34800</v>
      </c>
    </row>
    <row r="243" spans="1:17" x14ac:dyDescent="0.25">
      <c r="A243" t="s">
        <v>16</v>
      </c>
      <c r="B243">
        <v>13</v>
      </c>
      <c r="C243">
        <v>1.58</v>
      </c>
      <c r="D243">
        <v>2001</v>
      </c>
      <c r="E243" t="s">
        <v>28</v>
      </c>
      <c r="F243">
        <v>2001339</v>
      </c>
      <c r="G243">
        <v>2002100</v>
      </c>
      <c r="H243">
        <v>18924</v>
      </c>
      <c r="I243">
        <v>2986</v>
      </c>
      <c r="J243">
        <v>100</v>
      </c>
      <c r="K243">
        <v>445</v>
      </c>
      <c r="L243">
        <v>0</v>
      </c>
      <c r="M243">
        <v>75</v>
      </c>
      <c r="N243">
        <v>18.194800000000001</v>
      </c>
      <c r="O243">
        <v>6.367629</v>
      </c>
      <c r="P243">
        <v>15.50174</v>
      </c>
      <c r="Q243">
        <v>50761</v>
      </c>
    </row>
    <row r="244" spans="1:17" x14ac:dyDescent="0.25">
      <c r="A244" t="s">
        <v>16</v>
      </c>
      <c r="B244">
        <v>13</v>
      </c>
      <c r="C244">
        <v>1.58</v>
      </c>
      <c r="D244">
        <v>2002</v>
      </c>
      <c r="E244" t="s">
        <v>28</v>
      </c>
      <c r="F244">
        <v>2002339</v>
      </c>
      <c r="G244">
        <v>2003096</v>
      </c>
      <c r="H244">
        <v>5583</v>
      </c>
      <c r="I244">
        <v>938</v>
      </c>
      <c r="J244">
        <v>100</v>
      </c>
      <c r="K244">
        <v>183</v>
      </c>
      <c r="L244">
        <v>0</v>
      </c>
      <c r="M244">
        <v>75</v>
      </c>
      <c r="N244">
        <v>18.493639999999999</v>
      </c>
      <c r="O244">
        <v>7.1520229999999998</v>
      </c>
      <c r="P244">
        <v>14.917339999999999</v>
      </c>
      <c r="Q244">
        <v>15949</v>
      </c>
    </row>
    <row r="245" spans="1:17" x14ac:dyDescent="0.25">
      <c r="A245" t="s">
        <v>16</v>
      </c>
      <c r="B245">
        <v>13</v>
      </c>
      <c r="C245">
        <v>1.58</v>
      </c>
      <c r="D245">
        <v>2003</v>
      </c>
      <c r="E245" t="s">
        <v>28</v>
      </c>
      <c r="F245">
        <v>2003339</v>
      </c>
      <c r="G245">
        <v>2004100</v>
      </c>
      <c r="H245">
        <v>25132</v>
      </c>
      <c r="I245">
        <v>4335</v>
      </c>
      <c r="J245">
        <v>100</v>
      </c>
      <c r="K245">
        <v>502</v>
      </c>
      <c r="L245">
        <v>0</v>
      </c>
      <c r="M245">
        <v>75</v>
      </c>
      <c r="N245">
        <v>17.17643</v>
      </c>
      <c r="O245">
        <v>6.702299</v>
      </c>
      <c r="P245">
        <v>14.68219</v>
      </c>
      <c r="Q245">
        <v>73701</v>
      </c>
    </row>
    <row r="246" spans="1:17" x14ac:dyDescent="0.25">
      <c r="A246" t="s">
        <v>16</v>
      </c>
      <c r="B246">
        <v>13</v>
      </c>
      <c r="C246">
        <v>1.58</v>
      </c>
      <c r="D246">
        <v>2004</v>
      </c>
      <c r="E246" t="s">
        <v>28</v>
      </c>
      <c r="F246">
        <v>2004339</v>
      </c>
      <c r="G246">
        <v>2005112</v>
      </c>
      <c r="H246">
        <v>9443</v>
      </c>
      <c r="I246">
        <v>1456</v>
      </c>
      <c r="J246">
        <v>100</v>
      </c>
      <c r="K246">
        <v>321</v>
      </c>
      <c r="L246">
        <v>0</v>
      </c>
      <c r="M246">
        <v>75</v>
      </c>
      <c r="N246">
        <v>18.942779999999999</v>
      </c>
      <c r="O246">
        <v>4.1294789999999999</v>
      </c>
      <c r="P246">
        <v>16.43815</v>
      </c>
      <c r="Q246">
        <v>24748</v>
      </c>
    </row>
    <row r="247" spans="1:17" x14ac:dyDescent="0.25">
      <c r="A247" t="s">
        <v>16</v>
      </c>
      <c r="B247">
        <v>13</v>
      </c>
      <c r="C247">
        <v>1.58</v>
      </c>
      <c r="D247">
        <v>2005</v>
      </c>
      <c r="E247" t="s">
        <v>28</v>
      </c>
      <c r="F247">
        <v>2005339</v>
      </c>
      <c r="G247">
        <v>2006106</v>
      </c>
      <c r="H247">
        <v>17025</v>
      </c>
      <c r="I247">
        <v>4517</v>
      </c>
      <c r="J247">
        <v>100</v>
      </c>
      <c r="K247">
        <v>344</v>
      </c>
      <c r="L247">
        <v>0</v>
      </c>
      <c r="M247">
        <v>75</v>
      </c>
      <c r="N247">
        <v>18.588370000000001</v>
      </c>
      <c r="O247">
        <v>5.7726740000000003</v>
      </c>
      <c r="P247">
        <v>15.37209</v>
      </c>
      <c r="Q247">
        <v>76787</v>
      </c>
    </row>
    <row r="248" spans="1:17" x14ac:dyDescent="0.25">
      <c r="A248" t="s">
        <v>16</v>
      </c>
      <c r="B248">
        <v>13</v>
      </c>
      <c r="C248">
        <v>1.58</v>
      </c>
      <c r="D248">
        <v>2006</v>
      </c>
      <c r="E248" t="s">
        <v>28</v>
      </c>
      <c r="F248">
        <v>2006339</v>
      </c>
      <c r="G248">
        <v>2007105</v>
      </c>
      <c r="H248">
        <v>22130</v>
      </c>
      <c r="I248">
        <v>3926</v>
      </c>
      <c r="J248">
        <v>100</v>
      </c>
      <c r="K248">
        <v>571</v>
      </c>
      <c r="L248">
        <v>0</v>
      </c>
      <c r="M248">
        <v>75</v>
      </c>
      <c r="N248">
        <v>17.881039999999999</v>
      </c>
      <c r="O248">
        <v>5.8183910000000001</v>
      </c>
      <c r="P248">
        <v>14.802289999999999</v>
      </c>
      <c r="Q248">
        <v>66744</v>
      </c>
    </row>
    <row r="249" spans="1:17" x14ac:dyDescent="0.25">
      <c r="A249" t="s">
        <v>16</v>
      </c>
      <c r="B249">
        <v>13</v>
      </c>
      <c r="C249">
        <v>1.58</v>
      </c>
      <c r="D249">
        <v>2007</v>
      </c>
      <c r="E249" t="s">
        <v>28</v>
      </c>
      <c r="F249">
        <v>2007339</v>
      </c>
      <c r="G249">
        <v>2008097</v>
      </c>
      <c r="H249">
        <v>22021</v>
      </c>
      <c r="I249">
        <v>4119</v>
      </c>
      <c r="J249">
        <v>100</v>
      </c>
      <c r="K249">
        <v>464</v>
      </c>
      <c r="L249">
        <v>0</v>
      </c>
      <c r="M249">
        <v>75</v>
      </c>
      <c r="N249">
        <v>18.524709999999999</v>
      </c>
      <c r="O249">
        <v>6.1454029999999999</v>
      </c>
      <c r="P249">
        <v>14.46035</v>
      </c>
      <c r="Q249">
        <v>70030</v>
      </c>
    </row>
    <row r="250" spans="1:17" x14ac:dyDescent="0.25">
      <c r="A250" t="s">
        <v>16</v>
      </c>
      <c r="B250">
        <v>13</v>
      </c>
      <c r="C250">
        <v>1.58</v>
      </c>
      <c r="D250">
        <v>2008</v>
      </c>
      <c r="E250" t="s">
        <v>28</v>
      </c>
      <c r="F250">
        <v>2008339</v>
      </c>
      <c r="G250">
        <v>2009099</v>
      </c>
      <c r="H250">
        <v>16992</v>
      </c>
      <c r="I250">
        <v>3575</v>
      </c>
      <c r="J250">
        <v>100</v>
      </c>
      <c r="K250">
        <v>334</v>
      </c>
      <c r="L250">
        <v>0</v>
      </c>
      <c r="M250">
        <v>75</v>
      </c>
      <c r="N250">
        <v>18.778410000000001</v>
      </c>
      <c r="O250">
        <v>5.7664780000000002</v>
      </c>
      <c r="P250">
        <v>14.977270000000001</v>
      </c>
      <c r="Q250">
        <v>60781</v>
      </c>
    </row>
    <row r="251" spans="1:17" x14ac:dyDescent="0.25">
      <c r="A251" t="s">
        <v>16</v>
      </c>
      <c r="B251">
        <v>13</v>
      </c>
      <c r="C251">
        <v>1.58</v>
      </c>
      <c r="D251">
        <v>2009</v>
      </c>
      <c r="E251" t="s">
        <v>29</v>
      </c>
      <c r="F251">
        <v>2009339</v>
      </c>
      <c r="G251">
        <v>2010103</v>
      </c>
      <c r="H251">
        <v>16830</v>
      </c>
      <c r="I251">
        <v>3013</v>
      </c>
      <c r="J251">
        <v>100</v>
      </c>
      <c r="K251">
        <v>732</v>
      </c>
      <c r="L251">
        <v>0</v>
      </c>
      <c r="M251">
        <v>75</v>
      </c>
      <c r="N251">
        <v>17.546849999999999</v>
      </c>
      <c r="O251">
        <v>7.0520019999999999</v>
      </c>
      <c r="P251">
        <v>14.197139999999999</v>
      </c>
      <c r="Q251">
        <v>51217</v>
      </c>
    </row>
    <row r="252" spans="1:17" x14ac:dyDescent="0.25">
      <c r="A252" t="s">
        <v>16</v>
      </c>
      <c r="B252">
        <v>13</v>
      </c>
      <c r="C252">
        <v>1.58</v>
      </c>
      <c r="D252">
        <v>2010</v>
      </c>
      <c r="E252" t="s">
        <v>29</v>
      </c>
      <c r="F252">
        <v>2010339</v>
      </c>
      <c r="G252">
        <v>2011098</v>
      </c>
      <c r="H252">
        <v>17620</v>
      </c>
      <c r="I252">
        <v>3527</v>
      </c>
      <c r="J252">
        <v>100</v>
      </c>
      <c r="K252">
        <v>576</v>
      </c>
      <c r="L252">
        <v>0</v>
      </c>
      <c r="M252">
        <v>75</v>
      </c>
      <c r="N252">
        <v>18.879429999999999</v>
      </c>
      <c r="O252">
        <v>7.8028589999999998</v>
      </c>
      <c r="P252">
        <v>14.34343</v>
      </c>
      <c r="Q252">
        <v>59956</v>
      </c>
    </row>
    <row r="253" spans="1:17" x14ac:dyDescent="0.25">
      <c r="A253" t="s">
        <v>16</v>
      </c>
      <c r="B253">
        <v>13</v>
      </c>
      <c r="C253">
        <v>1.58</v>
      </c>
      <c r="D253">
        <v>2011</v>
      </c>
      <c r="E253" t="s">
        <v>29</v>
      </c>
      <c r="F253">
        <v>2011339</v>
      </c>
      <c r="G253">
        <v>2012113</v>
      </c>
      <c r="H253">
        <v>11088</v>
      </c>
      <c r="I253">
        <v>1984</v>
      </c>
      <c r="J253">
        <v>100</v>
      </c>
      <c r="K253">
        <v>273</v>
      </c>
      <c r="L253">
        <v>0</v>
      </c>
      <c r="M253">
        <v>75</v>
      </c>
      <c r="N253">
        <v>18.73237</v>
      </c>
      <c r="O253">
        <v>3.9156070000000001</v>
      </c>
      <c r="P253">
        <v>15.65549</v>
      </c>
      <c r="Q253">
        <v>33729</v>
      </c>
    </row>
    <row r="254" spans="1:17" x14ac:dyDescent="0.25">
      <c r="A254" t="s">
        <v>16</v>
      </c>
      <c r="B254">
        <v>13</v>
      </c>
      <c r="C254">
        <v>1.58</v>
      </c>
      <c r="D254">
        <v>2012</v>
      </c>
      <c r="E254" t="s">
        <v>29</v>
      </c>
      <c r="F254">
        <v>2012339</v>
      </c>
      <c r="G254">
        <v>2013099</v>
      </c>
      <c r="H254">
        <v>20317</v>
      </c>
      <c r="I254">
        <v>4611</v>
      </c>
      <c r="J254">
        <v>100</v>
      </c>
      <c r="K254">
        <v>595</v>
      </c>
      <c r="L254">
        <v>0</v>
      </c>
      <c r="M254">
        <v>75</v>
      </c>
      <c r="N254">
        <v>18.109770000000001</v>
      </c>
      <c r="O254">
        <v>6.2149429999999999</v>
      </c>
      <c r="P254">
        <v>14.978160000000001</v>
      </c>
      <c r="Q254">
        <v>78392</v>
      </c>
    </row>
    <row r="255" spans="1:17" x14ac:dyDescent="0.25">
      <c r="A255" t="s">
        <v>16</v>
      </c>
      <c r="B255">
        <v>13</v>
      </c>
      <c r="C255">
        <v>1.58</v>
      </c>
      <c r="D255">
        <v>2013</v>
      </c>
      <c r="E255" t="s">
        <v>29</v>
      </c>
      <c r="F255">
        <v>2013339</v>
      </c>
      <c r="G255">
        <v>2014096</v>
      </c>
      <c r="H255">
        <v>17864</v>
      </c>
      <c r="I255">
        <v>3949</v>
      </c>
      <c r="J255">
        <v>100</v>
      </c>
      <c r="K255">
        <v>537</v>
      </c>
      <c r="L255">
        <v>0</v>
      </c>
      <c r="M255">
        <v>75</v>
      </c>
      <c r="N255">
        <v>19.203530000000001</v>
      </c>
      <c r="O255">
        <v>7.17</v>
      </c>
      <c r="P255">
        <v>15.28176</v>
      </c>
      <c r="Q255">
        <v>67128</v>
      </c>
    </row>
    <row r="256" spans="1:17" x14ac:dyDescent="0.25">
      <c r="A256" t="s">
        <v>16</v>
      </c>
      <c r="B256">
        <v>13</v>
      </c>
      <c r="C256">
        <v>1.58</v>
      </c>
      <c r="D256">
        <v>2014</v>
      </c>
      <c r="E256" t="s">
        <v>29</v>
      </c>
      <c r="F256">
        <v>2014339</v>
      </c>
      <c r="G256">
        <v>2015105</v>
      </c>
      <c r="H256">
        <v>13654</v>
      </c>
      <c r="I256">
        <v>3711</v>
      </c>
      <c r="J256">
        <v>100</v>
      </c>
      <c r="K256">
        <v>392</v>
      </c>
      <c r="L256">
        <v>0</v>
      </c>
      <c r="M256">
        <v>75</v>
      </c>
      <c r="N256">
        <v>19.462209999999999</v>
      </c>
      <c r="O256">
        <v>5.4459299999999997</v>
      </c>
      <c r="P256">
        <v>15.997680000000001</v>
      </c>
      <c r="Q256">
        <v>63093</v>
      </c>
    </row>
    <row r="257" spans="1:17" x14ac:dyDescent="0.25">
      <c r="A257" t="s">
        <v>16</v>
      </c>
      <c r="B257">
        <v>13</v>
      </c>
      <c r="C257">
        <v>1.58</v>
      </c>
      <c r="D257">
        <v>2015</v>
      </c>
      <c r="E257" t="s">
        <v>29</v>
      </c>
      <c r="F257">
        <v>2015339</v>
      </c>
      <c r="G257">
        <v>2016099</v>
      </c>
      <c r="H257">
        <v>22312</v>
      </c>
      <c r="I257">
        <v>5170</v>
      </c>
      <c r="J257">
        <v>100</v>
      </c>
      <c r="K257">
        <v>570</v>
      </c>
      <c r="L257">
        <v>0</v>
      </c>
      <c r="M257">
        <v>75</v>
      </c>
      <c r="N257">
        <v>17.837569999999999</v>
      </c>
      <c r="O257">
        <v>6.6271680000000002</v>
      </c>
      <c r="P257">
        <v>13.98382</v>
      </c>
      <c r="Q257">
        <v>87897</v>
      </c>
    </row>
    <row r="258" spans="1:17" x14ac:dyDescent="0.25">
      <c r="A258" t="s">
        <v>16</v>
      </c>
      <c r="B258">
        <v>13</v>
      </c>
      <c r="C258">
        <v>1.58</v>
      </c>
      <c r="D258">
        <v>2016</v>
      </c>
      <c r="E258" t="s">
        <v>29</v>
      </c>
      <c r="F258">
        <v>2016339</v>
      </c>
      <c r="G258">
        <v>2017099</v>
      </c>
      <c r="H258">
        <v>17606</v>
      </c>
      <c r="I258">
        <v>4971</v>
      </c>
      <c r="J258">
        <v>100</v>
      </c>
      <c r="K258">
        <v>390</v>
      </c>
      <c r="L258">
        <v>0</v>
      </c>
      <c r="M258">
        <v>75</v>
      </c>
      <c r="N258">
        <v>19.952269999999999</v>
      </c>
      <c r="O258">
        <v>6.1119310000000002</v>
      </c>
      <c r="P258">
        <v>15.62557</v>
      </c>
      <c r="Q258">
        <v>84508</v>
      </c>
    </row>
    <row r="259" spans="1:17" x14ac:dyDescent="0.25">
      <c r="A259" t="s">
        <v>16</v>
      </c>
      <c r="B259">
        <v>13</v>
      </c>
      <c r="C259">
        <v>1.58</v>
      </c>
      <c r="D259">
        <v>2017</v>
      </c>
      <c r="E259" t="s">
        <v>29</v>
      </c>
      <c r="F259">
        <v>2017339</v>
      </c>
      <c r="G259">
        <v>2018108</v>
      </c>
      <c r="H259">
        <v>21303</v>
      </c>
      <c r="I259">
        <v>4592</v>
      </c>
      <c r="J259">
        <v>100</v>
      </c>
      <c r="K259">
        <v>412</v>
      </c>
      <c r="L259">
        <v>0</v>
      </c>
      <c r="M259">
        <v>75</v>
      </c>
      <c r="N259">
        <v>17.491330000000001</v>
      </c>
      <c r="O259">
        <v>5.9109829999999999</v>
      </c>
      <c r="P259">
        <v>14.61619</v>
      </c>
      <c r="Q259">
        <v>78066</v>
      </c>
    </row>
    <row r="260" spans="1:17" x14ac:dyDescent="0.25">
      <c r="A260" t="s">
        <v>16</v>
      </c>
      <c r="B260">
        <v>13</v>
      </c>
      <c r="C260">
        <v>1.58</v>
      </c>
      <c r="D260">
        <v>2018</v>
      </c>
      <c r="E260" t="s">
        <v>29</v>
      </c>
      <c r="F260">
        <v>2018339</v>
      </c>
      <c r="G260">
        <v>2019102</v>
      </c>
      <c r="H260">
        <v>11512</v>
      </c>
      <c r="I260">
        <v>2250</v>
      </c>
      <c r="J260">
        <v>100</v>
      </c>
      <c r="K260">
        <v>293</v>
      </c>
      <c r="L260">
        <v>0</v>
      </c>
      <c r="M260">
        <v>75</v>
      </c>
      <c r="N260">
        <v>20.064730000000001</v>
      </c>
      <c r="O260">
        <v>5.1265900000000002</v>
      </c>
      <c r="P260">
        <v>16.75318</v>
      </c>
      <c r="Q260">
        <v>38254</v>
      </c>
    </row>
    <row r="261" spans="1:17" x14ac:dyDescent="0.25">
      <c r="A261" t="s">
        <v>16</v>
      </c>
      <c r="B261">
        <v>13</v>
      </c>
      <c r="C261">
        <v>1.58</v>
      </c>
      <c r="D261">
        <v>2019</v>
      </c>
      <c r="E261" t="s">
        <v>29</v>
      </c>
      <c r="F261">
        <v>2019339</v>
      </c>
      <c r="G261">
        <v>2020091</v>
      </c>
      <c r="H261">
        <v>18590</v>
      </c>
      <c r="I261">
        <v>3832</v>
      </c>
      <c r="J261">
        <v>100</v>
      </c>
      <c r="K261">
        <v>398</v>
      </c>
      <c r="L261">
        <v>0</v>
      </c>
      <c r="M261">
        <v>75</v>
      </c>
      <c r="N261">
        <v>19.624860000000002</v>
      </c>
      <c r="O261">
        <v>7.5219639999999997</v>
      </c>
      <c r="P261">
        <v>14.536989999999999</v>
      </c>
      <c r="Q261">
        <v>65150</v>
      </c>
    </row>
    <row r="262" spans="1:17" x14ac:dyDescent="0.25">
      <c r="A262" t="s">
        <v>16</v>
      </c>
      <c r="B262">
        <v>14</v>
      </c>
      <c r="C262">
        <v>1.45</v>
      </c>
      <c r="D262">
        <v>2000</v>
      </c>
      <c r="E262" t="s">
        <v>28</v>
      </c>
      <c r="F262">
        <v>2000325</v>
      </c>
      <c r="G262">
        <v>2001079</v>
      </c>
      <c r="H262">
        <v>17208</v>
      </c>
      <c r="I262">
        <v>2283</v>
      </c>
      <c r="J262">
        <v>50</v>
      </c>
      <c r="K262">
        <v>641</v>
      </c>
      <c r="L262">
        <v>0</v>
      </c>
      <c r="M262">
        <v>125</v>
      </c>
      <c r="N262">
        <v>18.27947</v>
      </c>
      <c r="O262">
        <v>8.2805239999999998</v>
      </c>
      <c r="P262">
        <v>14.03947</v>
      </c>
      <c r="Q262">
        <v>45653</v>
      </c>
    </row>
    <row r="263" spans="1:17" x14ac:dyDescent="0.25">
      <c r="A263" t="s">
        <v>16</v>
      </c>
      <c r="B263">
        <v>14</v>
      </c>
      <c r="C263">
        <v>1.45</v>
      </c>
      <c r="D263">
        <v>2001</v>
      </c>
      <c r="E263" t="s">
        <v>28</v>
      </c>
      <c r="F263">
        <v>2001325</v>
      </c>
      <c r="G263">
        <v>2002091</v>
      </c>
      <c r="H263">
        <v>17231</v>
      </c>
      <c r="I263">
        <v>3255</v>
      </c>
      <c r="J263">
        <v>50</v>
      </c>
      <c r="K263">
        <v>445</v>
      </c>
      <c r="L263">
        <v>0</v>
      </c>
      <c r="M263">
        <v>125</v>
      </c>
      <c r="N263">
        <v>17.879149999999999</v>
      </c>
      <c r="O263">
        <v>6.0192500000000004</v>
      </c>
      <c r="P263">
        <v>14.90856</v>
      </c>
      <c r="Q263">
        <v>65106</v>
      </c>
    </row>
    <row r="264" spans="1:17" x14ac:dyDescent="0.25">
      <c r="A264" t="s">
        <v>16</v>
      </c>
      <c r="B264">
        <v>14</v>
      </c>
      <c r="C264">
        <v>1.45</v>
      </c>
      <c r="D264">
        <v>2002</v>
      </c>
      <c r="E264" t="s">
        <v>28</v>
      </c>
      <c r="F264">
        <v>2002325</v>
      </c>
      <c r="G264">
        <v>2003086</v>
      </c>
      <c r="H264">
        <v>2699</v>
      </c>
      <c r="I264">
        <v>423</v>
      </c>
      <c r="J264">
        <v>50</v>
      </c>
      <c r="K264">
        <v>183</v>
      </c>
      <c r="L264">
        <v>0</v>
      </c>
      <c r="M264">
        <v>125</v>
      </c>
      <c r="N264">
        <v>18.200530000000001</v>
      </c>
      <c r="O264">
        <v>7.032978</v>
      </c>
      <c r="P264">
        <v>14.28777</v>
      </c>
      <c r="Q264">
        <v>8467</v>
      </c>
    </row>
    <row r="265" spans="1:17" x14ac:dyDescent="0.25">
      <c r="A265" t="s">
        <v>16</v>
      </c>
      <c r="B265">
        <v>14</v>
      </c>
      <c r="C265">
        <v>1.45</v>
      </c>
      <c r="D265">
        <v>2003</v>
      </c>
      <c r="E265" t="s">
        <v>28</v>
      </c>
      <c r="F265">
        <v>2003325</v>
      </c>
      <c r="G265">
        <v>2004091</v>
      </c>
      <c r="H265">
        <v>22843</v>
      </c>
      <c r="I265">
        <v>3961</v>
      </c>
      <c r="J265">
        <v>50</v>
      </c>
      <c r="K265">
        <v>502</v>
      </c>
      <c r="L265">
        <v>0</v>
      </c>
      <c r="M265">
        <v>125</v>
      </c>
      <c r="N265">
        <v>16.82713</v>
      </c>
      <c r="O265">
        <v>6.659573</v>
      </c>
      <c r="P265">
        <v>14.002129999999999</v>
      </c>
      <c r="Q265">
        <v>79225</v>
      </c>
    </row>
    <row r="266" spans="1:17" x14ac:dyDescent="0.25">
      <c r="A266" t="s">
        <v>16</v>
      </c>
      <c r="B266">
        <v>14</v>
      </c>
      <c r="C266">
        <v>1.45</v>
      </c>
      <c r="D266">
        <v>2004</v>
      </c>
      <c r="E266" t="s">
        <v>28</v>
      </c>
      <c r="F266">
        <v>2004325</v>
      </c>
      <c r="G266">
        <v>2005104</v>
      </c>
      <c r="H266">
        <v>10061</v>
      </c>
      <c r="I266">
        <v>2482</v>
      </c>
      <c r="J266">
        <v>50</v>
      </c>
      <c r="K266">
        <v>321</v>
      </c>
      <c r="L266">
        <v>0</v>
      </c>
      <c r="M266">
        <v>125</v>
      </c>
      <c r="N266">
        <v>18.544979999999999</v>
      </c>
      <c r="O266">
        <v>4.1169310000000001</v>
      </c>
      <c r="P266">
        <v>15.66455</v>
      </c>
      <c r="Q266">
        <v>49633</v>
      </c>
    </row>
    <row r="267" spans="1:17" x14ac:dyDescent="0.25">
      <c r="A267" t="s">
        <v>16</v>
      </c>
      <c r="B267">
        <v>14</v>
      </c>
      <c r="C267">
        <v>1.45</v>
      </c>
      <c r="D267">
        <v>2005</v>
      </c>
      <c r="E267" t="s">
        <v>28</v>
      </c>
      <c r="F267">
        <v>2005325</v>
      </c>
      <c r="G267">
        <v>2006099</v>
      </c>
      <c r="H267">
        <v>14320</v>
      </c>
      <c r="I267">
        <v>4578</v>
      </c>
      <c r="J267">
        <v>50</v>
      </c>
      <c r="K267">
        <v>344</v>
      </c>
      <c r="L267">
        <v>0</v>
      </c>
      <c r="M267">
        <v>125</v>
      </c>
      <c r="N267">
        <v>18.25187</v>
      </c>
      <c r="O267">
        <v>5.5534759999999999</v>
      </c>
      <c r="P267">
        <v>14.824070000000001</v>
      </c>
      <c r="Q267">
        <v>91568</v>
      </c>
    </row>
    <row r="268" spans="1:17" x14ac:dyDescent="0.25">
      <c r="A268" t="s">
        <v>16</v>
      </c>
      <c r="B268">
        <v>14</v>
      </c>
      <c r="C268">
        <v>1.45</v>
      </c>
      <c r="D268">
        <v>2006</v>
      </c>
      <c r="E268" t="s">
        <v>28</v>
      </c>
      <c r="F268">
        <v>2006325</v>
      </c>
      <c r="G268">
        <v>2007096</v>
      </c>
      <c r="H268">
        <v>21253</v>
      </c>
      <c r="I268">
        <v>4196</v>
      </c>
      <c r="J268">
        <v>50</v>
      </c>
      <c r="K268">
        <v>571</v>
      </c>
      <c r="L268">
        <v>0</v>
      </c>
      <c r="M268">
        <v>125</v>
      </c>
      <c r="N268">
        <v>17.707930000000001</v>
      </c>
      <c r="O268">
        <v>5.9359789999999997</v>
      </c>
      <c r="P268">
        <v>14.156079999999999</v>
      </c>
      <c r="Q268">
        <v>83921</v>
      </c>
    </row>
    <row r="269" spans="1:17" x14ac:dyDescent="0.25">
      <c r="A269" t="s">
        <v>16</v>
      </c>
      <c r="B269">
        <v>14</v>
      </c>
      <c r="C269">
        <v>1.45</v>
      </c>
      <c r="D269">
        <v>2007</v>
      </c>
      <c r="E269" t="s">
        <v>29</v>
      </c>
      <c r="F269">
        <v>2007325</v>
      </c>
      <c r="G269">
        <v>2008089</v>
      </c>
      <c r="H269">
        <v>19086</v>
      </c>
      <c r="I269">
        <v>5043</v>
      </c>
      <c r="J269">
        <v>50</v>
      </c>
      <c r="K269">
        <v>464</v>
      </c>
      <c r="L269">
        <v>0</v>
      </c>
      <c r="M269">
        <v>125</v>
      </c>
      <c r="N269">
        <v>18.158829999999998</v>
      </c>
      <c r="O269">
        <v>5.9566850000000002</v>
      </c>
      <c r="P269">
        <v>13.9123</v>
      </c>
      <c r="Q269">
        <v>100869</v>
      </c>
    </row>
    <row r="270" spans="1:17" x14ac:dyDescent="0.25">
      <c r="A270" t="s">
        <v>16</v>
      </c>
      <c r="B270">
        <v>14</v>
      </c>
      <c r="C270">
        <v>1.45</v>
      </c>
      <c r="D270">
        <v>2008</v>
      </c>
      <c r="E270" t="s">
        <v>29</v>
      </c>
      <c r="F270">
        <v>2008325</v>
      </c>
      <c r="G270">
        <v>2009092</v>
      </c>
      <c r="H270">
        <v>14919</v>
      </c>
      <c r="I270">
        <v>4248</v>
      </c>
      <c r="J270">
        <v>50</v>
      </c>
      <c r="K270">
        <v>334</v>
      </c>
      <c r="L270">
        <v>0</v>
      </c>
      <c r="M270">
        <v>125</v>
      </c>
      <c r="N270">
        <v>18.368259999999999</v>
      </c>
      <c r="O270">
        <v>5.5873020000000002</v>
      </c>
      <c r="P270">
        <v>14.4381</v>
      </c>
      <c r="Q270">
        <v>84955</v>
      </c>
    </row>
    <row r="271" spans="1:17" x14ac:dyDescent="0.25">
      <c r="A271" t="s">
        <v>16</v>
      </c>
      <c r="B271">
        <v>14</v>
      </c>
      <c r="C271">
        <v>1.45</v>
      </c>
      <c r="D271">
        <v>2009</v>
      </c>
      <c r="E271" t="s">
        <v>29</v>
      </c>
      <c r="F271">
        <v>2009325</v>
      </c>
      <c r="G271">
        <v>2010092</v>
      </c>
      <c r="H271">
        <v>19661</v>
      </c>
      <c r="I271">
        <v>4133</v>
      </c>
      <c r="J271">
        <v>50</v>
      </c>
      <c r="K271">
        <v>732</v>
      </c>
      <c r="L271">
        <v>0</v>
      </c>
      <c r="M271">
        <v>125</v>
      </c>
      <c r="N271">
        <v>17.39415</v>
      </c>
      <c r="O271">
        <v>7.0106400000000004</v>
      </c>
      <c r="P271">
        <v>13.622870000000001</v>
      </c>
      <c r="Q271">
        <v>82664</v>
      </c>
    </row>
    <row r="272" spans="1:17" x14ac:dyDescent="0.25">
      <c r="A272" t="s">
        <v>16</v>
      </c>
      <c r="B272">
        <v>14</v>
      </c>
      <c r="C272">
        <v>1.45</v>
      </c>
      <c r="D272">
        <v>2010</v>
      </c>
      <c r="E272" t="s">
        <v>29</v>
      </c>
      <c r="F272">
        <v>2010325</v>
      </c>
      <c r="G272">
        <v>2011089</v>
      </c>
      <c r="H272">
        <v>17788</v>
      </c>
      <c r="I272">
        <v>4115</v>
      </c>
      <c r="J272">
        <v>50</v>
      </c>
      <c r="K272">
        <v>576</v>
      </c>
      <c r="L272">
        <v>0</v>
      </c>
      <c r="M272">
        <v>125</v>
      </c>
      <c r="N272">
        <v>18.51596</v>
      </c>
      <c r="O272">
        <v>7.6718099999999998</v>
      </c>
      <c r="P272">
        <v>13.812760000000001</v>
      </c>
      <c r="Q272">
        <v>82297</v>
      </c>
    </row>
    <row r="273" spans="1:17" x14ac:dyDescent="0.25">
      <c r="A273" t="s">
        <v>16</v>
      </c>
      <c r="B273">
        <v>14</v>
      </c>
      <c r="C273">
        <v>1.45</v>
      </c>
      <c r="D273">
        <v>2011</v>
      </c>
      <c r="E273" t="s">
        <v>29</v>
      </c>
      <c r="F273">
        <v>2011325</v>
      </c>
      <c r="G273">
        <v>2012105</v>
      </c>
      <c r="H273">
        <v>9390</v>
      </c>
      <c r="I273">
        <v>2217</v>
      </c>
      <c r="J273">
        <v>50</v>
      </c>
      <c r="K273">
        <v>273</v>
      </c>
      <c r="L273">
        <v>0</v>
      </c>
      <c r="M273">
        <v>125</v>
      </c>
      <c r="N273">
        <v>18.387229999999999</v>
      </c>
      <c r="O273">
        <v>3.9143620000000001</v>
      </c>
      <c r="P273">
        <v>15.01276</v>
      </c>
      <c r="Q273">
        <v>44348</v>
      </c>
    </row>
    <row r="274" spans="1:17" x14ac:dyDescent="0.25">
      <c r="A274" t="s">
        <v>16</v>
      </c>
      <c r="B274">
        <v>14</v>
      </c>
      <c r="C274">
        <v>1.45</v>
      </c>
      <c r="D274">
        <v>2012</v>
      </c>
      <c r="E274" t="s">
        <v>29</v>
      </c>
      <c r="F274">
        <v>2012325</v>
      </c>
      <c r="G274">
        <v>2013094</v>
      </c>
      <c r="H274">
        <v>19270</v>
      </c>
      <c r="I274">
        <v>4730</v>
      </c>
      <c r="J274">
        <v>50</v>
      </c>
      <c r="K274">
        <v>595</v>
      </c>
      <c r="L274">
        <v>0</v>
      </c>
      <c r="M274">
        <v>125</v>
      </c>
      <c r="N274">
        <v>17.721689999999999</v>
      </c>
      <c r="O274">
        <v>5.9714299999999998</v>
      </c>
      <c r="P274">
        <v>14.36614</v>
      </c>
      <c r="Q274">
        <v>94606</v>
      </c>
    </row>
    <row r="275" spans="1:17" x14ac:dyDescent="0.25">
      <c r="A275" t="s">
        <v>16</v>
      </c>
      <c r="B275">
        <v>14</v>
      </c>
      <c r="C275">
        <v>1.45</v>
      </c>
      <c r="D275">
        <v>2013</v>
      </c>
      <c r="E275" t="s">
        <v>29</v>
      </c>
      <c r="F275">
        <v>2013325</v>
      </c>
      <c r="G275">
        <v>2014091</v>
      </c>
      <c r="H275">
        <v>16923</v>
      </c>
      <c r="I275">
        <v>4358</v>
      </c>
      <c r="J275">
        <v>50</v>
      </c>
      <c r="K275">
        <v>537</v>
      </c>
      <c r="L275">
        <v>0</v>
      </c>
      <c r="M275">
        <v>125</v>
      </c>
      <c r="N275">
        <v>18.930440000000001</v>
      </c>
      <c r="O275">
        <v>6.4771739999999998</v>
      </c>
      <c r="P275">
        <v>14.86359</v>
      </c>
      <c r="Q275">
        <v>87168</v>
      </c>
    </row>
    <row r="276" spans="1:17" x14ac:dyDescent="0.25">
      <c r="A276" t="s">
        <v>16</v>
      </c>
      <c r="B276">
        <v>14</v>
      </c>
      <c r="C276">
        <v>1.45</v>
      </c>
      <c r="D276">
        <v>2014</v>
      </c>
      <c r="E276" t="s">
        <v>29</v>
      </c>
      <c r="F276">
        <v>2014325</v>
      </c>
      <c r="G276">
        <v>2015097</v>
      </c>
      <c r="H276">
        <v>13283</v>
      </c>
      <c r="I276">
        <v>4386</v>
      </c>
      <c r="J276">
        <v>50</v>
      </c>
      <c r="K276">
        <v>392</v>
      </c>
      <c r="L276">
        <v>0</v>
      </c>
      <c r="M276">
        <v>125</v>
      </c>
      <c r="N276">
        <v>19.080960000000001</v>
      </c>
      <c r="O276">
        <v>5.3455029999999999</v>
      </c>
      <c r="P276">
        <v>15.28519</v>
      </c>
      <c r="Q276">
        <v>87724</v>
      </c>
    </row>
    <row r="277" spans="1:17" x14ac:dyDescent="0.25">
      <c r="A277" t="s">
        <v>16</v>
      </c>
      <c r="B277">
        <v>14</v>
      </c>
      <c r="C277">
        <v>1.45</v>
      </c>
      <c r="D277">
        <v>2015</v>
      </c>
      <c r="E277" t="s">
        <v>29</v>
      </c>
      <c r="F277">
        <v>2015325</v>
      </c>
      <c r="G277">
        <v>2016087</v>
      </c>
      <c r="H277">
        <v>18308</v>
      </c>
      <c r="I277">
        <v>3879</v>
      </c>
      <c r="J277">
        <v>50</v>
      </c>
      <c r="K277">
        <v>570</v>
      </c>
      <c r="L277">
        <v>0</v>
      </c>
      <c r="M277">
        <v>125</v>
      </c>
      <c r="N277">
        <v>17.87433</v>
      </c>
      <c r="O277">
        <v>6.2737970000000001</v>
      </c>
      <c r="P277">
        <v>13.583959999999999</v>
      </c>
      <c r="Q277">
        <v>77571</v>
      </c>
    </row>
    <row r="278" spans="1:17" x14ac:dyDescent="0.25">
      <c r="A278" t="s">
        <v>16</v>
      </c>
      <c r="B278">
        <v>14</v>
      </c>
      <c r="C278">
        <v>1.45</v>
      </c>
      <c r="D278">
        <v>2016</v>
      </c>
      <c r="E278" t="s">
        <v>29</v>
      </c>
      <c r="F278">
        <v>2016325</v>
      </c>
      <c r="G278">
        <v>2017089</v>
      </c>
      <c r="H278">
        <v>18090</v>
      </c>
      <c r="I278">
        <v>5309</v>
      </c>
      <c r="J278">
        <v>50</v>
      </c>
      <c r="K278">
        <v>390</v>
      </c>
      <c r="L278">
        <v>0</v>
      </c>
      <c r="M278">
        <v>125</v>
      </c>
      <c r="N278">
        <v>19.706910000000001</v>
      </c>
      <c r="O278">
        <v>6.1574470000000003</v>
      </c>
      <c r="P278">
        <v>15.05585</v>
      </c>
      <c r="Q278">
        <v>106173</v>
      </c>
    </row>
    <row r="279" spans="1:17" x14ac:dyDescent="0.25">
      <c r="A279" t="s">
        <v>16</v>
      </c>
      <c r="B279">
        <v>14</v>
      </c>
      <c r="C279">
        <v>1.45</v>
      </c>
      <c r="D279">
        <v>2017</v>
      </c>
      <c r="E279" t="s">
        <v>29</v>
      </c>
      <c r="F279">
        <v>2017325</v>
      </c>
      <c r="G279">
        <v>2018098</v>
      </c>
      <c r="H279">
        <v>19420</v>
      </c>
      <c r="I279">
        <v>4865</v>
      </c>
      <c r="J279">
        <v>50</v>
      </c>
      <c r="K279">
        <v>412</v>
      </c>
      <c r="L279">
        <v>0</v>
      </c>
      <c r="M279">
        <v>125</v>
      </c>
      <c r="N279">
        <v>17.268450000000001</v>
      </c>
      <c r="O279">
        <v>5.5914429999999999</v>
      </c>
      <c r="P279">
        <v>14.19572</v>
      </c>
      <c r="Q279">
        <v>97301</v>
      </c>
    </row>
    <row r="280" spans="1:17" x14ac:dyDescent="0.25">
      <c r="A280" t="s">
        <v>16</v>
      </c>
      <c r="B280">
        <v>14</v>
      </c>
      <c r="C280">
        <v>1.45</v>
      </c>
      <c r="D280">
        <v>2018</v>
      </c>
      <c r="E280" t="s">
        <v>29</v>
      </c>
      <c r="F280">
        <v>2018325</v>
      </c>
      <c r="G280">
        <v>2019092</v>
      </c>
      <c r="H280">
        <v>10916</v>
      </c>
      <c r="I280">
        <v>2405</v>
      </c>
      <c r="J280">
        <v>50</v>
      </c>
      <c r="K280">
        <v>293</v>
      </c>
      <c r="L280">
        <v>0</v>
      </c>
      <c r="M280">
        <v>125</v>
      </c>
      <c r="N280">
        <v>19.677119999999999</v>
      </c>
      <c r="O280">
        <v>5.0265959999999996</v>
      </c>
      <c r="P280">
        <v>16.048940000000002</v>
      </c>
      <c r="Q280">
        <v>48095</v>
      </c>
    </row>
    <row r="281" spans="1:17" x14ac:dyDescent="0.25">
      <c r="A281" t="s">
        <v>16</v>
      </c>
      <c r="B281">
        <v>14</v>
      </c>
      <c r="C281">
        <v>1.45</v>
      </c>
      <c r="D281">
        <v>2019</v>
      </c>
      <c r="E281" t="s">
        <v>29</v>
      </c>
      <c r="F281">
        <v>2019325</v>
      </c>
      <c r="G281">
        <v>2020080</v>
      </c>
      <c r="H281">
        <v>17788</v>
      </c>
      <c r="I281">
        <v>3350</v>
      </c>
      <c r="J281">
        <v>50</v>
      </c>
      <c r="K281">
        <v>398</v>
      </c>
      <c r="L281">
        <v>0</v>
      </c>
      <c r="M281">
        <v>125</v>
      </c>
      <c r="N281">
        <v>19.30958</v>
      </c>
      <c r="O281">
        <v>7.4345749999999997</v>
      </c>
      <c r="P281">
        <v>13.95</v>
      </c>
      <c r="Q281">
        <v>66998</v>
      </c>
    </row>
    <row r="282" spans="1:17" x14ac:dyDescent="0.25">
      <c r="A282" t="s">
        <v>16</v>
      </c>
      <c r="B282">
        <v>15</v>
      </c>
      <c r="C282">
        <v>1.52</v>
      </c>
      <c r="D282">
        <v>2000</v>
      </c>
      <c r="E282" t="s">
        <v>28</v>
      </c>
      <c r="F282">
        <v>2000308</v>
      </c>
      <c r="G282">
        <v>2001062</v>
      </c>
      <c r="H282">
        <v>17383</v>
      </c>
      <c r="I282">
        <v>2389</v>
      </c>
      <c r="J282">
        <v>50</v>
      </c>
      <c r="K282">
        <v>641</v>
      </c>
      <c r="L282">
        <v>0</v>
      </c>
      <c r="M282">
        <v>125</v>
      </c>
      <c r="N282">
        <v>18.028639999999999</v>
      </c>
      <c r="O282">
        <v>8.0300960000000003</v>
      </c>
      <c r="P282">
        <v>13.62233</v>
      </c>
      <c r="Q282">
        <v>43011</v>
      </c>
    </row>
    <row r="283" spans="1:17" x14ac:dyDescent="0.25">
      <c r="A283" t="s">
        <v>16</v>
      </c>
      <c r="B283">
        <v>15</v>
      </c>
      <c r="C283">
        <v>1.52</v>
      </c>
      <c r="D283">
        <v>2001</v>
      </c>
      <c r="E283" t="s">
        <v>28</v>
      </c>
      <c r="F283">
        <v>2001308</v>
      </c>
      <c r="G283">
        <v>2002082</v>
      </c>
      <c r="H283">
        <v>20439</v>
      </c>
      <c r="I283">
        <v>3585</v>
      </c>
      <c r="J283">
        <v>50</v>
      </c>
      <c r="K283">
        <v>445</v>
      </c>
      <c r="L283">
        <v>0</v>
      </c>
      <c r="M283">
        <v>125</v>
      </c>
      <c r="N283">
        <v>17.575240000000001</v>
      </c>
      <c r="O283">
        <v>5.6582520000000001</v>
      </c>
      <c r="P283">
        <v>14.53107</v>
      </c>
      <c r="Q283">
        <v>64538</v>
      </c>
    </row>
    <row r="284" spans="1:17" x14ac:dyDescent="0.25">
      <c r="A284" t="s">
        <v>16</v>
      </c>
      <c r="B284">
        <v>15</v>
      </c>
      <c r="C284">
        <v>1.52</v>
      </c>
      <c r="D284">
        <v>2002</v>
      </c>
      <c r="E284" t="s">
        <v>28</v>
      </c>
      <c r="F284">
        <v>2002308</v>
      </c>
      <c r="G284">
        <v>2003072</v>
      </c>
      <c r="H284">
        <v>3366</v>
      </c>
      <c r="I284">
        <v>477</v>
      </c>
      <c r="J284">
        <v>50</v>
      </c>
      <c r="K284">
        <v>183</v>
      </c>
      <c r="L284">
        <v>0</v>
      </c>
      <c r="M284">
        <v>125</v>
      </c>
      <c r="N284">
        <v>17.995629999999998</v>
      </c>
      <c r="O284">
        <v>7.088349</v>
      </c>
      <c r="P284">
        <v>13.651450000000001</v>
      </c>
      <c r="Q284">
        <v>8577</v>
      </c>
    </row>
    <row r="285" spans="1:17" x14ac:dyDescent="0.25">
      <c r="A285" t="s">
        <v>16</v>
      </c>
      <c r="B285">
        <v>15</v>
      </c>
      <c r="C285">
        <v>1.52</v>
      </c>
      <c r="D285">
        <v>2003</v>
      </c>
      <c r="E285" t="s">
        <v>28</v>
      </c>
      <c r="F285">
        <v>2003308</v>
      </c>
      <c r="G285">
        <v>2004078</v>
      </c>
      <c r="H285">
        <v>22891</v>
      </c>
      <c r="I285">
        <v>3362</v>
      </c>
      <c r="J285">
        <v>50</v>
      </c>
      <c r="K285">
        <v>502</v>
      </c>
      <c r="L285">
        <v>0</v>
      </c>
      <c r="M285">
        <v>125</v>
      </c>
      <c r="N285">
        <v>16.806799999999999</v>
      </c>
      <c r="O285">
        <v>6.8432019999999998</v>
      </c>
      <c r="P285">
        <v>13.43253</v>
      </c>
      <c r="Q285">
        <v>60510</v>
      </c>
    </row>
    <row r="286" spans="1:17" x14ac:dyDescent="0.25">
      <c r="A286" t="s">
        <v>16</v>
      </c>
      <c r="B286">
        <v>15</v>
      </c>
      <c r="C286">
        <v>1.52</v>
      </c>
      <c r="D286">
        <v>2004</v>
      </c>
      <c r="E286" t="s">
        <v>28</v>
      </c>
      <c r="F286">
        <v>2004308</v>
      </c>
      <c r="G286">
        <v>2005094</v>
      </c>
      <c r="H286">
        <v>10552</v>
      </c>
      <c r="I286">
        <v>1704</v>
      </c>
      <c r="J286">
        <v>50</v>
      </c>
      <c r="K286">
        <v>321</v>
      </c>
      <c r="L286">
        <v>0</v>
      </c>
      <c r="M286">
        <v>125</v>
      </c>
      <c r="N286">
        <v>18.451689999999999</v>
      </c>
      <c r="O286">
        <v>3.9579710000000001</v>
      </c>
      <c r="P286">
        <v>15.298550000000001</v>
      </c>
      <c r="Q286">
        <v>30665</v>
      </c>
    </row>
    <row r="287" spans="1:17" x14ac:dyDescent="0.25">
      <c r="A287" t="s">
        <v>16</v>
      </c>
      <c r="B287">
        <v>15</v>
      </c>
      <c r="C287">
        <v>1.52</v>
      </c>
      <c r="D287">
        <v>2005</v>
      </c>
      <c r="E287" t="s">
        <v>28</v>
      </c>
      <c r="F287">
        <v>2005308</v>
      </c>
      <c r="G287">
        <v>2006088</v>
      </c>
      <c r="H287">
        <v>16197</v>
      </c>
      <c r="I287">
        <v>4449</v>
      </c>
      <c r="J287">
        <v>50</v>
      </c>
      <c r="K287">
        <v>344</v>
      </c>
      <c r="L287">
        <v>0</v>
      </c>
      <c r="M287">
        <v>125</v>
      </c>
      <c r="N287">
        <v>17.985859999999999</v>
      </c>
      <c r="O287">
        <v>5.5063409999999999</v>
      </c>
      <c r="P287">
        <v>14.232200000000001</v>
      </c>
      <c r="Q287">
        <v>80079</v>
      </c>
    </row>
    <row r="288" spans="1:17" x14ac:dyDescent="0.25">
      <c r="A288" t="s">
        <v>16</v>
      </c>
      <c r="B288">
        <v>15</v>
      </c>
      <c r="C288">
        <v>1.52</v>
      </c>
      <c r="D288">
        <v>2006</v>
      </c>
      <c r="E288" t="s">
        <v>28</v>
      </c>
      <c r="F288">
        <v>2006308</v>
      </c>
      <c r="G288">
        <v>2007080</v>
      </c>
      <c r="H288">
        <v>23018</v>
      </c>
      <c r="I288">
        <v>4214</v>
      </c>
      <c r="J288">
        <v>50</v>
      </c>
      <c r="K288">
        <v>571</v>
      </c>
      <c r="L288">
        <v>0</v>
      </c>
      <c r="M288">
        <v>125</v>
      </c>
      <c r="N288">
        <v>17.828009999999999</v>
      </c>
      <c r="O288">
        <v>6.246861</v>
      </c>
      <c r="P288">
        <v>13.635260000000001</v>
      </c>
      <c r="Q288">
        <v>75860</v>
      </c>
    </row>
    <row r="289" spans="1:17" x14ac:dyDescent="0.25">
      <c r="A289" t="s">
        <v>16</v>
      </c>
      <c r="B289">
        <v>15</v>
      </c>
      <c r="C289">
        <v>1.52</v>
      </c>
      <c r="D289">
        <v>2007</v>
      </c>
      <c r="E289" t="s">
        <v>28</v>
      </c>
      <c r="F289">
        <v>2007308</v>
      </c>
      <c r="G289">
        <v>2008076</v>
      </c>
      <c r="H289">
        <v>19684</v>
      </c>
      <c r="I289">
        <v>3452</v>
      </c>
      <c r="J289">
        <v>50</v>
      </c>
      <c r="K289">
        <v>464</v>
      </c>
      <c r="L289">
        <v>0</v>
      </c>
      <c r="M289">
        <v>125</v>
      </c>
      <c r="N289">
        <v>18.112200000000001</v>
      </c>
      <c r="O289">
        <v>5.5224399999999996</v>
      </c>
      <c r="P289">
        <v>13.54927</v>
      </c>
      <c r="Q289">
        <v>62129</v>
      </c>
    </row>
    <row r="290" spans="1:17" x14ac:dyDescent="0.25">
      <c r="A290" t="s">
        <v>16</v>
      </c>
      <c r="B290">
        <v>15</v>
      </c>
      <c r="C290">
        <v>1.52</v>
      </c>
      <c r="D290">
        <v>2008</v>
      </c>
      <c r="E290" t="s">
        <v>28</v>
      </c>
      <c r="F290">
        <v>2008308</v>
      </c>
      <c r="G290">
        <v>2009080</v>
      </c>
      <c r="H290">
        <v>15945</v>
      </c>
      <c r="I290">
        <v>3307</v>
      </c>
      <c r="J290">
        <v>50</v>
      </c>
      <c r="K290">
        <v>334</v>
      </c>
      <c r="L290">
        <v>0</v>
      </c>
      <c r="M290">
        <v>125</v>
      </c>
      <c r="N290">
        <v>18.33689</v>
      </c>
      <c r="O290">
        <v>5.306311</v>
      </c>
      <c r="P290">
        <v>14.15583</v>
      </c>
      <c r="Q290">
        <v>59530</v>
      </c>
    </row>
    <row r="291" spans="1:17" x14ac:dyDescent="0.25">
      <c r="A291" t="s">
        <v>16</v>
      </c>
      <c r="B291">
        <v>15</v>
      </c>
      <c r="C291">
        <v>1.52</v>
      </c>
      <c r="D291">
        <v>2009</v>
      </c>
      <c r="E291" t="s">
        <v>29</v>
      </c>
      <c r="F291">
        <v>2009308</v>
      </c>
      <c r="G291">
        <v>2010080</v>
      </c>
      <c r="H291">
        <v>19023</v>
      </c>
      <c r="I291">
        <v>3453</v>
      </c>
      <c r="J291">
        <v>50</v>
      </c>
      <c r="K291">
        <v>732</v>
      </c>
      <c r="L291">
        <v>0</v>
      </c>
      <c r="M291">
        <v>125</v>
      </c>
      <c r="N291">
        <v>17.631550000000001</v>
      </c>
      <c r="O291">
        <v>7.0320410000000004</v>
      </c>
      <c r="P291">
        <v>13.214079999999999</v>
      </c>
      <c r="Q291">
        <v>62148</v>
      </c>
    </row>
    <row r="292" spans="1:17" x14ac:dyDescent="0.25">
      <c r="A292" t="s">
        <v>16</v>
      </c>
      <c r="B292">
        <v>15</v>
      </c>
      <c r="C292">
        <v>1.52</v>
      </c>
      <c r="D292">
        <v>2010</v>
      </c>
      <c r="E292" t="s">
        <v>29</v>
      </c>
      <c r="F292">
        <v>2010308</v>
      </c>
      <c r="G292">
        <v>2011077</v>
      </c>
      <c r="H292">
        <v>19453</v>
      </c>
      <c r="I292">
        <v>4300</v>
      </c>
      <c r="J292">
        <v>50</v>
      </c>
      <c r="K292">
        <v>576</v>
      </c>
      <c r="L292">
        <v>0</v>
      </c>
      <c r="M292">
        <v>125</v>
      </c>
      <c r="N292">
        <v>18.253399999999999</v>
      </c>
      <c r="O292">
        <v>7.5509719999999998</v>
      </c>
      <c r="P292">
        <v>13.2966</v>
      </c>
      <c r="Q292">
        <v>77406</v>
      </c>
    </row>
    <row r="293" spans="1:17" x14ac:dyDescent="0.25">
      <c r="A293" t="s">
        <v>16</v>
      </c>
      <c r="B293">
        <v>15</v>
      </c>
      <c r="C293">
        <v>1.52</v>
      </c>
      <c r="D293">
        <v>2011</v>
      </c>
      <c r="E293" t="s">
        <v>29</v>
      </c>
      <c r="F293">
        <v>2011308</v>
      </c>
      <c r="G293">
        <v>2012091</v>
      </c>
      <c r="H293">
        <v>9303</v>
      </c>
      <c r="I293">
        <v>1837</v>
      </c>
      <c r="J293">
        <v>50</v>
      </c>
      <c r="K293">
        <v>273</v>
      </c>
      <c r="L293">
        <v>0</v>
      </c>
      <c r="M293">
        <v>125</v>
      </c>
      <c r="N293">
        <v>18.335609999999999</v>
      </c>
      <c r="O293">
        <v>4.3287810000000002</v>
      </c>
      <c r="P293">
        <v>14.3278</v>
      </c>
      <c r="Q293">
        <v>33069</v>
      </c>
    </row>
    <row r="294" spans="1:17" x14ac:dyDescent="0.25">
      <c r="A294" t="s">
        <v>16</v>
      </c>
      <c r="B294">
        <v>15</v>
      </c>
      <c r="C294">
        <v>1.52</v>
      </c>
      <c r="D294">
        <v>2012</v>
      </c>
      <c r="E294" t="s">
        <v>29</v>
      </c>
      <c r="F294">
        <v>2012308</v>
      </c>
      <c r="G294">
        <v>2013078</v>
      </c>
      <c r="H294">
        <v>20315</v>
      </c>
      <c r="I294">
        <v>4809</v>
      </c>
      <c r="J294">
        <v>50</v>
      </c>
      <c r="K294">
        <v>595</v>
      </c>
      <c r="L294">
        <v>0</v>
      </c>
      <c r="M294">
        <v>125</v>
      </c>
      <c r="N294">
        <v>17.707249999999998</v>
      </c>
      <c r="O294">
        <v>6.1681160000000004</v>
      </c>
      <c r="P294">
        <v>13.796620000000001</v>
      </c>
      <c r="Q294">
        <v>86569</v>
      </c>
    </row>
    <row r="295" spans="1:17" x14ac:dyDescent="0.25">
      <c r="A295" t="s">
        <v>16</v>
      </c>
      <c r="B295">
        <v>15</v>
      </c>
      <c r="C295">
        <v>1.52</v>
      </c>
      <c r="D295">
        <v>2013</v>
      </c>
      <c r="E295" t="s">
        <v>29</v>
      </c>
      <c r="F295">
        <v>2013308</v>
      </c>
      <c r="G295">
        <v>2014078</v>
      </c>
      <c r="H295">
        <v>17266</v>
      </c>
      <c r="I295">
        <v>3770</v>
      </c>
      <c r="J295">
        <v>50</v>
      </c>
      <c r="K295">
        <v>537</v>
      </c>
      <c r="L295">
        <v>0</v>
      </c>
      <c r="M295">
        <v>125</v>
      </c>
      <c r="N295">
        <v>18.616499999999998</v>
      </c>
      <c r="O295">
        <v>5.965535</v>
      </c>
      <c r="P295">
        <v>14.380100000000001</v>
      </c>
      <c r="Q295">
        <v>67865</v>
      </c>
    </row>
    <row r="296" spans="1:17" x14ac:dyDescent="0.25">
      <c r="A296" t="s">
        <v>16</v>
      </c>
      <c r="B296">
        <v>15</v>
      </c>
      <c r="C296">
        <v>1.52</v>
      </c>
      <c r="D296">
        <v>2014</v>
      </c>
      <c r="E296" t="s">
        <v>29</v>
      </c>
      <c r="F296">
        <v>2014308</v>
      </c>
      <c r="G296">
        <v>2015087</v>
      </c>
      <c r="H296">
        <v>16184</v>
      </c>
      <c r="I296">
        <v>4801</v>
      </c>
      <c r="J296">
        <v>50</v>
      </c>
      <c r="K296">
        <v>392</v>
      </c>
      <c r="L296">
        <v>0</v>
      </c>
      <c r="M296">
        <v>125</v>
      </c>
      <c r="N296">
        <v>19.010249999999999</v>
      </c>
      <c r="O296">
        <v>5.658048</v>
      </c>
      <c r="P296">
        <v>14.69415</v>
      </c>
      <c r="Q296">
        <v>86419</v>
      </c>
    </row>
    <row r="297" spans="1:17" x14ac:dyDescent="0.25">
      <c r="A297" t="s">
        <v>16</v>
      </c>
      <c r="B297">
        <v>15</v>
      </c>
      <c r="C297">
        <v>1.52</v>
      </c>
      <c r="D297">
        <v>2015</v>
      </c>
      <c r="E297" t="s">
        <v>29</v>
      </c>
      <c r="F297">
        <v>2015308</v>
      </c>
      <c r="G297">
        <v>2016073</v>
      </c>
      <c r="H297">
        <v>18958</v>
      </c>
      <c r="I297">
        <v>3714</v>
      </c>
      <c r="J297">
        <v>50</v>
      </c>
      <c r="K297">
        <v>570</v>
      </c>
      <c r="L297">
        <v>0</v>
      </c>
      <c r="M297">
        <v>125</v>
      </c>
      <c r="N297">
        <v>18.074760000000001</v>
      </c>
      <c r="O297">
        <v>6.1184459999999996</v>
      </c>
      <c r="P297">
        <v>13.36408</v>
      </c>
      <c r="Q297">
        <v>66843</v>
      </c>
    </row>
    <row r="298" spans="1:17" x14ac:dyDescent="0.25">
      <c r="A298" t="s">
        <v>16</v>
      </c>
      <c r="B298">
        <v>15</v>
      </c>
      <c r="C298">
        <v>1.52</v>
      </c>
      <c r="D298">
        <v>2016</v>
      </c>
      <c r="E298" t="s">
        <v>29</v>
      </c>
      <c r="F298">
        <v>2016308</v>
      </c>
      <c r="G298">
        <v>2017074</v>
      </c>
      <c r="H298">
        <v>18596</v>
      </c>
      <c r="I298">
        <v>4598</v>
      </c>
      <c r="J298">
        <v>50</v>
      </c>
      <c r="K298">
        <v>390</v>
      </c>
      <c r="L298">
        <v>0</v>
      </c>
      <c r="M298">
        <v>125</v>
      </c>
      <c r="N298">
        <v>19.426570000000002</v>
      </c>
      <c r="O298">
        <v>6.0198070000000001</v>
      </c>
      <c r="P298">
        <v>14.56329</v>
      </c>
      <c r="Q298">
        <v>82764</v>
      </c>
    </row>
    <row r="299" spans="1:17" x14ac:dyDescent="0.25">
      <c r="A299" t="s">
        <v>16</v>
      </c>
      <c r="B299">
        <v>15</v>
      </c>
      <c r="C299">
        <v>1.52</v>
      </c>
      <c r="D299">
        <v>2017</v>
      </c>
      <c r="E299" t="s">
        <v>29</v>
      </c>
      <c r="F299">
        <v>2017308</v>
      </c>
      <c r="G299">
        <v>2018082</v>
      </c>
      <c r="H299">
        <v>18658</v>
      </c>
      <c r="I299">
        <v>3255</v>
      </c>
      <c r="J299">
        <v>50</v>
      </c>
      <c r="K299">
        <v>412</v>
      </c>
      <c r="L299">
        <v>0</v>
      </c>
      <c r="M299">
        <v>125</v>
      </c>
      <c r="N299">
        <v>17.59029</v>
      </c>
      <c r="O299">
        <v>5.3165040000000001</v>
      </c>
      <c r="P299">
        <v>13.90631</v>
      </c>
      <c r="Q299">
        <v>58583</v>
      </c>
    </row>
    <row r="300" spans="1:17" x14ac:dyDescent="0.25">
      <c r="A300" t="s">
        <v>16</v>
      </c>
      <c r="B300">
        <v>15</v>
      </c>
      <c r="C300">
        <v>1.52</v>
      </c>
      <c r="D300">
        <v>2018</v>
      </c>
      <c r="E300" t="s">
        <v>29</v>
      </c>
      <c r="F300">
        <v>2018308</v>
      </c>
      <c r="G300">
        <v>2019080</v>
      </c>
      <c r="H300">
        <v>13323</v>
      </c>
      <c r="I300">
        <v>2748</v>
      </c>
      <c r="J300">
        <v>50</v>
      </c>
      <c r="K300">
        <v>293</v>
      </c>
      <c r="L300">
        <v>0</v>
      </c>
      <c r="M300">
        <v>125</v>
      </c>
      <c r="N300">
        <v>19.478639999999999</v>
      </c>
      <c r="O300">
        <v>5.3257279999999998</v>
      </c>
      <c r="P300">
        <v>15.315049999999999</v>
      </c>
      <c r="Q300">
        <v>49456</v>
      </c>
    </row>
    <row r="301" spans="1:17" x14ac:dyDescent="0.25">
      <c r="A301" t="s">
        <v>16</v>
      </c>
      <c r="B301">
        <v>15</v>
      </c>
      <c r="C301">
        <v>1.52</v>
      </c>
      <c r="D301">
        <v>2019</v>
      </c>
      <c r="E301" t="s">
        <v>29</v>
      </c>
      <c r="F301">
        <v>2019308</v>
      </c>
      <c r="G301">
        <v>2020064</v>
      </c>
      <c r="H301">
        <v>15287</v>
      </c>
      <c r="I301">
        <v>3372</v>
      </c>
      <c r="J301">
        <v>50</v>
      </c>
      <c r="K301">
        <v>398</v>
      </c>
      <c r="L301">
        <v>0</v>
      </c>
      <c r="M301">
        <v>125</v>
      </c>
      <c r="N301">
        <v>19.013169999999999</v>
      </c>
      <c r="O301">
        <v>7.3853650000000002</v>
      </c>
      <c r="P301">
        <v>13.46683</v>
      </c>
      <c r="Q301">
        <v>60701</v>
      </c>
    </row>
    <row r="302" spans="1:17" x14ac:dyDescent="0.25">
      <c r="A302" t="s">
        <v>19</v>
      </c>
      <c r="B302">
        <v>16</v>
      </c>
      <c r="C302">
        <v>0.98</v>
      </c>
      <c r="D302">
        <v>2000</v>
      </c>
      <c r="E302" t="s">
        <v>28</v>
      </c>
      <c r="F302">
        <v>2000322</v>
      </c>
      <c r="G302">
        <v>2001095</v>
      </c>
      <c r="H302">
        <v>21420</v>
      </c>
      <c r="I302">
        <v>3915</v>
      </c>
      <c r="J302">
        <v>50</v>
      </c>
      <c r="K302">
        <v>671</v>
      </c>
      <c r="L302">
        <v>0</v>
      </c>
      <c r="M302">
        <v>100</v>
      </c>
      <c r="N302">
        <v>17.114730000000002</v>
      </c>
      <c r="O302">
        <v>5.4568409999999998</v>
      </c>
      <c r="P302">
        <v>15.01947</v>
      </c>
      <c r="Q302">
        <v>137017</v>
      </c>
    </row>
    <row r="303" spans="1:17" x14ac:dyDescent="0.25">
      <c r="A303" t="s">
        <v>19</v>
      </c>
      <c r="B303">
        <v>16</v>
      </c>
      <c r="C303">
        <v>0.98</v>
      </c>
      <c r="D303">
        <v>2001</v>
      </c>
      <c r="E303" t="s">
        <v>28</v>
      </c>
      <c r="F303">
        <v>2001322</v>
      </c>
      <c r="G303">
        <v>2002103</v>
      </c>
      <c r="H303">
        <v>15969</v>
      </c>
      <c r="I303">
        <v>3180</v>
      </c>
      <c r="J303">
        <v>50</v>
      </c>
      <c r="K303">
        <v>506</v>
      </c>
      <c r="L303">
        <v>0</v>
      </c>
      <c r="M303">
        <v>100</v>
      </c>
      <c r="N303">
        <v>17.22804</v>
      </c>
      <c r="O303">
        <v>4.104762</v>
      </c>
      <c r="P303">
        <v>15.895770000000001</v>
      </c>
      <c r="Q303">
        <v>111299</v>
      </c>
    </row>
    <row r="304" spans="1:17" x14ac:dyDescent="0.25">
      <c r="A304" t="s">
        <v>19</v>
      </c>
      <c r="B304">
        <v>16</v>
      </c>
      <c r="C304">
        <v>0.98</v>
      </c>
      <c r="D304">
        <v>2002</v>
      </c>
      <c r="E304" t="s">
        <v>28</v>
      </c>
      <c r="F304">
        <v>2002322</v>
      </c>
      <c r="G304">
        <v>2003101</v>
      </c>
      <c r="H304">
        <v>17522</v>
      </c>
      <c r="I304">
        <v>4510</v>
      </c>
      <c r="J304">
        <v>50</v>
      </c>
      <c r="K304">
        <v>446</v>
      </c>
      <c r="L304">
        <v>0</v>
      </c>
      <c r="M304">
        <v>100</v>
      </c>
      <c r="N304">
        <v>16.870529999999999</v>
      </c>
      <c r="O304">
        <v>5.274737</v>
      </c>
      <c r="P304">
        <v>15.50789</v>
      </c>
      <c r="Q304">
        <v>157850</v>
      </c>
    </row>
    <row r="305" spans="1:17" x14ac:dyDescent="0.25">
      <c r="A305" t="s">
        <v>19</v>
      </c>
      <c r="B305">
        <v>16</v>
      </c>
      <c r="C305">
        <v>0.98</v>
      </c>
      <c r="D305">
        <v>2003</v>
      </c>
      <c r="E305" t="s">
        <v>28</v>
      </c>
      <c r="F305">
        <v>2003322</v>
      </c>
      <c r="G305">
        <v>2004100</v>
      </c>
      <c r="H305">
        <v>26100</v>
      </c>
      <c r="I305">
        <v>3803</v>
      </c>
      <c r="J305">
        <v>50</v>
      </c>
      <c r="K305">
        <v>795</v>
      </c>
      <c r="L305">
        <v>0</v>
      </c>
      <c r="M305">
        <v>100</v>
      </c>
      <c r="N305">
        <v>15.78848</v>
      </c>
      <c r="O305">
        <v>4.7544519999999997</v>
      </c>
      <c r="P305">
        <v>14.62618</v>
      </c>
      <c r="Q305">
        <v>133090</v>
      </c>
    </row>
    <row r="306" spans="1:17" x14ac:dyDescent="0.25">
      <c r="A306" t="s">
        <v>19</v>
      </c>
      <c r="B306">
        <v>16</v>
      </c>
      <c r="C306">
        <v>0.98</v>
      </c>
      <c r="D306">
        <v>2004</v>
      </c>
      <c r="E306" t="s">
        <v>28</v>
      </c>
      <c r="F306">
        <v>2004322</v>
      </c>
      <c r="G306">
        <v>2005114</v>
      </c>
      <c r="H306">
        <v>8752</v>
      </c>
      <c r="I306">
        <v>2203</v>
      </c>
      <c r="J306">
        <v>50</v>
      </c>
      <c r="K306">
        <v>306</v>
      </c>
      <c r="L306">
        <v>0</v>
      </c>
      <c r="M306">
        <v>100</v>
      </c>
      <c r="N306">
        <v>17.371200000000002</v>
      </c>
      <c r="O306">
        <v>3.1356030000000001</v>
      </c>
      <c r="P306">
        <v>16.804189999999998</v>
      </c>
      <c r="Q306">
        <v>77114</v>
      </c>
    </row>
    <row r="307" spans="1:17" x14ac:dyDescent="0.25">
      <c r="A307" t="s">
        <v>19</v>
      </c>
      <c r="B307">
        <v>16</v>
      </c>
      <c r="C307">
        <v>0.98</v>
      </c>
      <c r="D307">
        <v>2005</v>
      </c>
      <c r="E307" t="s">
        <v>28</v>
      </c>
      <c r="F307">
        <v>2005322</v>
      </c>
      <c r="G307">
        <v>2006103</v>
      </c>
      <c r="H307">
        <v>10877</v>
      </c>
      <c r="I307">
        <v>2369</v>
      </c>
      <c r="J307">
        <v>50</v>
      </c>
      <c r="K307">
        <v>297</v>
      </c>
      <c r="L307">
        <v>0</v>
      </c>
      <c r="M307">
        <v>100</v>
      </c>
      <c r="N307">
        <v>17.483149999999998</v>
      </c>
      <c r="O307">
        <v>4.7865169999999999</v>
      </c>
      <c r="P307">
        <v>15.77359</v>
      </c>
      <c r="Q307">
        <v>82915</v>
      </c>
    </row>
    <row r="308" spans="1:17" x14ac:dyDescent="0.25">
      <c r="A308" t="s">
        <v>19</v>
      </c>
      <c r="B308">
        <v>16</v>
      </c>
      <c r="C308">
        <v>0.98</v>
      </c>
      <c r="D308">
        <v>2006</v>
      </c>
      <c r="E308" t="s">
        <v>28</v>
      </c>
      <c r="F308">
        <v>2006322</v>
      </c>
      <c r="G308">
        <v>2007107</v>
      </c>
      <c r="H308">
        <v>22609</v>
      </c>
      <c r="I308">
        <v>4004</v>
      </c>
      <c r="J308">
        <v>50</v>
      </c>
      <c r="K308">
        <v>598</v>
      </c>
      <c r="L308">
        <v>0</v>
      </c>
      <c r="M308">
        <v>100</v>
      </c>
      <c r="N308">
        <v>16.034030000000001</v>
      </c>
      <c r="O308">
        <v>4.5439790000000002</v>
      </c>
      <c r="P308">
        <v>13.87696</v>
      </c>
      <c r="Q308">
        <v>140129</v>
      </c>
    </row>
    <row r="309" spans="1:17" x14ac:dyDescent="0.25">
      <c r="A309" t="s">
        <v>19</v>
      </c>
      <c r="B309">
        <v>16</v>
      </c>
      <c r="C309">
        <v>0.98</v>
      </c>
      <c r="D309">
        <v>2007</v>
      </c>
      <c r="E309" t="s">
        <v>29</v>
      </c>
      <c r="F309">
        <v>2007322</v>
      </c>
      <c r="G309">
        <v>2008099</v>
      </c>
      <c r="H309">
        <v>18598</v>
      </c>
      <c r="I309">
        <v>2952</v>
      </c>
      <c r="J309">
        <v>50</v>
      </c>
      <c r="K309">
        <v>489</v>
      </c>
      <c r="L309">
        <v>0</v>
      </c>
      <c r="M309">
        <v>100</v>
      </c>
      <c r="N309">
        <v>17.014209999999999</v>
      </c>
      <c r="O309">
        <v>4.2852639999999997</v>
      </c>
      <c r="P309">
        <v>14.333159999999999</v>
      </c>
      <c r="Q309">
        <v>103307</v>
      </c>
    </row>
    <row r="310" spans="1:17" x14ac:dyDescent="0.25">
      <c r="A310" t="s">
        <v>19</v>
      </c>
      <c r="B310">
        <v>16</v>
      </c>
      <c r="C310">
        <v>0.98</v>
      </c>
      <c r="D310">
        <v>2008</v>
      </c>
      <c r="E310" t="s">
        <v>29</v>
      </c>
      <c r="F310">
        <v>2008322</v>
      </c>
      <c r="G310">
        <v>2009111</v>
      </c>
      <c r="H310">
        <v>16205</v>
      </c>
      <c r="I310">
        <v>5609</v>
      </c>
      <c r="J310">
        <v>50</v>
      </c>
      <c r="K310">
        <v>442</v>
      </c>
      <c r="L310">
        <v>0</v>
      </c>
      <c r="M310">
        <v>100</v>
      </c>
      <c r="N310">
        <v>16.69162</v>
      </c>
      <c r="O310">
        <v>3.613089</v>
      </c>
      <c r="P310">
        <v>14.836130000000001</v>
      </c>
      <c r="Q310">
        <v>196298</v>
      </c>
    </row>
    <row r="311" spans="1:17" x14ac:dyDescent="0.25">
      <c r="A311" t="s">
        <v>19</v>
      </c>
      <c r="B311">
        <v>16</v>
      </c>
      <c r="C311">
        <v>0.98</v>
      </c>
      <c r="D311">
        <v>2009</v>
      </c>
      <c r="E311" t="s">
        <v>29</v>
      </c>
      <c r="F311">
        <v>2009322</v>
      </c>
      <c r="G311">
        <v>2010103</v>
      </c>
      <c r="H311">
        <v>19233</v>
      </c>
      <c r="I311">
        <v>3961</v>
      </c>
      <c r="J311">
        <v>50</v>
      </c>
      <c r="K311">
        <v>797</v>
      </c>
      <c r="L311">
        <v>0</v>
      </c>
      <c r="M311">
        <v>100</v>
      </c>
      <c r="N311">
        <v>15.92328</v>
      </c>
      <c r="O311">
        <v>5.6888889999999996</v>
      </c>
      <c r="P311">
        <v>13.870900000000001</v>
      </c>
      <c r="Q311">
        <v>138633</v>
      </c>
    </row>
    <row r="312" spans="1:17" x14ac:dyDescent="0.25">
      <c r="A312" t="s">
        <v>19</v>
      </c>
      <c r="B312">
        <v>16</v>
      </c>
      <c r="C312">
        <v>0.98</v>
      </c>
      <c r="D312">
        <v>2010</v>
      </c>
      <c r="E312" t="s">
        <v>29</v>
      </c>
      <c r="F312">
        <v>2010322</v>
      </c>
      <c r="G312">
        <v>2011100</v>
      </c>
      <c r="H312">
        <v>19970</v>
      </c>
      <c r="I312">
        <v>4490</v>
      </c>
      <c r="J312">
        <v>50</v>
      </c>
      <c r="K312">
        <v>808</v>
      </c>
      <c r="L312">
        <v>0</v>
      </c>
      <c r="M312">
        <v>100</v>
      </c>
      <c r="N312">
        <v>17.138950000000001</v>
      </c>
      <c r="O312">
        <v>5.7631569999999996</v>
      </c>
      <c r="P312">
        <v>13.42737</v>
      </c>
      <c r="Q312">
        <v>157138</v>
      </c>
    </row>
    <row r="313" spans="1:17" x14ac:dyDescent="0.25">
      <c r="A313" t="s">
        <v>19</v>
      </c>
      <c r="B313">
        <v>16</v>
      </c>
      <c r="C313">
        <v>0.98</v>
      </c>
      <c r="D313">
        <v>2011</v>
      </c>
      <c r="E313" t="s">
        <v>29</v>
      </c>
      <c r="F313">
        <v>2011322</v>
      </c>
      <c r="G313">
        <v>2012118</v>
      </c>
      <c r="H313">
        <v>7200</v>
      </c>
      <c r="I313">
        <v>1450</v>
      </c>
      <c r="J313">
        <v>50</v>
      </c>
      <c r="K313">
        <v>281</v>
      </c>
      <c r="L313">
        <v>0</v>
      </c>
      <c r="M313">
        <v>100</v>
      </c>
      <c r="N313">
        <v>17.275919999999999</v>
      </c>
      <c r="O313">
        <v>2.165969</v>
      </c>
      <c r="P313">
        <v>15.458640000000001</v>
      </c>
      <c r="Q313">
        <v>50746</v>
      </c>
    </row>
    <row r="314" spans="1:17" x14ac:dyDescent="0.25">
      <c r="A314" t="s">
        <v>19</v>
      </c>
      <c r="B314">
        <v>16</v>
      </c>
      <c r="C314">
        <v>0.98</v>
      </c>
      <c r="D314">
        <v>2012</v>
      </c>
      <c r="E314" t="s">
        <v>29</v>
      </c>
      <c r="F314">
        <v>2012322</v>
      </c>
      <c r="G314">
        <v>2013107</v>
      </c>
      <c r="H314">
        <v>21730</v>
      </c>
      <c r="I314">
        <v>4487</v>
      </c>
      <c r="J314">
        <v>50</v>
      </c>
      <c r="K314">
        <v>697</v>
      </c>
      <c r="L314">
        <v>0</v>
      </c>
      <c r="M314">
        <v>100</v>
      </c>
      <c r="N314">
        <v>15.631769999999999</v>
      </c>
      <c r="O314">
        <v>4.3671879999999996</v>
      </c>
      <c r="P314">
        <v>13.94896</v>
      </c>
      <c r="Q314">
        <v>157041</v>
      </c>
    </row>
    <row r="315" spans="1:17" x14ac:dyDescent="0.25">
      <c r="A315" t="s">
        <v>19</v>
      </c>
      <c r="B315">
        <v>16</v>
      </c>
      <c r="C315">
        <v>0.98</v>
      </c>
      <c r="D315">
        <v>2013</v>
      </c>
      <c r="E315" t="s">
        <v>29</v>
      </c>
      <c r="F315">
        <v>2013322</v>
      </c>
      <c r="G315">
        <v>2014105</v>
      </c>
      <c r="H315">
        <v>17565</v>
      </c>
      <c r="I315">
        <v>5087</v>
      </c>
      <c r="J315">
        <v>50</v>
      </c>
      <c r="K315">
        <v>413</v>
      </c>
      <c r="L315">
        <v>0</v>
      </c>
      <c r="M315">
        <v>100</v>
      </c>
      <c r="N315">
        <v>17.298929999999999</v>
      </c>
      <c r="O315">
        <v>4.4043010000000002</v>
      </c>
      <c r="P315">
        <v>14.78065</v>
      </c>
      <c r="Q315">
        <v>178038</v>
      </c>
    </row>
    <row r="316" spans="1:17" x14ac:dyDescent="0.25">
      <c r="A316" t="s">
        <v>19</v>
      </c>
      <c r="B316">
        <v>16</v>
      </c>
      <c r="C316">
        <v>0.98</v>
      </c>
      <c r="D316">
        <v>2014</v>
      </c>
      <c r="E316" t="s">
        <v>29</v>
      </c>
      <c r="F316">
        <v>2014322</v>
      </c>
      <c r="G316">
        <v>2015111</v>
      </c>
      <c r="H316">
        <v>13287</v>
      </c>
      <c r="I316">
        <v>5131</v>
      </c>
      <c r="J316">
        <v>50</v>
      </c>
      <c r="K316">
        <v>453</v>
      </c>
      <c r="L316">
        <v>0</v>
      </c>
      <c r="M316">
        <v>100</v>
      </c>
      <c r="N316">
        <v>17.763539999999999</v>
      </c>
      <c r="O316">
        <v>3.6463540000000001</v>
      </c>
      <c r="P316">
        <v>15.252599999999999</v>
      </c>
      <c r="Q316">
        <v>179602</v>
      </c>
    </row>
    <row r="317" spans="1:17" x14ac:dyDescent="0.25">
      <c r="A317" t="s">
        <v>19</v>
      </c>
      <c r="B317">
        <v>16</v>
      </c>
      <c r="C317">
        <v>0.98</v>
      </c>
      <c r="D317">
        <v>2015</v>
      </c>
      <c r="E317" t="s">
        <v>29</v>
      </c>
      <c r="F317">
        <v>2015322</v>
      </c>
      <c r="G317">
        <v>2016101</v>
      </c>
      <c r="H317">
        <v>14151</v>
      </c>
      <c r="I317">
        <v>2512</v>
      </c>
      <c r="J317">
        <v>50</v>
      </c>
      <c r="K317">
        <v>360</v>
      </c>
      <c r="L317">
        <v>0</v>
      </c>
      <c r="M317">
        <v>100</v>
      </c>
      <c r="N317">
        <v>16.83822</v>
      </c>
      <c r="O317">
        <v>4.2811519999999996</v>
      </c>
      <c r="P317">
        <v>13.384819999999999</v>
      </c>
      <c r="Q317">
        <v>87907</v>
      </c>
    </row>
    <row r="318" spans="1:17" x14ac:dyDescent="0.25">
      <c r="A318" t="s">
        <v>19</v>
      </c>
      <c r="B318">
        <v>16</v>
      </c>
      <c r="C318">
        <v>0.98</v>
      </c>
      <c r="D318">
        <v>2016</v>
      </c>
      <c r="E318" t="s">
        <v>29</v>
      </c>
      <c r="F318">
        <v>2016322</v>
      </c>
      <c r="G318">
        <v>2017100</v>
      </c>
      <c r="H318">
        <v>16566</v>
      </c>
      <c r="I318">
        <v>5495</v>
      </c>
      <c r="J318">
        <v>50</v>
      </c>
      <c r="K318">
        <v>380</v>
      </c>
      <c r="L318">
        <v>0</v>
      </c>
      <c r="M318">
        <v>100</v>
      </c>
      <c r="N318">
        <v>18.205729999999999</v>
      </c>
      <c r="O318">
        <v>4.5062499999999996</v>
      </c>
      <c r="P318">
        <v>14.470829999999999</v>
      </c>
      <c r="Q318">
        <v>192314</v>
      </c>
    </row>
    <row r="319" spans="1:17" x14ac:dyDescent="0.25">
      <c r="A319" t="s">
        <v>19</v>
      </c>
      <c r="B319">
        <v>16</v>
      </c>
      <c r="C319">
        <v>0.98</v>
      </c>
      <c r="D319">
        <v>2017</v>
      </c>
      <c r="E319" t="s">
        <v>29</v>
      </c>
      <c r="F319">
        <v>2017322</v>
      </c>
      <c r="G319">
        <v>2018111</v>
      </c>
      <c r="H319">
        <v>18346</v>
      </c>
      <c r="I319">
        <v>3422</v>
      </c>
      <c r="J319">
        <v>50</v>
      </c>
      <c r="K319">
        <v>496</v>
      </c>
      <c r="L319">
        <v>0</v>
      </c>
      <c r="M319">
        <v>100</v>
      </c>
      <c r="N319">
        <v>16.071000000000002</v>
      </c>
      <c r="O319">
        <v>4.2769219999999999</v>
      </c>
      <c r="P319">
        <v>14.79823</v>
      </c>
      <c r="Q319">
        <v>119783</v>
      </c>
    </row>
    <row r="320" spans="1:17" x14ac:dyDescent="0.25">
      <c r="A320" t="s">
        <v>19</v>
      </c>
      <c r="B320">
        <v>16</v>
      </c>
      <c r="C320">
        <v>0.98</v>
      </c>
      <c r="D320">
        <v>2018</v>
      </c>
      <c r="E320" t="s">
        <v>29</v>
      </c>
      <c r="F320">
        <v>2018322</v>
      </c>
      <c r="G320">
        <v>2019104</v>
      </c>
      <c r="H320">
        <v>9197</v>
      </c>
      <c r="I320">
        <v>2344</v>
      </c>
      <c r="J320">
        <v>50</v>
      </c>
      <c r="K320">
        <v>308</v>
      </c>
      <c r="L320">
        <v>0</v>
      </c>
      <c r="M320">
        <v>100</v>
      </c>
      <c r="N320">
        <v>18.854980000000001</v>
      </c>
      <c r="O320">
        <v>3.017277</v>
      </c>
      <c r="P320">
        <v>16.041879999999999</v>
      </c>
      <c r="Q320">
        <v>82035</v>
      </c>
    </row>
    <row r="321" spans="1:17" x14ac:dyDescent="0.25">
      <c r="A321" t="s">
        <v>19</v>
      </c>
      <c r="B321">
        <v>16</v>
      </c>
      <c r="C321">
        <v>0.98</v>
      </c>
      <c r="D321">
        <v>2019</v>
      </c>
      <c r="E321" t="s">
        <v>29</v>
      </c>
      <c r="F321">
        <v>2019322</v>
      </c>
      <c r="G321">
        <v>2020091</v>
      </c>
      <c r="H321">
        <v>14731</v>
      </c>
      <c r="I321">
        <v>2584</v>
      </c>
      <c r="J321">
        <v>50</v>
      </c>
      <c r="K321">
        <v>348</v>
      </c>
      <c r="L321">
        <v>0</v>
      </c>
      <c r="M321">
        <v>100</v>
      </c>
      <c r="N321">
        <v>18.324729999999999</v>
      </c>
      <c r="O321">
        <v>5.5836819999999996</v>
      </c>
      <c r="P321">
        <v>13.979480000000001</v>
      </c>
      <c r="Q321">
        <v>90449</v>
      </c>
    </row>
    <row r="322" spans="1:17" x14ac:dyDescent="0.25">
      <c r="A322" t="s">
        <v>19</v>
      </c>
      <c r="B322">
        <v>17</v>
      </c>
      <c r="C322">
        <v>1.05</v>
      </c>
      <c r="D322">
        <v>2000</v>
      </c>
      <c r="E322" t="s">
        <v>28</v>
      </c>
      <c r="F322">
        <v>2000291</v>
      </c>
      <c r="G322">
        <v>2001077</v>
      </c>
      <c r="H322">
        <v>23838</v>
      </c>
      <c r="I322">
        <v>3588</v>
      </c>
      <c r="J322">
        <v>50</v>
      </c>
      <c r="K322">
        <v>671</v>
      </c>
      <c r="L322">
        <v>0</v>
      </c>
      <c r="M322">
        <v>75</v>
      </c>
      <c r="N322">
        <v>17.139279999999999</v>
      </c>
      <c r="O322">
        <v>5.53125</v>
      </c>
      <c r="P322">
        <v>14.51563</v>
      </c>
      <c r="Q322">
        <v>100467</v>
      </c>
    </row>
    <row r="323" spans="1:17" x14ac:dyDescent="0.25">
      <c r="A323" t="s">
        <v>19</v>
      </c>
      <c r="B323">
        <v>17</v>
      </c>
      <c r="C323">
        <v>1.05</v>
      </c>
      <c r="D323">
        <v>2001</v>
      </c>
      <c r="E323" t="s">
        <v>28</v>
      </c>
      <c r="F323">
        <v>2001291</v>
      </c>
      <c r="G323">
        <v>2002082</v>
      </c>
      <c r="H323">
        <v>19234</v>
      </c>
      <c r="I323">
        <v>3242</v>
      </c>
      <c r="J323">
        <v>50</v>
      </c>
      <c r="K323">
        <v>506</v>
      </c>
      <c r="L323">
        <v>0</v>
      </c>
      <c r="M323">
        <v>75</v>
      </c>
      <c r="N323">
        <v>17.235420000000001</v>
      </c>
      <c r="O323">
        <v>4.3856510000000002</v>
      </c>
      <c r="P323">
        <v>15.25605</v>
      </c>
      <c r="Q323">
        <v>90781</v>
      </c>
    </row>
    <row r="324" spans="1:17" x14ac:dyDescent="0.25">
      <c r="A324" t="s">
        <v>19</v>
      </c>
      <c r="B324">
        <v>17</v>
      </c>
      <c r="C324">
        <v>1.05</v>
      </c>
      <c r="D324">
        <v>2002</v>
      </c>
      <c r="E324" t="s">
        <v>28</v>
      </c>
      <c r="F324">
        <v>2002291</v>
      </c>
      <c r="G324">
        <v>2003076</v>
      </c>
      <c r="H324">
        <v>19352</v>
      </c>
      <c r="I324">
        <v>3243</v>
      </c>
      <c r="J324">
        <v>50</v>
      </c>
      <c r="K324">
        <v>446</v>
      </c>
      <c r="L324">
        <v>0</v>
      </c>
      <c r="M324">
        <v>75</v>
      </c>
      <c r="N324">
        <v>17.068619999999999</v>
      </c>
      <c r="O324">
        <v>5.4520189999999999</v>
      </c>
      <c r="P324">
        <v>14.77802</v>
      </c>
      <c r="Q324">
        <v>90804</v>
      </c>
    </row>
    <row r="325" spans="1:17" x14ac:dyDescent="0.25">
      <c r="A325" t="s">
        <v>19</v>
      </c>
      <c r="B325">
        <v>17</v>
      </c>
      <c r="C325">
        <v>1.05</v>
      </c>
      <c r="D325">
        <v>2003</v>
      </c>
      <c r="E325" t="s">
        <v>28</v>
      </c>
      <c r="F325">
        <v>2003291</v>
      </c>
      <c r="G325">
        <v>2004067</v>
      </c>
      <c r="H325">
        <v>25591</v>
      </c>
      <c r="I325">
        <v>3101</v>
      </c>
      <c r="J325">
        <v>50</v>
      </c>
      <c r="K325">
        <v>795</v>
      </c>
      <c r="L325">
        <v>0</v>
      </c>
      <c r="M325">
        <v>75</v>
      </c>
      <c r="N325">
        <v>15.84619</v>
      </c>
      <c r="O325">
        <v>5.2533630000000002</v>
      </c>
      <c r="P325">
        <v>13.878030000000001</v>
      </c>
      <c r="Q325">
        <v>86835</v>
      </c>
    </row>
    <row r="326" spans="1:17" x14ac:dyDescent="0.25">
      <c r="A326" t="s">
        <v>19</v>
      </c>
      <c r="B326">
        <v>17</v>
      </c>
      <c r="C326">
        <v>1.05</v>
      </c>
      <c r="D326">
        <v>2004</v>
      </c>
      <c r="E326" t="s">
        <v>28</v>
      </c>
      <c r="F326">
        <v>2004291</v>
      </c>
      <c r="G326">
        <v>2005090</v>
      </c>
      <c r="H326">
        <v>13502</v>
      </c>
      <c r="I326">
        <v>2735</v>
      </c>
      <c r="J326">
        <v>50</v>
      </c>
      <c r="K326">
        <v>306</v>
      </c>
      <c r="L326">
        <v>0</v>
      </c>
      <c r="M326">
        <v>75</v>
      </c>
      <c r="N326">
        <v>17.34843</v>
      </c>
      <c r="O326">
        <v>3.4116599999999999</v>
      </c>
      <c r="P326">
        <v>16.02826</v>
      </c>
      <c r="Q326">
        <v>76581</v>
      </c>
    </row>
    <row r="327" spans="1:17" x14ac:dyDescent="0.25">
      <c r="A327" t="s">
        <v>19</v>
      </c>
      <c r="B327">
        <v>17</v>
      </c>
      <c r="C327">
        <v>1.05</v>
      </c>
      <c r="D327">
        <v>2005</v>
      </c>
      <c r="E327" t="s">
        <v>28</v>
      </c>
      <c r="F327">
        <v>2005291</v>
      </c>
      <c r="G327">
        <v>2006086</v>
      </c>
      <c r="H327">
        <v>10049</v>
      </c>
      <c r="I327">
        <v>1805</v>
      </c>
      <c r="J327">
        <v>50</v>
      </c>
      <c r="K327">
        <v>297</v>
      </c>
      <c r="L327">
        <v>0</v>
      </c>
      <c r="M327">
        <v>75</v>
      </c>
      <c r="N327">
        <v>17.329280000000001</v>
      </c>
      <c r="O327">
        <v>4.844144</v>
      </c>
      <c r="P327">
        <v>14.825670000000001</v>
      </c>
      <c r="Q327">
        <v>50547</v>
      </c>
    </row>
    <row r="328" spans="1:17" x14ac:dyDescent="0.25">
      <c r="A328" t="s">
        <v>19</v>
      </c>
      <c r="B328">
        <v>17</v>
      </c>
      <c r="C328">
        <v>1.05</v>
      </c>
      <c r="D328">
        <v>2006</v>
      </c>
      <c r="E328" t="s">
        <v>28</v>
      </c>
      <c r="F328">
        <v>2006291</v>
      </c>
      <c r="G328">
        <v>2007080</v>
      </c>
      <c r="H328">
        <v>24727</v>
      </c>
      <c r="I328">
        <v>4599</v>
      </c>
      <c r="J328">
        <v>50</v>
      </c>
      <c r="K328">
        <v>598</v>
      </c>
      <c r="L328">
        <v>0</v>
      </c>
      <c r="M328">
        <v>75</v>
      </c>
      <c r="N328">
        <v>16.528700000000001</v>
      </c>
      <c r="O328">
        <v>5.3461889999999999</v>
      </c>
      <c r="P328">
        <v>13.143050000000001</v>
      </c>
      <c r="Q328">
        <v>128783</v>
      </c>
    </row>
    <row r="329" spans="1:17" x14ac:dyDescent="0.25">
      <c r="A329" t="s">
        <v>19</v>
      </c>
      <c r="B329">
        <v>17</v>
      </c>
      <c r="C329">
        <v>1.05</v>
      </c>
      <c r="D329">
        <v>2007</v>
      </c>
      <c r="E329" t="s">
        <v>28</v>
      </c>
      <c r="F329">
        <v>2007291</v>
      </c>
      <c r="G329">
        <v>2008071</v>
      </c>
      <c r="H329">
        <v>14741</v>
      </c>
      <c r="I329">
        <v>2297</v>
      </c>
      <c r="J329">
        <v>50</v>
      </c>
      <c r="K329">
        <v>489</v>
      </c>
      <c r="L329">
        <v>0</v>
      </c>
      <c r="M329">
        <v>75</v>
      </c>
      <c r="N329">
        <v>17.407630000000001</v>
      </c>
      <c r="O329">
        <v>4.0923769999999999</v>
      </c>
      <c r="P329">
        <v>14.002689999999999</v>
      </c>
      <c r="Q329">
        <v>64327</v>
      </c>
    </row>
    <row r="330" spans="1:17" x14ac:dyDescent="0.25">
      <c r="A330" t="s">
        <v>19</v>
      </c>
      <c r="B330">
        <v>17</v>
      </c>
      <c r="C330">
        <v>1.05</v>
      </c>
      <c r="D330">
        <v>2008</v>
      </c>
      <c r="E330" t="s">
        <v>28</v>
      </c>
      <c r="F330">
        <v>2008291</v>
      </c>
      <c r="G330">
        <v>2009085</v>
      </c>
      <c r="H330">
        <v>21236</v>
      </c>
      <c r="I330">
        <v>4508</v>
      </c>
      <c r="J330">
        <v>50</v>
      </c>
      <c r="K330">
        <v>442</v>
      </c>
      <c r="L330">
        <v>0</v>
      </c>
      <c r="M330">
        <v>75</v>
      </c>
      <c r="N330">
        <v>16.637049999999999</v>
      </c>
      <c r="O330">
        <v>3.737053</v>
      </c>
      <c r="P330">
        <v>14.25</v>
      </c>
      <c r="Q330">
        <v>126236</v>
      </c>
    </row>
    <row r="331" spans="1:17" x14ac:dyDescent="0.25">
      <c r="A331" t="s">
        <v>19</v>
      </c>
      <c r="B331">
        <v>17</v>
      </c>
      <c r="C331">
        <v>1.05</v>
      </c>
      <c r="D331">
        <v>2009</v>
      </c>
      <c r="E331" t="s">
        <v>28</v>
      </c>
      <c r="F331">
        <v>2009291</v>
      </c>
      <c r="G331">
        <v>2010077</v>
      </c>
      <c r="H331">
        <v>10652</v>
      </c>
      <c r="I331">
        <v>1323</v>
      </c>
      <c r="J331">
        <v>50</v>
      </c>
      <c r="K331">
        <v>797</v>
      </c>
      <c r="L331">
        <v>0</v>
      </c>
      <c r="M331">
        <v>75</v>
      </c>
      <c r="N331">
        <v>16.71855</v>
      </c>
      <c r="O331">
        <v>5.9461560000000002</v>
      </c>
      <c r="P331">
        <v>13.622170000000001</v>
      </c>
      <c r="Q331">
        <v>37035</v>
      </c>
    </row>
    <row r="332" spans="1:17" x14ac:dyDescent="0.25">
      <c r="A332" t="s">
        <v>19</v>
      </c>
      <c r="B332">
        <v>17</v>
      </c>
      <c r="C332">
        <v>1.05</v>
      </c>
      <c r="D332">
        <v>2010</v>
      </c>
      <c r="E332" t="s">
        <v>29</v>
      </c>
      <c r="F332">
        <v>2010291</v>
      </c>
      <c r="G332">
        <v>2011077</v>
      </c>
      <c r="H332">
        <v>20013</v>
      </c>
      <c r="I332">
        <v>4685</v>
      </c>
      <c r="J332">
        <v>50</v>
      </c>
      <c r="K332">
        <v>808</v>
      </c>
      <c r="L332">
        <v>0</v>
      </c>
      <c r="M332">
        <v>75</v>
      </c>
      <c r="N332">
        <v>17.09328</v>
      </c>
      <c r="O332">
        <v>5.661435</v>
      </c>
      <c r="P332">
        <v>12.922879999999999</v>
      </c>
      <c r="Q332">
        <v>131182</v>
      </c>
    </row>
    <row r="333" spans="1:17" x14ac:dyDescent="0.25">
      <c r="A333" t="s">
        <v>19</v>
      </c>
      <c r="B333">
        <v>17</v>
      </c>
      <c r="C333">
        <v>1.05</v>
      </c>
      <c r="D333">
        <v>2011</v>
      </c>
      <c r="E333" t="s">
        <v>29</v>
      </c>
      <c r="F333">
        <v>2011291</v>
      </c>
      <c r="G333">
        <v>2012091</v>
      </c>
      <c r="H333">
        <v>16223</v>
      </c>
      <c r="I333">
        <v>3288</v>
      </c>
      <c r="J333">
        <v>50</v>
      </c>
      <c r="K333">
        <v>281</v>
      </c>
      <c r="L333">
        <v>0</v>
      </c>
      <c r="M333">
        <v>75</v>
      </c>
      <c r="N333">
        <v>17.262450000000001</v>
      </c>
      <c r="O333">
        <v>2.9497740000000001</v>
      </c>
      <c r="P333">
        <v>14.50995</v>
      </c>
      <c r="Q333">
        <v>92062</v>
      </c>
    </row>
    <row r="334" spans="1:17" x14ac:dyDescent="0.25">
      <c r="A334" t="s">
        <v>19</v>
      </c>
      <c r="B334">
        <v>17</v>
      </c>
      <c r="C334">
        <v>1.05</v>
      </c>
      <c r="D334">
        <v>2012</v>
      </c>
      <c r="E334" t="s">
        <v>29</v>
      </c>
      <c r="F334">
        <v>2012291</v>
      </c>
      <c r="G334">
        <v>2013076</v>
      </c>
      <c r="H334">
        <v>22851</v>
      </c>
      <c r="I334">
        <v>4754</v>
      </c>
      <c r="J334">
        <v>50</v>
      </c>
      <c r="K334">
        <v>697</v>
      </c>
      <c r="L334">
        <v>0</v>
      </c>
      <c r="M334">
        <v>75</v>
      </c>
      <c r="N334">
        <v>15.77857</v>
      </c>
      <c r="O334">
        <v>4.8776789999999997</v>
      </c>
      <c r="P334">
        <v>13.16161</v>
      </c>
      <c r="Q334">
        <v>133112</v>
      </c>
    </row>
    <row r="335" spans="1:17" x14ac:dyDescent="0.25">
      <c r="A335" t="s">
        <v>19</v>
      </c>
      <c r="B335">
        <v>17</v>
      </c>
      <c r="C335">
        <v>1.05</v>
      </c>
      <c r="D335">
        <v>2013</v>
      </c>
      <c r="E335" t="s">
        <v>29</v>
      </c>
      <c r="F335">
        <v>2013291</v>
      </c>
      <c r="G335">
        <v>2014081</v>
      </c>
      <c r="H335">
        <v>17399</v>
      </c>
      <c r="I335">
        <v>3657</v>
      </c>
      <c r="J335">
        <v>50</v>
      </c>
      <c r="K335">
        <v>413</v>
      </c>
      <c r="L335">
        <v>0</v>
      </c>
      <c r="M335">
        <v>75</v>
      </c>
      <c r="N335">
        <v>17.157730000000001</v>
      </c>
      <c r="O335">
        <v>4.3440909999999997</v>
      </c>
      <c r="P335">
        <v>14.17773</v>
      </c>
      <c r="Q335">
        <v>102383</v>
      </c>
    </row>
    <row r="336" spans="1:17" x14ac:dyDescent="0.25">
      <c r="A336" t="s">
        <v>19</v>
      </c>
      <c r="B336">
        <v>17</v>
      </c>
      <c r="C336">
        <v>1.05</v>
      </c>
      <c r="D336">
        <v>2014</v>
      </c>
      <c r="E336" t="s">
        <v>29</v>
      </c>
      <c r="F336">
        <v>2014291</v>
      </c>
      <c r="G336">
        <v>2015087</v>
      </c>
      <c r="H336">
        <v>18320</v>
      </c>
      <c r="I336">
        <v>5016</v>
      </c>
      <c r="J336">
        <v>50</v>
      </c>
      <c r="K336">
        <v>453</v>
      </c>
      <c r="L336">
        <v>0</v>
      </c>
      <c r="M336">
        <v>75</v>
      </c>
      <c r="N336">
        <v>18.091519999999999</v>
      </c>
      <c r="O336">
        <v>4.1892839999999998</v>
      </c>
      <c r="P336">
        <v>14.642860000000001</v>
      </c>
      <c r="Q336">
        <v>140457</v>
      </c>
    </row>
    <row r="337" spans="1:17" x14ac:dyDescent="0.25">
      <c r="A337" t="s">
        <v>19</v>
      </c>
      <c r="B337">
        <v>17</v>
      </c>
      <c r="C337">
        <v>1.05</v>
      </c>
      <c r="D337">
        <v>2015</v>
      </c>
      <c r="E337" t="s">
        <v>29</v>
      </c>
      <c r="F337">
        <v>2015291</v>
      </c>
      <c r="G337">
        <v>2016073</v>
      </c>
      <c r="H337">
        <v>10064</v>
      </c>
      <c r="I337">
        <v>1764</v>
      </c>
      <c r="J337">
        <v>50</v>
      </c>
      <c r="K337">
        <v>360</v>
      </c>
      <c r="L337">
        <v>0</v>
      </c>
      <c r="M337">
        <v>75</v>
      </c>
      <c r="N337">
        <v>17.373539999999998</v>
      </c>
      <c r="O337">
        <v>4.7112080000000001</v>
      </c>
      <c r="P337">
        <v>13.0435</v>
      </c>
      <c r="Q337">
        <v>49396</v>
      </c>
    </row>
    <row r="338" spans="1:17" x14ac:dyDescent="0.25">
      <c r="A338" t="s">
        <v>19</v>
      </c>
      <c r="B338">
        <v>17</v>
      </c>
      <c r="C338">
        <v>1.05</v>
      </c>
      <c r="D338">
        <v>2016</v>
      </c>
      <c r="E338" t="s">
        <v>29</v>
      </c>
      <c r="F338">
        <v>2016291</v>
      </c>
      <c r="G338">
        <v>2017073</v>
      </c>
      <c r="H338">
        <v>19712</v>
      </c>
      <c r="I338">
        <v>4900</v>
      </c>
      <c r="J338">
        <v>50</v>
      </c>
      <c r="K338">
        <v>380</v>
      </c>
      <c r="L338">
        <v>0</v>
      </c>
      <c r="M338">
        <v>75</v>
      </c>
      <c r="N338">
        <v>18.344799999999999</v>
      </c>
      <c r="O338">
        <v>4.7502259999999996</v>
      </c>
      <c r="P338">
        <v>13.89547</v>
      </c>
      <c r="Q338">
        <v>137187</v>
      </c>
    </row>
    <row r="339" spans="1:17" x14ac:dyDescent="0.25">
      <c r="A339" t="s">
        <v>19</v>
      </c>
      <c r="B339">
        <v>17</v>
      </c>
      <c r="C339">
        <v>1.05</v>
      </c>
      <c r="D339">
        <v>2017</v>
      </c>
      <c r="E339" t="s">
        <v>29</v>
      </c>
      <c r="F339">
        <v>2017291</v>
      </c>
      <c r="G339">
        <v>2018087</v>
      </c>
      <c r="H339">
        <v>11953</v>
      </c>
      <c r="I339">
        <v>2081</v>
      </c>
      <c r="J339">
        <v>50</v>
      </c>
      <c r="K339">
        <v>496</v>
      </c>
      <c r="L339">
        <v>0</v>
      </c>
      <c r="M339">
        <v>75</v>
      </c>
      <c r="N339">
        <v>16.695499999999999</v>
      </c>
      <c r="O339">
        <v>3.7788279999999999</v>
      </c>
      <c r="P339">
        <v>13.92207</v>
      </c>
      <c r="Q339">
        <v>58271</v>
      </c>
    </row>
    <row r="340" spans="1:17" x14ac:dyDescent="0.25">
      <c r="A340" t="s">
        <v>19</v>
      </c>
      <c r="B340">
        <v>17</v>
      </c>
      <c r="C340">
        <v>1.05</v>
      </c>
      <c r="D340">
        <v>2018</v>
      </c>
      <c r="E340" t="s">
        <v>29</v>
      </c>
      <c r="F340">
        <v>2018291</v>
      </c>
      <c r="G340">
        <v>2019072</v>
      </c>
      <c r="H340">
        <v>18279</v>
      </c>
      <c r="I340">
        <v>4239</v>
      </c>
      <c r="J340">
        <v>50</v>
      </c>
      <c r="K340">
        <v>308</v>
      </c>
      <c r="L340">
        <v>0</v>
      </c>
      <c r="M340">
        <v>75</v>
      </c>
      <c r="N340">
        <v>18.499110000000002</v>
      </c>
      <c r="O340">
        <v>3.6376680000000001</v>
      </c>
      <c r="P340">
        <v>14.92197</v>
      </c>
      <c r="Q340">
        <v>118683</v>
      </c>
    </row>
    <row r="341" spans="1:17" x14ac:dyDescent="0.25">
      <c r="A341" t="s">
        <v>19</v>
      </c>
      <c r="B341">
        <v>17</v>
      </c>
      <c r="C341">
        <v>1.05</v>
      </c>
      <c r="D341">
        <v>2019</v>
      </c>
      <c r="E341" t="s">
        <v>29</v>
      </c>
      <c r="F341">
        <v>2019291</v>
      </c>
      <c r="G341">
        <v>2020059</v>
      </c>
      <c r="H341">
        <v>11243</v>
      </c>
      <c r="I341">
        <v>2502</v>
      </c>
      <c r="J341">
        <v>50</v>
      </c>
      <c r="K341">
        <v>348</v>
      </c>
      <c r="L341">
        <v>0</v>
      </c>
      <c r="M341">
        <v>75</v>
      </c>
      <c r="N341">
        <v>18.09638</v>
      </c>
      <c r="O341">
        <v>5.7656090000000004</v>
      </c>
      <c r="P341">
        <v>13.350680000000001</v>
      </c>
      <c r="Q341">
        <v>70046</v>
      </c>
    </row>
    <row r="342" spans="1:17" x14ac:dyDescent="0.25">
      <c r="A342" t="s">
        <v>19</v>
      </c>
      <c r="B342">
        <v>18</v>
      </c>
      <c r="C342">
        <v>0.95</v>
      </c>
      <c r="D342">
        <v>2000</v>
      </c>
      <c r="E342" t="s">
        <v>28</v>
      </c>
      <c r="F342">
        <v>2000322</v>
      </c>
      <c r="G342">
        <v>2001095</v>
      </c>
      <c r="H342">
        <v>16989</v>
      </c>
      <c r="I342">
        <v>3798</v>
      </c>
      <c r="J342">
        <v>0</v>
      </c>
      <c r="K342">
        <v>671</v>
      </c>
      <c r="L342">
        <v>0</v>
      </c>
      <c r="M342">
        <v>75</v>
      </c>
      <c r="N342">
        <v>17.114730000000002</v>
      </c>
      <c r="O342">
        <v>5.4568409999999998</v>
      </c>
      <c r="P342">
        <v>15.01947</v>
      </c>
      <c r="Q342">
        <v>121527</v>
      </c>
    </row>
    <row r="343" spans="1:17" x14ac:dyDescent="0.25">
      <c r="A343" t="s">
        <v>19</v>
      </c>
      <c r="B343">
        <v>18</v>
      </c>
      <c r="C343">
        <v>0.95</v>
      </c>
      <c r="D343">
        <v>2001</v>
      </c>
      <c r="E343" t="s">
        <v>28</v>
      </c>
      <c r="F343">
        <v>2001322</v>
      </c>
      <c r="G343">
        <v>2002103</v>
      </c>
      <c r="H343">
        <v>12149</v>
      </c>
      <c r="I343">
        <v>2931</v>
      </c>
      <c r="J343">
        <v>0</v>
      </c>
      <c r="K343">
        <v>506</v>
      </c>
      <c r="L343">
        <v>0</v>
      </c>
      <c r="M343">
        <v>75</v>
      </c>
      <c r="N343">
        <v>17.22804</v>
      </c>
      <c r="O343">
        <v>4.104762</v>
      </c>
      <c r="P343">
        <v>15.895770000000001</v>
      </c>
      <c r="Q343">
        <v>93795</v>
      </c>
    </row>
    <row r="344" spans="1:17" x14ac:dyDescent="0.25">
      <c r="A344" t="s">
        <v>19</v>
      </c>
      <c r="B344">
        <v>18</v>
      </c>
      <c r="C344">
        <v>0.95</v>
      </c>
      <c r="D344">
        <v>2002</v>
      </c>
      <c r="E344" t="s">
        <v>28</v>
      </c>
      <c r="F344">
        <v>2002322</v>
      </c>
      <c r="G344">
        <v>2003101</v>
      </c>
      <c r="H344">
        <v>13365</v>
      </c>
      <c r="I344">
        <v>3402</v>
      </c>
      <c r="J344">
        <v>0</v>
      </c>
      <c r="K344">
        <v>446</v>
      </c>
      <c r="L344">
        <v>0</v>
      </c>
      <c r="M344">
        <v>75</v>
      </c>
      <c r="N344">
        <v>16.870529999999999</v>
      </c>
      <c r="O344">
        <v>5.274737</v>
      </c>
      <c r="P344">
        <v>15.50789</v>
      </c>
      <c r="Q344">
        <v>108869</v>
      </c>
    </row>
    <row r="345" spans="1:17" x14ac:dyDescent="0.25">
      <c r="A345" t="s">
        <v>19</v>
      </c>
      <c r="B345">
        <v>18</v>
      </c>
      <c r="C345">
        <v>0.95</v>
      </c>
      <c r="D345">
        <v>2003</v>
      </c>
      <c r="E345" t="s">
        <v>28</v>
      </c>
      <c r="F345">
        <v>2003322</v>
      </c>
      <c r="G345">
        <v>2004100</v>
      </c>
      <c r="H345">
        <v>23721</v>
      </c>
      <c r="I345">
        <v>3606</v>
      </c>
      <c r="J345">
        <v>0</v>
      </c>
      <c r="K345">
        <v>795</v>
      </c>
      <c r="L345">
        <v>0</v>
      </c>
      <c r="M345">
        <v>75</v>
      </c>
      <c r="N345">
        <v>15.78848</v>
      </c>
      <c r="O345">
        <v>4.7544519999999997</v>
      </c>
      <c r="P345">
        <v>14.62618</v>
      </c>
      <c r="Q345">
        <v>115398</v>
      </c>
    </row>
    <row r="346" spans="1:17" x14ac:dyDescent="0.25">
      <c r="A346" t="s">
        <v>19</v>
      </c>
      <c r="B346">
        <v>18</v>
      </c>
      <c r="C346">
        <v>0.95</v>
      </c>
      <c r="D346">
        <v>2004</v>
      </c>
      <c r="E346" t="s">
        <v>28</v>
      </c>
      <c r="F346">
        <v>2004322</v>
      </c>
      <c r="G346">
        <v>2005114</v>
      </c>
      <c r="H346">
        <v>4096</v>
      </c>
      <c r="I346">
        <v>927</v>
      </c>
      <c r="J346">
        <v>0</v>
      </c>
      <c r="K346">
        <v>306</v>
      </c>
      <c r="L346">
        <v>0</v>
      </c>
      <c r="M346">
        <v>75</v>
      </c>
      <c r="N346">
        <v>17.371200000000002</v>
      </c>
      <c r="O346">
        <v>3.1356030000000001</v>
      </c>
      <c r="P346">
        <v>16.804189999999998</v>
      </c>
      <c r="Q346">
        <v>29653</v>
      </c>
    </row>
    <row r="347" spans="1:17" x14ac:dyDescent="0.25">
      <c r="A347" t="s">
        <v>19</v>
      </c>
      <c r="B347">
        <v>18</v>
      </c>
      <c r="C347">
        <v>0.95</v>
      </c>
      <c r="D347">
        <v>2005</v>
      </c>
      <c r="E347" t="s">
        <v>28</v>
      </c>
      <c r="F347">
        <v>2005322</v>
      </c>
      <c r="G347">
        <v>2006103</v>
      </c>
      <c r="H347">
        <v>7436</v>
      </c>
      <c r="I347">
        <v>2029</v>
      </c>
      <c r="J347">
        <v>0</v>
      </c>
      <c r="K347">
        <v>297</v>
      </c>
      <c r="L347">
        <v>0</v>
      </c>
      <c r="M347">
        <v>75</v>
      </c>
      <c r="N347">
        <v>17.483149999999998</v>
      </c>
      <c r="O347">
        <v>4.7865169999999999</v>
      </c>
      <c r="P347">
        <v>15.77359</v>
      </c>
      <c r="Q347">
        <v>64915</v>
      </c>
    </row>
    <row r="348" spans="1:17" x14ac:dyDescent="0.25">
      <c r="A348" t="s">
        <v>19</v>
      </c>
      <c r="B348">
        <v>18</v>
      </c>
      <c r="C348">
        <v>0.95</v>
      </c>
      <c r="D348">
        <v>2006</v>
      </c>
      <c r="E348" t="s">
        <v>28</v>
      </c>
      <c r="F348">
        <v>2006322</v>
      </c>
      <c r="G348">
        <v>2007107</v>
      </c>
      <c r="H348">
        <v>19576</v>
      </c>
      <c r="I348">
        <v>3972</v>
      </c>
      <c r="J348">
        <v>0</v>
      </c>
      <c r="K348">
        <v>598</v>
      </c>
      <c r="L348">
        <v>0</v>
      </c>
      <c r="M348">
        <v>75</v>
      </c>
      <c r="N348">
        <v>16.034030000000001</v>
      </c>
      <c r="O348">
        <v>4.5439790000000002</v>
      </c>
      <c r="P348">
        <v>13.87696</v>
      </c>
      <c r="Q348">
        <v>127119</v>
      </c>
    </row>
    <row r="349" spans="1:17" x14ac:dyDescent="0.25">
      <c r="A349" t="s">
        <v>19</v>
      </c>
      <c r="B349">
        <v>18</v>
      </c>
      <c r="C349">
        <v>0.95</v>
      </c>
      <c r="D349">
        <v>2007</v>
      </c>
      <c r="E349" t="s">
        <v>28</v>
      </c>
      <c r="F349">
        <v>2007322</v>
      </c>
      <c r="G349">
        <v>2008099</v>
      </c>
      <c r="H349">
        <v>13909</v>
      </c>
      <c r="I349">
        <v>1466</v>
      </c>
      <c r="J349">
        <v>0</v>
      </c>
      <c r="K349">
        <v>489</v>
      </c>
      <c r="L349">
        <v>0</v>
      </c>
      <c r="M349">
        <v>75</v>
      </c>
      <c r="N349">
        <v>17.014209999999999</v>
      </c>
      <c r="O349">
        <v>4.2852639999999997</v>
      </c>
      <c r="P349">
        <v>14.333159999999999</v>
      </c>
      <c r="Q349">
        <v>46907</v>
      </c>
    </row>
    <row r="350" spans="1:17" x14ac:dyDescent="0.25">
      <c r="A350" t="s">
        <v>19</v>
      </c>
      <c r="B350">
        <v>18</v>
      </c>
      <c r="C350">
        <v>0.95</v>
      </c>
      <c r="D350">
        <v>2008</v>
      </c>
      <c r="E350" t="s">
        <v>28</v>
      </c>
      <c r="F350">
        <v>2008322</v>
      </c>
      <c r="G350">
        <v>2009111</v>
      </c>
      <c r="H350">
        <v>12417</v>
      </c>
      <c r="I350">
        <v>3345</v>
      </c>
      <c r="J350">
        <v>0</v>
      </c>
      <c r="K350">
        <v>442</v>
      </c>
      <c r="L350">
        <v>0</v>
      </c>
      <c r="M350">
        <v>75</v>
      </c>
      <c r="N350">
        <v>16.69162</v>
      </c>
      <c r="O350">
        <v>3.613089</v>
      </c>
      <c r="P350">
        <v>14.836130000000001</v>
      </c>
      <c r="Q350">
        <v>107042</v>
      </c>
    </row>
    <row r="351" spans="1:17" x14ac:dyDescent="0.25">
      <c r="A351" t="s">
        <v>19</v>
      </c>
      <c r="B351">
        <v>18</v>
      </c>
      <c r="C351">
        <v>0.95</v>
      </c>
      <c r="D351">
        <v>2009</v>
      </c>
      <c r="E351" t="s">
        <v>29</v>
      </c>
      <c r="F351">
        <v>2009322</v>
      </c>
      <c r="G351">
        <v>2010103</v>
      </c>
      <c r="H351">
        <v>16058</v>
      </c>
      <c r="I351">
        <v>3184</v>
      </c>
      <c r="J351">
        <v>0</v>
      </c>
      <c r="K351">
        <v>797</v>
      </c>
      <c r="L351">
        <v>0</v>
      </c>
      <c r="M351">
        <v>75</v>
      </c>
      <c r="N351">
        <v>15.92328</v>
      </c>
      <c r="O351">
        <v>5.6888889999999996</v>
      </c>
      <c r="P351">
        <v>13.870900000000001</v>
      </c>
      <c r="Q351">
        <v>101878</v>
      </c>
    </row>
    <row r="352" spans="1:17" x14ac:dyDescent="0.25">
      <c r="A352" t="s">
        <v>19</v>
      </c>
      <c r="B352">
        <v>18</v>
      </c>
      <c r="C352">
        <v>0.95</v>
      </c>
      <c r="D352">
        <v>2010</v>
      </c>
      <c r="E352" t="s">
        <v>29</v>
      </c>
      <c r="F352">
        <v>2010322</v>
      </c>
      <c r="G352">
        <v>2011100</v>
      </c>
      <c r="H352">
        <v>16680</v>
      </c>
      <c r="I352">
        <v>3787</v>
      </c>
      <c r="J352">
        <v>0</v>
      </c>
      <c r="K352">
        <v>808</v>
      </c>
      <c r="L352">
        <v>0</v>
      </c>
      <c r="M352">
        <v>75</v>
      </c>
      <c r="N352">
        <v>17.138950000000001</v>
      </c>
      <c r="O352">
        <v>5.7631569999999996</v>
      </c>
      <c r="P352">
        <v>13.42737</v>
      </c>
      <c r="Q352">
        <v>121175</v>
      </c>
    </row>
    <row r="353" spans="1:17" x14ac:dyDescent="0.25">
      <c r="A353" t="s">
        <v>19</v>
      </c>
      <c r="B353">
        <v>18</v>
      </c>
      <c r="C353">
        <v>0.95</v>
      </c>
      <c r="D353">
        <v>2011</v>
      </c>
      <c r="E353" t="s">
        <v>29</v>
      </c>
      <c r="F353">
        <v>2011322</v>
      </c>
      <c r="G353">
        <v>2012118</v>
      </c>
      <c r="H353">
        <v>3638</v>
      </c>
      <c r="I353">
        <v>577</v>
      </c>
      <c r="J353">
        <v>0</v>
      </c>
      <c r="K353">
        <v>281</v>
      </c>
      <c r="L353">
        <v>0</v>
      </c>
      <c r="M353">
        <v>75</v>
      </c>
      <c r="N353">
        <v>17.275919999999999</v>
      </c>
      <c r="O353">
        <v>2.165969</v>
      </c>
      <c r="P353">
        <v>15.458640000000001</v>
      </c>
      <c r="Q353">
        <v>18466</v>
      </c>
    </row>
    <row r="354" spans="1:17" x14ac:dyDescent="0.25">
      <c r="A354" t="s">
        <v>19</v>
      </c>
      <c r="B354">
        <v>18</v>
      </c>
      <c r="C354">
        <v>0.95</v>
      </c>
      <c r="D354">
        <v>2012</v>
      </c>
      <c r="E354" t="s">
        <v>29</v>
      </c>
      <c r="F354">
        <v>2012322</v>
      </c>
      <c r="G354">
        <v>2013107</v>
      </c>
      <c r="H354">
        <v>21318</v>
      </c>
      <c r="I354">
        <v>4435</v>
      </c>
      <c r="J354">
        <v>0</v>
      </c>
      <c r="K354">
        <v>697</v>
      </c>
      <c r="L354">
        <v>0</v>
      </c>
      <c r="M354">
        <v>75</v>
      </c>
      <c r="N354">
        <v>15.631769999999999</v>
      </c>
      <c r="O354">
        <v>4.3671879999999996</v>
      </c>
      <c r="P354">
        <v>13.94896</v>
      </c>
      <c r="Q354">
        <v>141913</v>
      </c>
    </row>
    <row r="355" spans="1:17" x14ac:dyDescent="0.25">
      <c r="A355" t="s">
        <v>19</v>
      </c>
      <c r="B355">
        <v>18</v>
      </c>
      <c r="C355">
        <v>0.95</v>
      </c>
      <c r="D355">
        <v>2013</v>
      </c>
      <c r="E355" t="s">
        <v>29</v>
      </c>
      <c r="F355">
        <v>2013322</v>
      </c>
      <c r="G355">
        <v>2014105</v>
      </c>
      <c r="H355">
        <v>13453</v>
      </c>
      <c r="I355">
        <v>4155</v>
      </c>
      <c r="J355">
        <v>0</v>
      </c>
      <c r="K355">
        <v>413</v>
      </c>
      <c r="L355">
        <v>0</v>
      </c>
      <c r="M355">
        <v>75</v>
      </c>
      <c r="N355">
        <v>17.298929999999999</v>
      </c>
      <c r="O355">
        <v>4.4043010000000002</v>
      </c>
      <c r="P355">
        <v>14.78065</v>
      </c>
      <c r="Q355">
        <v>132970</v>
      </c>
    </row>
    <row r="356" spans="1:17" x14ac:dyDescent="0.25">
      <c r="A356" t="s">
        <v>19</v>
      </c>
      <c r="B356">
        <v>18</v>
      </c>
      <c r="C356">
        <v>0.95</v>
      </c>
      <c r="D356">
        <v>2014</v>
      </c>
      <c r="E356" t="s">
        <v>29</v>
      </c>
      <c r="F356">
        <v>2014322</v>
      </c>
      <c r="G356">
        <v>2015111</v>
      </c>
      <c r="H356">
        <v>9871</v>
      </c>
      <c r="I356">
        <v>3575</v>
      </c>
      <c r="J356">
        <v>0</v>
      </c>
      <c r="K356">
        <v>453</v>
      </c>
      <c r="L356">
        <v>0</v>
      </c>
      <c r="M356">
        <v>75</v>
      </c>
      <c r="N356">
        <v>17.763539999999999</v>
      </c>
      <c r="O356">
        <v>3.6463540000000001</v>
      </c>
      <c r="P356">
        <v>15.252599999999999</v>
      </c>
      <c r="Q356">
        <v>114415</v>
      </c>
    </row>
    <row r="357" spans="1:17" x14ac:dyDescent="0.25">
      <c r="A357" t="s">
        <v>19</v>
      </c>
      <c r="B357">
        <v>18</v>
      </c>
      <c r="C357">
        <v>0.95</v>
      </c>
      <c r="D357">
        <v>2015</v>
      </c>
      <c r="E357" t="s">
        <v>29</v>
      </c>
      <c r="F357">
        <v>2015322</v>
      </c>
      <c r="G357">
        <v>2016101</v>
      </c>
      <c r="H357">
        <v>11058</v>
      </c>
      <c r="I357">
        <v>2145</v>
      </c>
      <c r="J357">
        <v>0</v>
      </c>
      <c r="K357">
        <v>360</v>
      </c>
      <c r="L357">
        <v>0</v>
      </c>
      <c r="M357">
        <v>75</v>
      </c>
      <c r="N357">
        <v>16.83822</v>
      </c>
      <c r="O357">
        <v>4.2811519999999996</v>
      </c>
      <c r="P357">
        <v>13.384819999999999</v>
      </c>
      <c r="Q357">
        <v>68644</v>
      </c>
    </row>
    <row r="358" spans="1:17" x14ac:dyDescent="0.25">
      <c r="A358" t="s">
        <v>19</v>
      </c>
      <c r="B358">
        <v>18</v>
      </c>
      <c r="C358">
        <v>0.95</v>
      </c>
      <c r="D358">
        <v>2016</v>
      </c>
      <c r="E358" t="s">
        <v>29</v>
      </c>
      <c r="F358">
        <v>2016322</v>
      </c>
      <c r="G358">
        <v>2017100</v>
      </c>
      <c r="H358">
        <v>12676</v>
      </c>
      <c r="I358">
        <v>3766</v>
      </c>
      <c r="J358">
        <v>0</v>
      </c>
      <c r="K358">
        <v>380</v>
      </c>
      <c r="L358">
        <v>0</v>
      </c>
      <c r="M358">
        <v>75</v>
      </c>
      <c r="N358">
        <v>18.205729999999999</v>
      </c>
      <c r="O358">
        <v>4.5062499999999996</v>
      </c>
      <c r="P358">
        <v>14.470829999999999</v>
      </c>
      <c r="Q358">
        <v>120507</v>
      </c>
    </row>
    <row r="359" spans="1:17" x14ac:dyDescent="0.25">
      <c r="A359" t="s">
        <v>19</v>
      </c>
      <c r="B359">
        <v>18</v>
      </c>
      <c r="C359">
        <v>0.95</v>
      </c>
      <c r="D359">
        <v>2017</v>
      </c>
      <c r="E359" t="s">
        <v>29</v>
      </c>
      <c r="F359">
        <v>2017322</v>
      </c>
      <c r="G359">
        <v>2018111</v>
      </c>
      <c r="H359">
        <v>16591</v>
      </c>
      <c r="I359">
        <v>3361</v>
      </c>
      <c r="J359">
        <v>0</v>
      </c>
      <c r="K359">
        <v>496</v>
      </c>
      <c r="L359">
        <v>0</v>
      </c>
      <c r="M359">
        <v>75</v>
      </c>
      <c r="N359">
        <v>16.071000000000002</v>
      </c>
      <c r="O359">
        <v>4.2769219999999999</v>
      </c>
      <c r="P359">
        <v>14.79823</v>
      </c>
      <c r="Q359">
        <v>107540</v>
      </c>
    </row>
    <row r="360" spans="1:17" x14ac:dyDescent="0.25">
      <c r="A360" t="s">
        <v>19</v>
      </c>
      <c r="B360">
        <v>18</v>
      </c>
      <c r="C360">
        <v>0.95</v>
      </c>
      <c r="D360">
        <v>2018</v>
      </c>
      <c r="E360" t="s">
        <v>29</v>
      </c>
      <c r="F360">
        <v>2018322</v>
      </c>
      <c r="G360">
        <v>2019104</v>
      </c>
      <c r="H360">
        <v>5634</v>
      </c>
      <c r="I360">
        <v>1503</v>
      </c>
      <c r="J360">
        <v>0</v>
      </c>
      <c r="K360">
        <v>308</v>
      </c>
      <c r="L360">
        <v>0</v>
      </c>
      <c r="M360">
        <v>75</v>
      </c>
      <c r="N360">
        <v>18.854980000000001</v>
      </c>
      <c r="O360">
        <v>3.017277</v>
      </c>
      <c r="P360">
        <v>16.041879999999999</v>
      </c>
      <c r="Q360">
        <v>48099</v>
      </c>
    </row>
    <row r="361" spans="1:17" x14ac:dyDescent="0.25">
      <c r="A361" t="s">
        <v>19</v>
      </c>
      <c r="B361">
        <v>18</v>
      </c>
      <c r="C361">
        <v>0.95</v>
      </c>
      <c r="D361">
        <v>2019</v>
      </c>
      <c r="E361" t="s">
        <v>29</v>
      </c>
      <c r="F361">
        <v>2019322</v>
      </c>
      <c r="G361">
        <v>2020091</v>
      </c>
      <c r="H361">
        <v>11638</v>
      </c>
      <c r="I361">
        <v>2463</v>
      </c>
      <c r="J361">
        <v>0</v>
      </c>
      <c r="K361">
        <v>348</v>
      </c>
      <c r="L361">
        <v>0</v>
      </c>
      <c r="M361">
        <v>75</v>
      </c>
      <c r="N361">
        <v>18.324729999999999</v>
      </c>
      <c r="O361">
        <v>5.5836819999999996</v>
      </c>
      <c r="P361">
        <v>13.979480000000001</v>
      </c>
      <c r="Q361">
        <v>78809</v>
      </c>
    </row>
    <row r="362" spans="1:17" x14ac:dyDescent="0.25">
      <c r="A362" t="s">
        <v>19</v>
      </c>
      <c r="B362">
        <v>19</v>
      </c>
      <c r="C362">
        <v>0.94</v>
      </c>
      <c r="D362">
        <v>2000</v>
      </c>
      <c r="E362" t="s">
        <v>28</v>
      </c>
      <c r="F362">
        <v>2000322</v>
      </c>
      <c r="G362">
        <v>2001095</v>
      </c>
      <c r="H362">
        <v>17586</v>
      </c>
      <c r="I362">
        <v>3906</v>
      </c>
      <c r="J362">
        <v>0</v>
      </c>
      <c r="K362">
        <v>671</v>
      </c>
      <c r="L362">
        <v>0</v>
      </c>
      <c r="M362">
        <v>100</v>
      </c>
      <c r="N362">
        <v>17.114730000000002</v>
      </c>
      <c r="O362">
        <v>5.4568409999999998</v>
      </c>
      <c r="P362">
        <v>15.01947</v>
      </c>
      <c r="Q362">
        <v>105471</v>
      </c>
    </row>
    <row r="363" spans="1:17" x14ac:dyDescent="0.25">
      <c r="A363" t="s">
        <v>19</v>
      </c>
      <c r="B363">
        <v>19</v>
      </c>
      <c r="C363">
        <v>0.94</v>
      </c>
      <c r="D363">
        <v>2001</v>
      </c>
      <c r="E363" t="s">
        <v>28</v>
      </c>
      <c r="F363">
        <v>2001322</v>
      </c>
      <c r="G363">
        <v>2002103</v>
      </c>
      <c r="H363">
        <v>13776</v>
      </c>
      <c r="I363">
        <v>3429</v>
      </c>
      <c r="J363">
        <v>0</v>
      </c>
      <c r="K363">
        <v>506</v>
      </c>
      <c r="L363">
        <v>0</v>
      </c>
      <c r="M363">
        <v>100</v>
      </c>
      <c r="N363">
        <v>17.22804</v>
      </c>
      <c r="O363">
        <v>4.104762</v>
      </c>
      <c r="P363">
        <v>15.895770000000001</v>
      </c>
      <c r="Q363">
        <v>92590</v>
      </c>
    </row>
    <row r="364" spans="1:17" x14ac:dyDescent="0.25">
      <c r="A364" t="s">
        <v>19</v>
      </c>
      <c r="B364">
        <v>19</v>
      </c>
      <c r="C364">
        <v>0.94</v>
      </c>
      <c r="D364">
        <v>2002</v>
      </c>
      <c r="E364" t="s">
        <v>28</v>
      </c>
      <c r="F364">
        <v>2002322</v>
      </c>
      <c r="G364">
        <v>2003101</v>
      </c>
      <c r="H364">
        <v>14520</v>
      </c>
      <c r="I364">
        <v>3821</v>
      </c>
      <c r="J364">
        <v>0</v>
      </c>
      <c r="K364">
        <v>446</v>
      </c>
      <c r="L364">
        <v>0</v>
      </c>
      <c r="M364">
        <v>100</v>
      </c>
      <c r="N364">
        <v>16.870529999999999</v>
      </c>
      <c r="O364">
        <v>5.274737</v>
      </c>
      <c r="P364">
        <v>15.50789</v>
      </c>
      <c r="Q364">
        <v>103174</v>
      </c>
    </row>
    <row r="365" spans="1:17" x14ac:dyDescent="0.25">
      <c r="A365" t="s">
        <v>19</v>
      </c>
      <c r="B365">
        <v>19</v>
      </c>
      <c r="C365">
        <v>0.94</v>
      </c>
      <c r="D365">
        <v>2003</v>
      </c>
      <c r="E365" t="s">
        <v>28</v>
      </c>
      <c r="F365">
        <v>2003322</v>
      </c>
      <c r="G365">
        <v>2004100</v>
      </c>
      <c r="H365">
        <v>24554</v>
      </c>
      <c r="I365">
        <v>3816</v>
      </c>
      <c r="J365">
        <v>0</v>
      </c>
      <c r="K365">
        <v>795</v>
      </c>
      <c r="L365">
        <v>0</v>
      </c>
      <c r="M365">
        <v>100</v>
      </c>
      <c r="N365">
        <v>15.78848</v>
      </c>
      <c r="O365">
        <v>4.7544519999999997</v>
      </c>
      <c r="P365">
        <v>14.62618</v>
      </c>
      <c r="Q365">
        <v>103033</v>
      </c>
    </row>
    <row r="366" spans="1:17" x14ac:dyDescent="0.25">
      <c r="A366" t="s">
        <v>19</v>
      </c>
      <c r="B366">
        <v>19</v>
      </c>
      <c r="C366">
        <v>0.94</v>
      </c>
      <c r="D366">
        <v>2004</v>
      </c>
      <c r="E366" t="s">
        <v>28</v>
      </c>
      <c r="F366">
        <v>2004322</v>
      </c>
      <c r="G366">
        <v>2005114</v>
      </c>
      <c r="H366">
        <v>4594</v>
      </c>
      <c r="I366">
        <v>1064</v>
      </c>
      <c r="J366">
        <v>0</v>
      </c>
      <c r="K366">
        <v>306</v>
      </c>
      <c r="L366">
        <v>0</v>
      </c>
      <c r="M366">
        <v>100</v>
      </c>
      <c r="N366">
        <v>17.371200000000002</v>
      </c>
      <c r="O366">
        <v>3.1356030000000001</v>
      </c>
      <c r="P366">
        <v>16.804189999999998</v>
      </c>
      <c r="Q366">
        <v>28719</v>
      </c>
    </row>
    <row r="367" spans="1:17" x14ac:dyDescent="0.25">
      <c r="A367" t="s">
        <v>19</v>
      </c>
      <c r="B367">
        <v>19</v>
      </c>
      <c r="C367">
        <v>0.94</v>
      </c>
      <c r="D367">
        <v>2005</v>
      </c>
      <c r="E367" t="s">
        <v>28</v>
      </c>
      <c r="F367">
        <v>2005322</v>
      </c>
      <c r="G367">
        <v>2006103</v>
      </c>
      <c r="H367">
        <v>7636</v>
      </c>
      <c r="I367">
        <v>2090</v>
      </c>
      <c r="J367">
        <v>0</v>
      </c>
      <c r="K367">
        <v>297</v>
      </c>
      <c r="L367">
        <v>0</v>
      </c>
      <c r="M367">
        <v>100</v>
      </c>
      <c r="N367">
        <v>17.483149999999998</v>
      </c>
      <c r="O367">
        <v>4.7865169999999999</v>
      </c>
      <c r="P367">
        <v>15.77359</v>
      </c>
      <c r="Q367">
        <v>56442</v>
      </c>
    </row>
    <row r="368" spans="1:17" x14ac:dyDescent="0.25">
      <c r="A368" t="s">
        <v>19</v>
      </c>
      <c r="B368">
        <v>19</v>
      </c>
      <c r="C368">
        <v>0.94</v>
      </c>
      <c r="D368">
        <v>2006</v>
      </c>
      <c r="E368" t="s">
        <v>28</v>
      </c>
      <c r="F368">
        <v>2006322</v>
      </c>
      <c r="G368">
        <v>2007107</v>
      </c>
      <c r="H368">
        <v>19954</v>
      </c>
      <c r="I368">
        <v>4069</v>
      </c>
      <c r="J368">
        <v>0</v>
      </c>
      <c r="K368">
        <v>598</v>
      </c>
      <c r="L368">
        <v>0</v>
      </c>
      <c r="M368">
        <v>100</v>
      </c>
      <c r="N368">
        <v>16.034030000000001</v>
      </c>
      <c r="O368">
        <v>4.5439790000000002</v>
      </c>
      <c r="P368">
        <v>13.87696</v>
      </c>
      <c r="Q368">
        <v>109862</v>
      </c>
    </row>
    <row r="369" spans="1:17" x14ac:dyDescent="0.25">
      <c r="A369" t="s">
        <v>19</v>
      </c>
      <c r="B369">
        <v>19</v>
      </c>
      <c r="C369">
        <v>0.94</v>
      </c>
      <c r="D369">
        <v>2007</v>
      </c>
      <c r="E369" t="s">
        <v>28</v>
      </c>
      <c r="F369">
        <v>2007322</v>
      </c>
      <c r="G369">
        <v>2008099</v>
      </c>
      <c r="H369">
        <v>15070</v>
      </c>
      <c r="I369">
        <v>1623</v>
      </c>
      <c r="J369">
        <v>0</v>
      </c>
      <c r="K369">
        <v>489</v>
      </c>
      <c r="L369">
        <v>0</v>
      </c>
      <c r="M369">
        <v>100</v>
      </c>
      <c r="N369">
        <v>17.014209999999999</v>
      </c>
      <c r="O369">
        <v>4.2852639999999997</v>
      </c>
      <c r="P369">
        <v>14.333159999999999</v>
      </c>
      <c r="Q369">
        <v>43820</v>
      </c>
    </row>
    <row r="370" spans="1:17" x14ac:dyDescent="0.25">
      <c r="A370" t="s">
        <v>19</v>
      </c>
      <c r="B370">
        <v>19</v>
      </c>
      <c r="C370">
        <v>0.94</v>
      </c>
      <c r="D370">
        <v>2008</v>
      </c>
      <c r="E370" t="s">
        <v>28</v>
      </c>
      <c r="F370">
        <v>2008322</v>
      </c>
      <c r="G370">
        <v>2009111</v>
      </c>
      <c r="H370">
        <v>12505</v>
      </c>
      <c r="I370">
        <v>3376</v>
      </c>
      <c r="J370">
        <v>0</v>
      </c>
      <c r="K370">
        <v>442</v>
      </c>
      <c r="L370">
        <v>0</v>
      </c>
      <c r="M370">
        <v>100</v>
      </c>
      <c r="N370">
        <v>16.69162</v>
      </c>
      <c r="O370">
        <v>3.613089</v>
      </c>
      <c r="P370">
        <v>14.836130000000001</v>
      </c>
      <c r="Q370">
        <v>91149</v>
      </c>
    </row>
    <row r="371" spans="1:17" x14ac:dyDescent="0.25">
      <c r="A371" t="s">
        <v>19</v>
      </c>
      <c r="B371">
        <v>19</v>
      </c>
      <c r="C371">
        <v>0.94</v>
      </c>
      <c r="D371">
        <v>2009</v>
      </c>
      <c r="E371" t="s">
        <v>29</v>
      </c>
      <c r="F371">
        <v>2009322</v>
      </c>
      <c r="G371">
        <v>2010103</v>
      </c>
      <c r="H371">
        <v>17419</v>
      </c>
      <c r="I371">
        <v>3706</v>
      </c>
      <c r="J371">
        <v>0</v>
      </c>
      <c r="K371">
        <v>797</v>
      </c>
      <c r="L371">
        <v>0</v>
      </c>
      <c r="M371">
        <v>100</v>
      </c>
      <c r="N371">
        <v>15.92328</v>
      </c>
      <c r="O371">
        <v>5.6888889999999996</v>
      </c>
      <c r="P371">
        <v>13.870900000000001</v>
      </c>
      <c r="Q371">
        <v>100050</v>
      </c>
    </row>
    <row r="372" spans="1:17" x14ac:dyDescent="0.25">
      <c r="A372" t="s">
        <v>19</v>
      </c>
      <c r="B372">
        <v>19</v>
      </c>
      <c r="C372">
        <v>0.94</v>
      </c>
      <c r="D372">
        <v>2010</v>
      </c>
      <c r="E372" t="s">
        <v>29</v>
      </c>
      <c r="F372">
        <v>2010322</v>
      </c>
      <c r="G372">
        <v>2011100</v>
      </c>
      <c r="H372">
        <v>18375</v>
      </c>
      <c r="I372">
        <v>4342</v>
      </c>
      <c r="J372">
        <v>0</v>
      </c>
      <c r="K372">
        <v>808</v>
      </c>
      <c r="L372">
        <v>0</v>
      </c>
      <c r="M372">
        <v>100</v>
      </c>
      <c r="N372">
        <v>17.138950000000001</v>
      </c>
      <c r="O372">
        <v>5.7631569999999996</v>
      </c>
      <c r="P372">
        <v>13.42737</v>
      </c>
      <c r="Q372">
        <v>117222</v>
      </c>
    </row>
    <row r="373" spans="1:17" x14ac:dyDescent="0.25">
      <c r="A373" t="s">
        <v>19</v>
      </c>
      <c r="B373">
        <v>19</v>
      </c>
      <c r="C373">
        <v>0.94</v>
      </c>
      <c r="D373">
        <v>2011</v>
      </c>
      <c r="E373" t="s">
        <v>29</v>
      </c>
      <c r="F373">
        <v>2011322</v>
      </c>
      <c r="G373">
        <v>2012118</v>
      </c>
      <c r="H373">
        <v>3619</v>
      </c>
      <c r="I373">
        <v>575</v>
      </c>
      <c r="J373">
        <v>0</v>
      </c>
      <c r="K373">
        <v>281</v>
      </c>
      <c r="L373">
        <v>0</v>
      </c>
      <c r="M373">
        <v>100</v>
      </c>
      <c r="N373">
        <v>17.275919999999999</v>
      </c>
      <c r="O373">
        <v>2.165969</v>
      </c>
      <c r="P373">
        <v>15.458640000000001</v>
      </c>
      <c r="Q373">
        <v>15524</v>
      </c>
    </row>
    <row r="374" spans="1:17" x14ac:dyDescent="0.25">
      <c r="A374" t="s">
        <v>19</v>
      </c>
      <c r="B374">
        <v>19</v>
      </c>
      <c r="C374">
        <v>0.94</v>
      </c>
      <c r="D374">
        <v>2012</v>
      </c>
      <c r="E374" t="s">
        <v>29</v>
      </c>
      <c r="F374">
        <v>2012322</v>
      </c>
      <c r="G374">
        <v>2013107</v>
      </c>
      <c r="H374">
        <v>21464</v>
      </c>
      <c r="I374">
        <v>4489</v>
      </c>
      <c r="J374">
        <v>0</v>
      </c>
      <c r="K374">
        <v>697</v>
      </c>
      <c r="L374">
        <v>0</v>
      </c>
      <c r="M374">
        <v>100</v>
      </c>
      <c r="N374">
        <v>15.631769999999999</v>
      </c>
      <c r="O374">
        <v>4.3671879999999996</v>
      </c>
      <c r="P374">
        <v>13.94896</v>
      </c>
      <c r="Q374">
        <v>121203</v>
      </c>
    </row>
    <row r="375" spans="1:17" x14ac:dyDescent="0.25">
      <c r="A375" t="s">
        <v>19</v>
      </c>
      <c r="B375">
        <v>19</v>
      </c>
      <c r="C375">
        <v>0.94</v>
      </c>
      <c r="D375">
        <v>2013</v>
      </c>
      <c r="E375" t="s">
        <v>29</v>
      </c>
      <c r="F375">
        <v>2013322</v>
      </c>
      <c r="G375">
        <v>2014105</v>
      </c>
      <c r="H375">
        <v>14886</v>
      </c>
      <c r="I375">
        <v>4925</v>
      </c>
      <c r="J375">
        <v>0</v>
      </c>
      <c r="K375">
        <v>413</v>
      </c>
      <c r="L375">
        <v>0</v>
      </c>
      <c r="M375">
        <v>100</v>
      </c>
      <c r="N375">
        <v>17.298929999999999</v>
      </c>
      <c r="O375">
        <v>4.4043010000000002</v>
      </c>
      <c r="P375">
        <v>14.78065</v>
      </c>
      <c r="Q375">
        <v>132977</v>
      </c>
    </row>
    <row r="376" spans="1:17" x14ac:dyDescent="0.25">
      <c r="A376" t="s">
        <v>19</v>
      </c>
      <c r="B376">
        <v>19</v>
      </c>
      <c r="C376">
        <v>0.94</v>
      </c>
      <c r="D376">
        <v>2014</v>
      </c>
      <c r="E376" t="s">
        <v>29</v>
      </c>
      <c r="F376">
        <v>2014322</v>
      </c>
      <c r="G376">
        <v>2015111</v>
      </c>
      <c r="H376">
        <v>10510</v>
      </c>
      <c r="I376">
        <v>3833</v>
      </c>
      <c r="J376">
        <v>0</v>
      </c>
      <c r="K376">
        <v>453</v>
      </c>
      <c r="L376">
        <v>0</v>
      </c>
      <c r="M376">
        <v>100</v>
      </c>
      <c r="N376">
        <v>17.763539999999999</v>
      </c>
      <c r="O376">
        <v>3.6463540000000001</v>
      </c>
      <c r="P376">
        <v>15.252599999999999</v>
      </c>
      <c r="Q376">
        <v>103483</v>
      </c>
    </row>
    <row r="377" spans="1:17" x14ac:dyDescent="0.25">
      <c r="A377" t="s">
        <v>19</v>
      </c>
      <c r="B377">
        <v>19</v>
      </c>
      <c r="C377">
        <v>0.94</v>
      </c>
      <c r="D377">
        <v>2015</v>
      </c>
      <c r="E377" t="s">
        <v>29</v>
      </c>
      <c r="F377">
        <v>2015322</v>
      </c>
      <c r="G377">
        <v>2016101</v>
      </c>
      <c r="H377">
        <v>11227</v>
      </c>
      <c r="I377">
        <v>2191</v>
      </c>
      <c r="J377">
        <v>0</v>
      </c>
      <c r="K377">
        <v>360</v>
      </c>
      <c r="L377">
        <v>0</v>
      </c>
      <c r="M377">
        <v>100</v>
      </c>
      <c r="N377">
        <v>16.83822</v>
      </c>
      <c r="O377">
        <v>4.2811519999999996</v>
      </c>
      <c r="P377">
        <v>13.384819999999999</v>
      </c>
      <c r="Q377">
        <v>59168</v>
      </c>
    </row>
    <row r="378" spans="1:17" x14ac:dyDescent="0.25">
      <c r="A378" t="s">
        <v>19</v>
      </c>
      <c r="B378">
        <v>19</v>
      </c>
      <c r="C378">
        <v>0.94</v>
      </c>
      <c r="D378">
        <v>2016</v>
      </c>
      <c r="E378" t="s">
        <v>29</v>
      </c>
      <c r="F378">
        <v>2016322</v>
      </c>
      <c r="G378">
        <v>2017100</v>
      </c>
      <c r="H378">
        <v>13257</v>
      </c>
      <c r="I378">
        <v>3996</v>
      </c>
      <c r="J378">
        <v>0</v>
      </c>
      <c r="K378">
        <v>380</v>
      </c>
      <c r="L378">
        <v>0</v>
      </c>
      <c r="M378">
        <v>100</v>
      </c>
      <c r="N378">
        <v>18.205729999999999</v>
      </c>
      <c r="O378">
        <v>4.5062499999999996</v>
      </c>
      <c r="P378">
        <v>14.470829999999999</v>
      </c>
      <c r="Q378">
        <v>107899</v>
      </c>
    </row>
    <row r="379" spans="1:17" x14ac:dyDescent="0.25">
      <c r="A379" t="s">
        <v>19</v>
      </c>
      <c r="B379">
        <v>19</v>
      </c>
      <c r="C379">
        <v>0.94</v>
      </c>
      <c r="D379">
        <v>2017</v>
      </c>
      <c r="E379" t="s">
        <v>29</v>
      </c>
      <c r="F379">
        <v>2017322</v>
      </c>
      <c r="G379">
        <v>2018111</v>
      </c>
      <c r="H379">
        <v>16932</v>
      </c>
      <c r="I379">
        <v>3425</v>
      </c>
      <c r="J379">
        <v>0</v>
      </c>
      <c r="K379">
        <v>496</v>
      </c>
      <c r="L379">
        <v>0</v>
      </c>
      <c r="M379">
        <v>100</v>
      </c>
      <c r="N379">
        <v>16.071000000000002</v>
      </c>
      <c r="O379">
        <v>4.2769219999999999</v>
      </c>
      <c r="P379">
        <v>14.79823</v>
      </c>
      <c r="Q379">
        <v>92466</v>
      </c>
    </row>
    <row r="380" spans="1:17" x14ac:dyDescent="0.25">
      <c r="A380" t="s">
        <v>19</v>
      </c>
      <c r="B380">
        <v>19</v>
      </c>
      <c r="C380">
        <v>0.94</v>
      </c>
      <c r="D380">
        <v>2018</v>
      </c>
      <c r="E380" t="s">
        <v>29</v>
      </c>
      <c r="F380">
        <v>2018322</v>
      </c>
      <c r="G380">
        <v>2019104</v>
      </c>
      <c r="H380">
        <v>6236</v>
      </c>
      <c r="I380">
        <v>1717</v>
      </c>
      <c r="J380">
        <v>0</v>
      </c>
      <c r="K380">
        <v>308</v>
      </c>
      <c r="L380">
        <v>0</v>
      </c>
      <c r="M380">
        <v>100</v>
      </c>
      <c r="N380">
        <v>18.854980000000001</v>
      </c>
      <c r="O380">
        <v>3.017277</v>
      </c>
      <c r="P380">
        <v>16.041879999999999</v>
      </c>
      <c r="Q380">
        <v>46365</v>
      </c>
    </row>
    <row r="381" spans="1:17" x14ac:dyDescent="0.25">
      <c r="A381" t="s">
        <v>19</v>
      </c>
      <c r="B381">
        <v>19</v>
      </c>
      <c r="C381">
        <v>0.94</v>
      </c>
      <c r="D381">
        <v>2019</v>
      </c>
      <c r="E381" t="s">
        <v>29</v>
      </c>
      <c r="F381">
        <v>2019322</v>
      </c>
      <c r="G381">
        <v>2020091</v>
      </c>
      <c r="H381">
        <v>11716</v>
      </c>
      <c r="I381">
        <v>2480</v>
      </c>
      <c r="J381">
        <v>0</v>
      </c>
      <c r="K381">
        <v>348</v>
      </c>
      <c r="L381">
        <v>0</v>
      </c>
      <c r="M381">
        <v>100</v>
      </c>
      <c r="N381">
        <v>18.324729999999999</v>
      </c>
      <c r="O381">
        <v>5.5836819999999996</v>
      </c>
      <c r="P381">
        <v>13.979480000000001</v>
      </c>
      <c r="Q381">
        <v>66968</v>
      </c>
    </row>
    <row r="382" spans="1:17" x14ac:dyDescent="0.25">
      <c r="A382" t="s">
        <v>19</v>
      </c>
      <c r="B382">
        <v>20</v>
      </c>
      <c r="C382">
        <v>1.08</v>
      </c>
      <c r="D382">
        <v>2000</v>
      </c>
      <c r="E382" t="s">
        <v>28</v>
      </c>
      <c r="F382">
        <v>2000322</v>
      </c>
      <c r="G382">
        <v>2001095</v>
      </c>
      <c r="H382">
        <v>19211</v>
      </c>
      <c r="I382">
        <v>3950</v>
      </c>
      <c r="J382">
        <v>0</v>
      </c>
      <c r="K382">
        <v>671</v>
      </c>
      <c r="L382">
        <v>0</v>
      </c>
      <c r="M382">
        <v>125</v>
      </c>
      <c r="N382">
        <v>17.114730000000002</v>
      </c>
      <c r="O382">
        <v>5.4568409999999998</v>
      </c>
      <c r="P382">
        <v>15.01947</v>
      </c>
      <c r="Q382">
        <v>106641</v>
      </c>
    </row>
    <row r="383" spans="1:17" x14ac:dyDescent="0.25">
      <c r="A383" t="s">
        <v>19</v>
      </c>
      <c r="B383">
        <v>20</v>
      </c>
      <c r="C383">
        <v>1.08</v>
      </c>
      <c r="D383">
        <v>2001</v>
      </c>
      <c r="E383" t="s">
        <v>28</v>
      </c>
      <c r="F383">
        <v>2001322</v>
      </c>
      <c r="G383">
        <v>2002103</v>
      </c>
      <c r="H383">
        <v>14616</v>
      </c>
      <c r="I383">
        <v>3705</v>
      </c>
      <c r="J383">
        <v>0</v>
      </c>
      <c r="K383">
        <v>506</v>
      </c>
      <c r="L383">
        <v>0</v>
      </c>
      <c r="M383">
        <v>125</v>
      </c>
      <c r="N383">
        <v>17.22804</v>
      </c>
      <c r="O383">
        <v>4.104762</v>
      </c>
      <c r="P383">
        <v>15.895770000000001</v>
      </c>
      <c r="Q383">
        <v>100025</v>
      </c>
    </row>
    <row r="384" spans="1:17" x14ac:dyDescent="0.25">
      <c r="A384" t="s">
        <v>19</v>
      </c>
      <c r="B384">
        <v>20</v>
      </c>
      <c r="C384">
        <v>1.08</v>
      </c>
      <c r="D384">
        <v>2002</v>
      </c>
      <c r="E384" t="s">
        <v>28</v>
      </c>
      <c r="F384">
        <v>2002322</v>
      </c>
      <c r="G384">
        <v>2003101</v>
      </c>
      <c r="H384">
        <v>15660</v>
      </c>
      <c r="I384">
        <v>4242</v>
      </c>
      <c r="J384">
        <v>0</v>
      </c>
      <c r="K384">
        <v>446</v>
      </c>
      <c r="L384">
        <v>0</v>
      </c>
      <c r="M384">
        <v>125</v>
      </c>
      <c r="N384">
        <v>16.870529999999999</v>
      </c>
      <c r="O384">
        <v>5.274737</v>
      </c>
      <c r="P384">
        <v>15.50789</v>
      </c>
      <c r="Q384">
        <v>114525</v>
      </c>
    </row>
    <row r="385" spans="1:17" x14ac:dyDescent="0.25">
      <c r="A385" t="s">
        <v>19</v>
      </c>
      <c r="B385">
        <v>20</v>
      </c>
      <c r="C385">
        <v>1.08</v>
      </c>
      <c r="D385">
        <v>2003</v>
      </c>
      <c r="E385" t="s">
        <v>28</v>
      </c>
      <c r="F385">
        <v>2003322</v>
      </c>
      <c r="G385">
        <v>2004100</v>
      </c>
      <c r="H385">
        <v>26114</v>
      </c>
      <c r="I385">
        <v>3987</v>
      </c>
      <c r="J385">
        <v>0</v>
      </c>
      <c r="K385">
        <v>795</v>
      </c>
      <c r="L385">
        <v>0</v>
      </c>
      <c r="M385">
        <v>125</v>
      </c>
      <c r="N385">
        <v>15.78848</v>
      </c>
      <c r="O385">
        <v>4.7544519999999997</v>
      </c>
      <c r="P385">
        <v>14.62618</v>
      </c>
      <c r="Q385">
        <v>107638</v>
      </c>
    </row>
    <row r="386" spans="1:17" x14ac:dyDescent="0.25">
      <c r="A386" t="s">
        <v>19</v>
      </c>
      <c r="B386">
        <v>20</v>
      </c>
      <c r="C386">
        <v>1.08</v>
      </c>
      <c r="D386">
        <v>2004</v>
      </c>
      <c r="E386" t="s">
        <v>28</v>
      </c>
      <c r="F386">
        <v>2004322</v>
      </c>
      <c r="G386">
        <v>2005114</v>
      </c>
      <c r="H386">
        <v>5280</v>
      </c>
      <c r="I386">
        <v>1237</v>
      </c>
      <c r="J386">
        <v>0</v>
      </c>
      <c r="K386">
        <v>306</v>
      </c>
      <c r="L386">
        <v>0</v>
      </c>
      <c r="M386">
        <v>125</v>
      </c>
      <c r="N386">
        <v>17.371200000000002</v>
      </c>
      <c r="O386">
        <v>3.1356030000000001</v>
      </c>
      <c r="P386">
        <v>16.804189999999998</v>
      </c>
      <c r="Q386">
        <v>33386</v>
      </c>
    </row>
    <row r="387" spans="1:17" x14ac:dyDescent="0.25">
      <c r="A387" t="s">
        <v>19</v>
      </c>
      <c r="B387">
        <v>20</v>
      </c>
      <c r="C387">
        <v>1.08</v>
      </c>
      <c r="D387">
        <v>2005</v>
      </c>
      <c r="E387" t="s">
        <v>28</v>
      </c>
      <c r="F387">
        <v>2005322</v>
      </c>
      <c r="G387">
        <v>2006103</v>
      </c>
      <c r="H387">
        <v>7834</v>
      </c>
      <c r="I387">
        <v>2145</v>
      </c>
      <c r="J387">
        <v>0</v>
      </c>
      <c r="K387">
        <v>297</v>
      </c>
      <c r="L387">
        <v>0</v>
      </c>
      <c r="M387">
        <v>125</v>
      </c>
      <c r="N387">
        <v>17.483149999999998</v>
      </c>
      <c r="O387">
        <v>4.7865169999999999</v>
      </c>
      <c r="P387">
        <v>15.77359</v>
      </c>
      <c r="Q387">
        <v>57903</v>
      </c>
    </row>
    <row r="388" spans="1:17" x14ac:dyDescent="0.25">
      <c r="A388" t="s">
        <v>19</v>
      </c>
      <c r="B388">
        <v>20</v>
      </c>
      <c r="C388">
        <v>1.08</v>
      </c>
      <c r="D388">
        <v>2006</v>
      </c>
      <c r="E388" t="s">
        <v>28</v>
      </c>
      <c r="F388">
        <v>2006322</v>
      </c>
      <c r="G388">
        <v>2007107</v>
      </c>
      <c r="H388">
        <v>20490</v>
      </c>
      <c r="I388">
        <v>4176</v>
      </c>
      <c r="J388">
        <v>0</v>
      </c>
      <c r="K388">
        <v>598</v>
      </c>
      <c r="L388">
        <v>0</v>
      </c>
      <c r="M388">
        <v>125</v>
      </c>
      <c r="N388">
        <v>16.034030000000001</v>
      </c>
      <c r="O388">
        <v>4.5439790000000002</v>
      </c>
      <c r="P388">
        <v>13.87696</v>
      </c>
      <c r="Q388">
        <v>112766</v>
      </c>
    </row>
    <row r="389" spans="1:17" x14ac:dyDescent="0.25">
      <c r="A389" t="s">
        <v>19</v>
      </c>
      <c r="B389">
        <v>20</v>
      </c>
      <c r="C389">
        <v>1.08</v>
      </c>
      <c r="D389">
        <v>2007</v>
      </c>
      <c r="E389" t="s">
        <v>29</v>
      </c>
      <c r="F389">
        <v>2007322</v>
      </c>
      <c r="G389">
        <v>2008099</v>
      </c>
      <c r="H389">
        <v>15907</v>
      </c>
      <c r="I389">
        <v>2101</v>
      </c>
      <c r="J389">
        <v>0</v>
      </c>
      <c r="K389">
        <v>489</v>
      </c>
      <c r="L389">
        <v>0</v>
      </c>
      <c r="M389">
        <v>125</v>
      </c>
      <c r="N389">
        <v>17.014209999999999</v>
      </c>
      <c r="O389">
        <v>4.2852639999999997</v>
      </c>
      <c r="P389">
        <v>14.333159999999999</v>
      </c>
      <c r="Q389">
        <v>56715</v>
      </c>
    </row>
    <row r="390" spans="1:17" x14ac:dyDescent="0.25">
      <c r="A390" t="s">
        <v>19</v>
      </c>
      <c r="B390">
        <v>20</v>
      </c>
      <c r="C390">
        <v>1.08</v>
      </c>
      <c r="D390">
        <v>2008</v>
      </c>
      <c r="E390" t="s">
        <v>29</v>
      </c>
      <c r="F390">
        <v>2008322</v>
      </c>
      <c r="G390">
        <v>2009111</v>
      </c>
      <c r="H390">
        <v>12618</v>
      </c>
      <c r="I390">
        <v>4262</v>
      </c>
      <c r="J390">
        <v>0</v>
      </c>
      <c r="K390">
        <v>442</v>
      </c>
      <c r="L390">
        <v>0</v>
      </c>
      <c r="M390">
        <v>125</v>
      </c>
      <c r="N390">
        <v>16.69162</v>
      </c>
      <c r="O390">
        <v>3.613089</v>
      </c>
      <c r="P390">
        <v>14.836130000000001</v>
      </c>
      <c r="Q390">
        <v>115078</v>
      </c>
    </row>
    <row r="391" spans="1:17" x14ac:dyDescent="0.25">
      <c r="A391" t="s">
        <v>19</v>
      </c>
      <c r="B391">
        <v>20</v>
      </c>
      <c r="C391">
        <v>1.08</v>
      </c>
      <c r="D391">
        <v>2009</v>
      </c>
      <c r="E391" t="s">
        <v>29</v>
      </c>
      <c r="F391">
        <v>2009322</v>
      </c>
      <c r="G391">
        <v>2010103</v>
      </c>
      <c r="H391">
        <v>20081</v>
      </c>
      <c r="I391">
        <v>4544</v>
      </c>
      <c r="J391">
        <v>0</v>
      </c>
      <c r="K391">
        <v>797</v>
      </c>
      <c r="L391">
        <v>0</v>
      </c>
      <c r="M391">
        <v>125</v>
      </c>
      <c r="N391">
        <v>15.92328</v>
      </c>
      <c r="O391">
        <v>5.6888889999999996</v>
      </c>
      <c r="P391">
        <v>13.870900000000001</v>
      </c>
      <c r="Q391">
        <v>122677</v>
      </c>
    </row>
    <row r="392" spans="1:17" x14ac:dyDescent="0.25">
      <c r="A392" t="s">
        <v>19</v>
      </c>
      <c r="B392">
        <v>20</v>
      </c>
      <c r="C392">
        <v>1.08</v>
      </c>
      <c r="D392">
        <v>2010</v>
      </c>
      <c r="E392" t="s">
        <v>29</v>
      </c>
      <c r="F392">
        <v>2010322</v>
      </c>
      <c r="G392">
        <v>2011100</v>
      </c>
      <c r="H392">
        <v>20751</v>
      </c>
      <c r="I392">
        <v>4901</v>
      </c>
      <c r="J392">
        <v>0</v>
      </c>
      <c r="K392">
        <v>808</v>
      </c>
      <c r="L392">
        <v>0</v>
      </c>
      <c r="M392">
        <v>125</v>
      </c>
      <c r="N392">
        <v>17.138950000000001</v>
      </c>
      <c r="O392">
        <v>5.7631569999999996</v>
      </c>
      <c r="P392">
        <v>13.42737</v>
      </c>
      <c r="Q392">
        <v>132334</v>
      </c>
    </row>
    <row r="393" spans="1:17" x14ac:dyDescent="0.25">
      <c r="A393" t="s">
        <v>19</v>
      </c>
      <c r="B393">
        <v>20</v>
      </c>
      <c r="C393">
        <v>1.08</v>
      </c>
      <c r="D393">
        <v>2011</v>
      </c>
      <c r="E393" t="s">
        <v>29</v>
      </c>
      <c r="F393">
        <v>2011322</v>
      </c>
      <c r="G393">
        <v>2012118</v>
      </c>
      <c r="H393">
        <v>3914</v>
      </c>
      <c r="I393">
        <v>631</v>
      </c>
      <c r="J393">
        <v>0</v>
      </c>
      <c r="K393">
        <v>281</v>
      </c>
      <c r="L393">
        <v>0</v>
      </c>
      <c r="M393">
        <v>125</v>
      </c>
      <c r="N393">
        <v>17.275919999999999</v>
      </c>
      <c r="O393">
        <v>2.165969</v>
      </c>
      <c r="P393">
        <v>15.458640000000001</v>
      </c>
      <c r="Q393">
        <v>17045</v>
      </c>
    </row>
    <row r="394" spans="1:17" x14ac:dyDescent="0.25">
      <c r="A394" t="s">
        <v>19</v>
      </c>
      <c r="B394">
        <v>20</v>
      </c>
      <c r="C394">
        <v>1.08</v>
      </c>
      <c r="D394">
        <v>2012</v>
      </c>
      <c r="E394" t="s">
        <v>29</v>
      </c>
      <c r="F394">
        <v>2012322</v>
      </c>
      <c r="G394">
        <v>2013107</v>
      </c>
      <c r="H394">
        <v>22523</v>
      </c>
      <c r="I394">
        <v>4489</v>
      </c>
      <c r="J394">
        <v>0</v>
      </c>
      <c r="K394">
        <v>697</v>
      </c>
      <c r="L394">
        <v>0</v>
      </c>
      <c r="M394">
        <v>125</v>
      </c>
      <c r="N394">
        <v>15.631769999999999</v>
      </c>
      <c r="O394">
        <v>4.3671879999999996</v>
      </c>
      <c r="P394">
        <v>13.94896</v>
      </c>
      <c r="Q394">
        <v>121203</v>
      </c>
    </row>
    <row r="395" spans="1:17" x14ac:dyDescent="0.25">
      <c r="A395" t="s">
        <v>19</v>
      </c>
      <c r="B395">
        <v>20</v>
      </c>
      <c r="C395">
        <v>1.08</v>
      </c>
      <c r="D395">
        <v>2013</v>
      </c>
      <c r="E395" t="s">
        <v>29</v>
      </c>
      <c r="F395">
        <v>2013322</v>
      </c>
      <c r="G395">
        <v>2014105</v>
      </c>
      <c r="H395">
        <v>15334</v>
      </c>
      <c r="I395">
        <v>5052</v>
      </c>
      <c r="J395">
        <v>0</v>
      </c>
      <c r="K395">
        <v>413</v>
      </c>
      <c r="L395">
        <v>0</v>
      </c>
      <c r="M395">
        <v>125</v>
      </c>
      <c r="N395">
        <v>17.298929999999999</v>
      </c>
      <c r="O395">
        <v>4.4043010000000002</v>
      </c>
      <c r="P395">
        <v>14.78065</v>
      </c>
      <c r="Q395">
        <v>136409</v>
      </c>
    </row>
    <row r="396" spans="1:17" x14ac:dyDescent="0.25">
      <c r="A396" t="s">
        <v>19</v>
      </c>
      <c r="B396">
        <v>20</v>
      </c>
      <c r="C396">
        <v>1.08</v>
      </c>
      <c r="D396">
        <v>2014</v>
      </c>
      <c r="E396" t="s">
        <v>29</v>
      </c>
      <c r="F396">
        <v>2014322</v>
      </c>
      <c r="G396">
        <v>2015111</v>
      </c>
      <c r="H396">
        <v>11473</v>
      </c>
      <c r="I396">
        <v>4209</v>
      </c>
      <c r="J396">
        <v>0</v>
      </c>
      <c r="K396">
        <v>453</v>
      </c>
      <c r="L396">
        <v>0</v>
      </c>
      <c r="M396">
        <v>125</v>
      </c>
      <c r="N396">
        <v>17.763539999999999</v>
      </c>
      <c r="O396">
        <v>3.6463540000000001</v>
      </c>
      <c r="P396">
        <v>15.252599999999999</v>
      </c>
      <c r="Q396">
        <v>113645</v>
      </c>
    </row>
    <row r="397" spans="1:17" x14ac:dyDescent="0.25">
      <c r="A397" t="s">
        <v>19</v>
      </c>
      <c r="B397">
        <v>20</v>
      </c>
      <c r="C397">
        <v>1.08</v>
      </c>
      <c r="D397">
        <v>2015</v>
      </c>
      <c r="E397" t="s">
        <v>29</v>
      </c>
      <c r="F397">
        <v>2015322</v>
      </c>
      <c r="G397">
        <v>2016101</v>
      </c>
      <c r="H397">
        <v>11546</v>
      </c>
      <c r="I397">
        <v>2282</v>
      </c>
      <c r="J397">
        <v>0</v>
      </c>
      <c r="K397">
        <v>360</v>
      </c>
      <c r="L397">
        <v>0</v>
      </c>
      <c r="M397">
        <v>125</v>
      </c>
      <c r="N397">
        <v>16.83822</v>
      </c>
      <c r="O397">
        <v>4.2811519999999996</v>
      </c>
      <c r="P397">
        <v>13.384819999999999</v>
      </c>
      <c r="Q397">
        <v>61614</v>
      </c>
    </row>
    <row r="398" spans="1:17" x14ac:dyDescent="0.25">
      <c r="A398" t="s">
        <v>19</v>
      </c>
      <c r="B398">
        <v>20</v>
      </c>
      <c r="C398">
        <v>1.08</v>
      </c>
      <c r="D398">
        <v>2016</v>
      </c>
      <c r="E398" t="s">
        <v>29</v>
      </c>
      <c r="F398">
        <v>2016322</v>
      </c>
      <c r="G398">
        <v>2017100</v>
      </c>
      <c r="H398">
        <v>13391</v>
      </c>
      <c r="I398">
        <v>4051</v>
      </c>
      <c r="J398">
        <v>0</v>
      </c>
      <c r="K398">
        <v>380</v>
      </c>
      <c r="L398">
        <v>0</v>
      </c>
      <c r="M398">
        <v>125</v>
      </c>
      <c r="N398">
        <v>18.205729999999999</v>
      </c>
      <c r="O398">
        <v>4.5062499999999996</v>
      </c>
      <c r="P398">
        <v>14.470829999999999</v>
      </c>
      <c r="Q398">
        <v>109389</v>
      </c>
    </row>
    <row r="399" spans="1:17" x14ac:dyDescent="0.25">
      <c r="A399" t="s">
        <v>19</v>
      </c>
      <c r="B399">
        <v>20</v>
      </c>
      <c r="C399">
        <v>1.08</v>
      </c>
      <c r="D399">
        <v>2017</v>
      </c>
      <c r="E399" t="s">
        <v>29</v>
      </c>
      <c r="F399">
        <v>2017322</v>
      </c>
      <c r="G399">
        <v>2018111</v>
      </c>
      <c r="H399">
        <v>17197</v>
      </c>
      <c r="I399">
        <v>3436</v>
      </c>
      <c r="J399">
        <v>0</v>
      </c>
      <c r="K399">
        <v>496</v>
      </c>
      <c r="L399">
        <v>0</v>
      </c>
      <c r="M399">
        <v>125</v>
      </c>
      <c r="N399">
        <v>16.071000000000002</v>
      </c>
      <c r="O399">
        <v>4.2769219999999999</v>
      </c>
      <c r="P399">
        <v>14.79823</v>
      </c>
      <c r="Q399">
        <v>92769</v>
      </c>
    </row>
    <row r="400" spans="1:17" x14ac:dyDescent="0.25">
      <c r="A400" t="s">
        <v>19</v>
      </c>
      <c r="B400">
        <v>20</v>
      </c>
      <c r="C400">
        <v>1.08</v>
      </c>
      <c r="D400">
        <v>2018</v>
      </c>
      <c r="E400" t="s">
        <v>29</v>
      </c>
      <c r="F400">
        <v>2018322</v>
      </c>
      <c r="G400">
        <v>2019104</v>
      </c>
      <c r="H400">
        <v>7032</v>
      </c>
      <c r="I400">
        <v>1994</v>
      </c>
      <c r="J400">
        <v>0</v>
      </c>
      <c r="K400">
        <v>308</v>
      </c>
      <c r="L400">
        <v>0</v>
      </c>
      <c r="M400">
        <v>125</v>
      </c>
      <c r="N400">
        <v>18.854980000000001</v>
      </c>
      <c r="O400">
        <v>3.017277</v>
      </c>
      <c r="P400">
        <v>16.041879999999999</v>
      </c>
      <c r="Q400">
        <v>53850</v>
      </c>
    </row>
    <row r="401" spans="1:17" x14ac:dyDescent="0.25">
      <c r="A401" t="s">
        <v>19</v>
      </c>
      <c r="B401">
        <v>20</v>
      </c>
      <c r="C401">
        <v>1.08</v>
      </c>
      <c r="D401">
        <v>2019</v>
      </c>
      <c r="E401" t="s">
        <v>29</v>
      </c>
      <c r="F401">
        <v>2019322</v>
      </c>
      <c r="G401">
        <v>2020091</v>
      </c>
      <c r="H401">
        <v>11810</v>
      </c>
      <c r="I401">
        <v>2502</v>
      </c>
      <c r="J401">
        <v>0</v>
      </c>
      <c r="K401">
        <v>348</v>
      </c>
      <c r="L401">
        <v>0</v>
      </c>
      <c r="M401">
        <v>125</v>
      </c>
      <c r="N401">
        <v>18.324729999999999</v>
      </c>
      <c r="O401">
        <v>5.5836819999999996</v>
      </c>
      <c r="P401">
        <v>13.979480000000001</v>
      </c>
      <c r="Q401">
        <v>67542</v>
      </c>
    </row>
    <row r="402" spans="1:17" x14ac:dyDescent="0.25">
      <c r="A402" t="s">
        <v>19</v>
      </c>
      <c r="B402">
        <v>21</v>
      </c>
      <c r="C402">
        <v>1.0900000000000001</v>
      </c>
      <c r="D402">
        <v>2000</v>
      </c>
      <c r="E402" t="s">
        <v>28</v>
      </c>
      <c r="F402">
        <v>2000322</v>
      </c>
      <c r="G402">
        <v>2001095</v>
      </c>
      <c r="H402">
        <v>22658</v>
      </c>
      <c r="I402">
        <v>3955</v>
      </c>
      <c r="J402">
        <v>50</v>
      </c>
      <c r="K402">
        <v>671</v>
      </c>
      <c r="L402">
        <v>0</v>
      </c>
      <c r="M402">
        <v>125</v>
      </c>
      <c r="N402">
        <v>17.114730000000002</v>
      </c>
      <c r="O402">
        <v>5.4568409999999998</v>
      </c>
      <c r="P402">
        <v>15.01947</v>
      </c>
      <c r="Q402">
        <v>114696</v>
      </c>
    </row>
    <row r="403" spans="1:17" x14ac:dyDescent="0.25">
      <c r="A403" t="s">
        <v>19</v>
      </c>
      <c r="B403">
        <v>21</v>
      </c>
      <c r="C403">
        <v>1.0900000000000001</v>
      </c>
      <c r="D403">
        <v>2001</v>
      </c>
      <c r="E403" t="s">
        <v>28</v>
      </c>
      <c r="F403">
        <v>2001322</v>
      </c>
      <c r="G403">
        <v>2002103</v>
      </c>
      <c r="H403">
        <v>17352</v>
      </c>
      <c r="I403">
        <v>3592</v>
      </c>
      <c r="J403">
        <v>50</v>
      </c>
      <c r="K403">
        <v>506</v>
      </c>
      <c r="L403">
        <v>0</v>
      </c>
      <c r="M403">
        <v>125</v>
      </c>
      <c r="N403">
        <v>17.22804</v>
      </c>
      <c r="O403">
        <v>4.104762</v>
      </c>
      <c r="P403">
        <v>15.895770000000001</v>
      </c>
      <c r="Q403">
        <v>104176</v>
      </c>
    </row>
    <row r="404" spans="1:17" x14ac:dyDescent="0.25">
      <c r="A404" t="s">
        <v>19</v>
      </c>
      <c r="B404">
        <v>21</v>
      </c>
      <c r="C404">
        <v>1.0900000000000001</v>
      </c>
      <c r="D404">
        <v>2002</v>
      </c>
      <c r="E404" t="s">
        <v>28</v>
      </c>
      <c r="F404">
        <v>2002322</v>
      </c>
      <c r="G404">
        <v>2003101</v>
      </c>
      <c r="H404">
        <v>18780</v>
      </c>
      <c r="I404">
        <v>4974</v>
      </c>
      <c r="J404">
        <v>50</v>
      </c>
      <c r="K404">
        <v>446</v>
      </c>
      <c r="L404">
        <v>0</v>
      </c>
      <c r="M404">
        <v>125</v>
      </c>
      <c r="N404">
        <v>16.870529999999999</v>
      </c>
      <c r="O404">
        <v>5.274737</v>
      </c>
      <c r="P404">
        <v>15.50789</v>
      </c>
      <c r="Q404">
        <v>144255</v>
      </c>
    </row>
    <row r="405" spans="1:17" x14ac:dyDescent="0.25">
      <c r="A405" t="s">
        <v>19</v>
      </c>
      <c r="B405">
        <v>21</v>
      </c>
      <c r="C405">
        <v>1.0900000000000001</v>
      </c>
      <c r="D405">
        <v>2003</v>
      </c>
      <c r="E405" t="s">
        <v>28</v>
      </c>
      <c r="F405">
        <v>2003322</v>
      </c>
      <c r="G405">
        <v>2004100</v>
      </c>
      <c r="H405">
        <v>26969</v>
      </c>
      <c r="I405">
        <v>3998</v>
      </c>
      <c r="J405">
        <v>50</v>
      </c>
      <c r="K405">
        <v>795</v>
      </c>
      <c r="L405">
        <v>0</v>
      </c>
      <c r="M405">
        <v>125</v>
      </c>
      <c r="N405">
        <v>15.78848</v>
      </c>
      <c r="O405">
        <v>4.7544519999999997</v>
      </c>
      <c r="P405">
        <v>14.62618</v>
      </c>
      <c r="Q405">
        <v>115956</v>
      </c>
    </row>
    <row r="406" spans="1:17" x14ac:dyDescent="0.25">
      <c r="A406" t="s">
        <v>19</v>
      </c>
      <c r="B406">
        <v>21</v>
      </c>
      <c r="C406">
        <v>1.0900000000000001</v>
      </c>
      <c r="D406">
        <v>2004</v>
      </c>
      <c r="E406" t="s">
        <v>28</v>
      </c>
      <c r="F406">
        <v>2004322</v>
      </c>
      <c r="G406">
        <v>2005114</v>
      </c>
      <c r="H406">
        <v>9376</v>
      </c>
      <c r="I406">
        <v>2431</v>
      </c>
      <c r="J406">
        <v>50</v>
      </c>
      <c r="K406">
        <v>306</v>
      </c>
      <c r="L406">
        <v>0</v>
      </c>
      <c r="M406">
        <v>125</v>
      </c>
      <c r="N406">
        <v>17.371200000000002</v>
      </c>
      <c r="O406">
        <v>3.1356030000000001</v>
      </c>
      <c r="P406">
        <v>16.804189999999998</v>
      </c>
      <c r="Q406">
        <v>70494</v>
      </c>
    </row>
    <row r="407" spans="1:17" x14ac:dyDescent="0.25">
      <c r="A407" t="s">
        <v>19</v>
      </c>
      <c r="B407">
        <v>21</v>
      </c>
      <c r="C407">
        <v>1.0900000000000001</v>
      </c>
      <c r="D407">
        <v>2005</v>
      </c>
      <c r="E407" t="s">
        <v>28</v>
      </c>
      <c r="F407">
        <v>2005322</v>
      </c>
      <c r="G407">
        <v>2006103</v>
      </c>
      <c r="H407">
        <v>11107</v>
      </c>
      <c r="I407">
        <v>2458</v>
      </c>
      <c r="J407">
        <v>50</v>
      </c>
      <c r="K407">
        <v>297</v>
      </c>
      <c r="L407">
        <v>0</v>
      </c>
      <c r="M407">
        <v>125</v>
      </c>
      <c r="N407">
        <v>17.483149999999998</v>
      </c>
      <c r="O407">
        <v>4.7865169999999999</v>
      </c>
      <c r="P407">
        <v>15.77359</v>
      </c>
      <c r="Q407">
        <v>71283</v>
      </c>
    </row>
    <row r="408" spans="1:17" x14ac:dyDescent="0.25">
      <c r="A408" t="s">
        <v>19</v>
      </c>
      <c r="B408">
        <v>21</v>
      </c>
      <c r="C408">
        <v>1.0900000000000001</v>
      </c>
      <c r="D408">
        <v>2006</v>
      </c>
      <c r="E408" t="s">
        <v>28</v>
      </c>
      <c r="F408">
        <v>2006322</v>
      </c>
      <c r="G408">
        <v>2007107</v>
      </c>
      <c r="H408">
        <v>23218</v>
      </c>
      <c r="I408">
        <v>4119</v>
      </c>
      <c r="J408">
        <v>50</v>
      </c>
      <c r="K408">
        <v>598</v>
      </c>
      <c r="L408">
        <v>0</v>
      </c>
      <c r="M408">
        <v>125</v>
      </c>
      <c r="N408">
        <v>16.034030000000001</v>
      </c>
      <c r="O408">
        <v>4.5439790000000002</v>
      </c>
      <c r="P408">
        <v>13.87696</v>
      </c>
      <c r="Q408">
        <v>119451</v>
      </c>
    </row>
    <row r="409" spans="1:17" x14ac:dyDescent="0.25">
      <c r="A409" t="s">
        <v>19</v>
      </c>
      <c r="B409">
        <v>21</v>
      </c>
      <c r="C409">
        <v>1.0900000000000001</v>
      </c>
      <c r="D409">
        <v>2007</v>
      </c>
      <c r="E409" t="s">
        <v>28</v>
      </c>
      <c r="F409">
        <v>2007322</v>
      </c>
      <c r="G409">
        <v>2008099</v>
      </c>
      <c r="H409">
        <v>19049</v>
      </c>
      <c r="I409">
        <v>2458</v>
      </c>
      <c r="J409">
        <v>50</v>
      </c>
      <c r="K409">
        <v>489</v>
      </c>
      <c r="L409">
        <v>0</v>
      </c>
      <c r="M409">
        <v>125</v>
      </c>
      <c r="N409">
        <v>17.014209999999999</v>
      </c>
      <c r="O409">
        <v>4.2852639999999997</v>
      </c>
      <c r="P409">
        <v>14.333159999999999</v>
      </c>
      <c r="Q409">
        <v>71272</v>
      </c>
    </row>
    <row r="410" spans="1:17" x14ac:dyDescent="0.25">
      <c r="A410" t="s">
        <v>19</v>
      </c>
      <c r="B410">
        <v>21</v>
      </c>
      <c r="C410">
        <v>1.0900000000000001</v>
      </c>
      <c r="D410">
        <v>2008</v>
      </c>
      <c r="E410" t="s">
        <v>28</v>
      </c>
      <c r="F410">
        <v>2008322</v>
      </c>
      <c r="G410">
        <v>2009111</v>
      </c>
      <c r="H410">
        <v>16284</v>
      </c>
      <c r="I410">
        <v>4494</v>
      </c>
      <c r="J410">
        <v>50</v>
      </c>
      <c r="K410">
        <v>442</v>
      </c>
      <c r="L410">
        <v>0</v>
      </c>
      <c r="M410">
        <v>125</v>
      </c>
      <c r="N410">
        <v>16.69162</v>
      </c>
      <c r="O410">
        <v>3.613089</v>
      </c>
      <c r="P410">
        <v>14.836130000000001</v>
      </c>
      <c r="Q410">
        <v>130320</v>
      </c>
    </row>
    <row r="411" spans="1:17" x14ac:dyDescent="0.25">
      <c r="A411" t="s">
        <v>19</v>
      </c>
      <c r="B411">
        <v>21</v>
      </c>
      <c r="C411">
        <v>1.0900000000000001</v>
      </c>
      <c r="D411">
        <v>2009</v>
      </c>
      <c r="E411" t="s">
        <v>28</v>
      </c>
      <c r="F411">
        <v>2009322</v>
      </c>
      <c r="G411">
        <v>2010103</v>
      </c>
      <c r="H411">
        <v>21507</v>
      </c>
      <c r="I411">
        <v>3703</v>
      </c>
      <c r="J411">
        <v>50</v>
      </c>
      <c r="K411">
        <v>797</v>
      </c>
      <c r="L411">
        <v>0</v>
      </c>
      <c r="M411">
        <v>125</v>
      </c>
      <c r="N411">
        <v>15.92328</v>
      </c>
      <c r="O411">
        <v>5.6888889999999996</v>
      </c>
      <c r="P411">
        <v>13.870900000000001</v>
      </c>
      <c r="Q411">
        <v>107396</v>
      </c>
    </row>
    <row r="412" spans="1:17" x14ac:dyDescent="0.25">
      <c r="A412" t="s">
        <v>19</v>
      </c>
      <c r="B412">
        <v>21</v>
      </c>
      <c r="C412">
        <v>1.0900000000000001</v>
      </c>
      <c r="D412">
        <v>2010</v>
      </c>
      <c r="E412" t="s">
        <v>29</v>
      </c>
      <c r="F412">
        <v>2010322</v>
      </c>
      <c r="G412">
        <v>2011100</v>
      </c>
      <c r="H412">
        <v>21465</v>
      </c>
      <c r="I412">
        <v>4896</v>
      </c>
      <c r="J412">
        <v>50</v>
      </c>
      <c r="K412">
        <v>808</v>
      </c>
      <c r="L412">
        <v>0</v>
      </c>
      <c r="M412">
        <v>125</v>
      </c>
      <c r="N412">
        <v>17.138950000000001</v>
      </c>
      <c r="O412">
        <v>5.7631569999999996</v>
      </c>
      <c r="P412">
        <v>13.42737</v>
      </c>
      <c r="Q412">
        <v>141974</v>
      </c>
    </row>
    <row r="413" spans="1:17" x14ac:dyDescent="0.25">
      <c r="A413" t="s">
        <v>19</v>
      </c>
      <c r="B413">
        <v>21</v>
      </c>
      <c r="C413">
        <v>1.0900000000000001</v>
      </c>
      <c r="D413">
        <v>2011</v>
      </c>
      <c r="E413" t="s">
        <v>29</v>
      </c>
      <c r="F413">
        <v>2011322</v>
      </c>
      <c r="G413">
        <v>2012118</v>
      </c>
      <c r="H413">
        <v>8117</v>
      </c>
      <c r="I413">
        <v>1705</v>
      </c>
      <c r="J413">
        <v>50</v>
      </c>
      <c r="K413">
        <v>281</v>
      </c>
      <c r="L413">
        <v>0</v>
      </c>
      <c r="M413">
        <v>125</v>
      </c>
      <c r="N413">
        <v>17.275919999999999</v>
      </c>
      <c r="O413">
        <v>2.165969</v>
      </c>
      <c r="P413">
        <v>15.458640000000001</v>
      </c>
      <c r="Q413">
        <v>49434</v>
      </c>
    </row>
    <row r="414" spans="1:17" x14ac:dyDescent="0.25">
      <c r="A414" t="s">
        <v>19</v>
      </c>
      <c r="B414">
        <v>21</v>
      </c>
      <c r="C414">
        <v>1.0900000000000001</v>
      </c>
      <c r="D414">
        <v>2012</v>
      </c>
      <c r="E414" t="s">
        <v>29</v>
      </c>
      <c r="F414">
        <v>2012322</v>
      </c>
      <c r="G414">
        <v>2013107</v>
      </c>
      <c r="H414">
        <v>22566</v>
      </c>
      <c r="I414">
        <v>4489</v>
      </c>
      <c r="J414">
        <v>50</v>
      </c>
      <c r="K414">
        <v>697</v>
      </c>
      <c r="L414">
        <v>0</v>
      </c>
      <c r="M414">
        <v>125</v>
      </c>
      <c r="N414">
        <v>15.631769999999999</v>
      </c>
      <c r="O414">
        <v>4.3671879999999996</v>
      </c>
      <c r="P414">
        <v>13.94896</v>
      </c>
      <c r="Q414">
        <v>130181</v>
      </c>
    </row>
    <row r="415" spans="1:17" x14ac:dyDescent="0.25">
      <c r="A415" t="s">
        <v>19</v>
      </c>
      <c r="B415">
        <v>21</v>
      </c>
      <c r="C415">
        <v>1.0900000000000001</v>
      </c>
      <c r="D415">
        <v>2013</v>
      </c>
      <c r="E415" t="s">
        <v>29</v>
      </c>
      <c r="F415">
        <v>2013322</v>
      </c>
      <c r="G415">
        <v>2014105</v>
      </c>
      <c r="H415">
        <v>18314</v>
      </c>
      <c r="I415">
        <v>5233</v>
      </c>
      <c r="J415">
        <v>50</v>
      </c>
      <c r="K415">
        <v>413</v>
      </c>
      <c r="L415">
        <v>0</v>
      </c>
      <c r="M415">
        <v>125</v>
      </c>
      <c r="N415">
        <v>17.298929999999999</v>
      </c>
      <c r="O415">
        <v>4.4043010000000002</v>
      </c>
      <c r="P415">
        <v>14.78065</v>
      </c>
      <c r="Q415">
        <v>151744</v>
      </c>
    </row>
    <row r="416" spans="1:17" x14ac:dyDescent="0.25">
      <c r="A416" t="s">
        <v>19</v>
      </c>
      <c r="B416">
        <v>21</v>
      </c>
      <c r="C416">
        <v>1.0900000000000001</v>
      </c>
      <c r="D416">
        <v>2014</v>
      </c>
      <c r="E416" t="s">
        <v>29</v>
      </c>
      <c r="F416">
        <v>2014322</v>
      </c>
      <c r="G416">
        <v>2015111</v>
      </c>
      <c r="H416">
        <v>14250</v>
      </c>
      <c r="I416">
        <v>5537</v>
      </c>
      <c r="J416">
        <v>50</v>
      </c>
      <c r="K416">
        <v>453</v>
      </c>
      <c r="L416">
        <v>0</v>
      </c>
      <c r="M416">
        <v>125</v>
      </c>
      <c r="N416">
        <v>17.763539999999999</v>
      </c>
      <c r="O416">
        <v>3.6463540000000001</v>
      </c>
      <c r="P416">
        <v>15.252599999999999</v>
      </c>
      <c r="Q416">
        <v>160577</v>
      </c>
    </row>
    <row r="417" spans="1:17" x14ac:dyDescent="0.25">
      <c r="A417" t="s">
        <v>19</v>
      </c>
      <c r="B417">
        <v>21</v>
      </c>
      <c r="C417">
        <v>1.0900000000000001</v>
      </c>
      <c r="D417">
        <v>2015</v>
      </c>
      <c r="E417" t="s">
        <v>29</v>
      </c>
      <c r="F417">
        <v>2015322</v>
      </c>
      <c r="G417">
        <v>2016101</v>
      </c>
      <c r="H417">
        <v>14610</v>
      </c>
      <c r="I417">
        <v>2635</v>
      </c>
      <c r="J417">
        <v>50</v>
      </c>
      <c r="K417">
        <v>360</v>
      </c>
      <c r="L417">
        <v>0</v>
      </c>
      <c r="M417">
        <v>125</v>
      </c>
      <c r="N417">
        <v>16.83822</v>
      </c>
      <c r="O417">
        <v>4.2811519999999996</v>
      </c>
      <c r="P417">
        <v>13.384819999999999</v>
      </c>
      <c r="Q417">
        <v>76403</v>
      </c>
    </row>
    <row r="418" spans="1:17" x14ac:dyDescent="0.25">
      <c r="A418" t="s">
        <v>19</v>
      </c>
      <c r="B418">
        <v>21</v>
      </c>
      <c r="C418">
        <v>1.0900000000000001</v>
      </c>
      <c r="D418">
        <v>2016</v>
      </c>
      <c r="E418" t="s">
        <v>29</v>
      </c>
      <c r="F418">
        <v>2016322</v>
      </c>
      <c r="G418">
        <v>2017100</v>
      </c>
      <c r="H418">
        <v>16781</v>
      </c>
      <c r="I418">
        <v>5586</v>
      </c>
      <c r="J418">
        <v>50</v>
      </c>
      <c r="K418">
        <v>380</v>
      </c>
      <c r="L418">
        <v>0</v>
      </c>
      <c r="M418">
        <v>125</v>
      </c>
      <c r="N418">
        <v>18.205729999999999</v>
      </c>
      <c r="O418">
        <v>4.5062499999999996</v>
      </c>
      <c r="P418">
        <v>14.470829999999999</v>
      </c>
      <c r="Q418">
        <v>162006</v>
      </c>
    </row>
    <row r="419" spans="1:17" x14ac:dyDescent="0.25">
      <c r="A419" t="s">
        <v>19</v>
      </c>
      <c r="B419">
        <v>21</v>
      </c>
      <c r="C419">
        <v>1.0900000000000001</v>
      </c>
      <c r="D419">
        <v>2017</v>
      </c>
      <c r="E419" t="s">
        <v>29</v>
      </c>
      <c r="F419">
        <v>2017322</v>
      </c>
      <c r="G419">
        <v>2018111</v>
      </c>
      <c r="H419">
        <v>18673</v>
      </c>
      <c r="I419">
        <v>3435</v>
      </c>
      <c r="J419">
        <v>50</v>
      </c>
      <c r="K419">
        <v>496</v>
      </c>
      <c r="L419">
        <v>0</v>
      </c>
      <c r="M419">
        <v>125</v>
      </c>
      <c r="N419">
        <v>16.071000000000002</v>
      </c>
      <c r="O419">
        <v>4.2769219999999999</v>
      </c>
      <c r="P419">
        <v>14.79823</v>
      </c>
      <c r="Q419">
        <v>99603</v>
      </c>
    </row>
    <row r="420" spans="1:17" x14ac:dyDescent="0.25">
      <c r="A420" t="s">
        <v>19</v>
      </c>
      <c r="B420">
        <v>21</v>
      </c>
      <c r="C420">
        <v>1.0900000000000001</v>
      </c>
      <c r="D420">
        <v>2018</v>
      </c>
      <c r="E420" t="s">
        <v>29</v>
      </c>
      <c r="F420">
        <v>2018322</v>
      </c>
      <c r="G420">
        <v>2019104</v>
      </c>
      <c r="H420">
        <v>10138</v>
      </c>
      <c r="I420">
        <v>2830</v>
      </c>
      <c r="J420">
        <v>50</v>
      </c>
      <c r="K420">
        <v>308</v>
      </c>
      <c r="L420">
        <v>0</v>
      </c>
      <c r="M420">
        <v>125</v>
      </c>
      <c r="N420">
        <v>18.854980000000001</v>
      </c>
      <c r="O420">
        <v>3.017277</v>
      </c>
      <c r="P420">
        <v>16.041879999999999</v>
      </c>
      <c r="Q420">
        <v>82069</v>
      </c>
    </row>
    <row r="421" spans="1:17" x14ac:dyDescent="0.25">
      <c r="A421" t="s">
        <v>19</v>
      </c>
      <c r="B421">
        <v>21</v>
      </c>
      <c r="C421">
        <v>1.0900000000000001</v>
      </c>
      <c r="D421">
        <v>2019</v>
      </c>
      <c r="E421" t="s">
        <v>29</v>
      </c>
      <c r="F421">
        <v>2019322</v>
      </c>
      <c r="G421">
        <v>2020091</v>
      </c>
      <c r="H421">
        <v>14815</v>
      </c>
      <c r="I421">
        <v>2602</v>
      </c>
      <c r="J421">
        <v>50</v>
      </c>
      <c r="K421">
        <v>348</v>
      </c>
      <c r="L421">
        <v>0</v>
      </c>
      <c r="M421">
        <v>125</v>
      </c>
      <c r="N421">
        <v>18.324729999999999</v>
      </c>
      <c r="O421">
        <v>5.5836819999999996</v>
      </c>
      <c r="P421">
        <v>13.979480000000001</v>
      </c>
      <c r="Q421">
        <v>75459</v>
      </c>
    </row>
    <row r="422" spans="1:17" x14ac:dyDescent="0.25">
      <c r="A422" t="s">
        <v>19</v>
      </c>
      <c r="B422">
        <v>22</v>
      </c>
      <c r="C422">
        <v>0.96</v>
      </c>
      <c r="D422">
        <v>2000</v>
      </c>
      <c r="E422" t="s">
        <v>28</v>
      </c>
      <c r="F422">
        <v>2000308</v>
      </c>
      <c r="G422">
        <v>2001087</v>
      </c>
      <c r="H422">
        <v>17870</v>
      </c>
      <c r="I422">
        <v>3568</v>
      </c>
      <c r="J422">
        <v>0</v>
      </c>
      <c r="K422">
        <v>671</v>
      </c>
      <c r="L422">
        <v>0</v>
      </c>
      <c r="M422">
        <v>75</v>
      </c>
      <c r="N422">
        <v>16.75507</v>
      </c>
      <c r="O422">
        <v>5.1705300000000003</v>
      </c>
      <c r="P422">
        <v>14.69469</v>
      </c>
      <c r="Q422">
        <v>107049</v>
      </c>
    </row>
    <row r="423" spans="1:17" x14ac:dyDescent="0.25">
      <c r="A423" t="s">
        <v>19</v>
      </c>
      <c r="B423">
        <v>22</v>
      </c>
      <c r="C423">
        <v>0.96</v>
      </c>
      <c r="D423">
        <v>2001</v>
      </c>
      <c r="E423" t="s">
        <v>28</v>
      </c>
      <c r="F423">
        <v>2001308</v>
      </c>
      <c r="G423">
        <v>2002092</v>
      </c>
      <c r="H423">
        <v>15433</v>
      </c>
      <c r="I423">
        <v>3648</v>
      </c>
      <c r="J423">
        <v>0</v>
      </c>
      <c r="K423">
        <v>506</v>
      </c>
      <c r="L423">
        <v>0</v>
      </c>
      <c r="M423">
        <v>75</v>
      </c>
      <c r="N423">
        <v>16.857279999999999</v>
      </c>
      <c r="O423">
        <v>3.9286409999999998</v>
      </c>
      <c r="P423">
        <v>15.49709</v>
      </c>
      <c r="Q423">
        <v>109434</v>
      </c>
    </row>
    <row r="424" spans="1:17" x14ac:dyDescent="0.25">
      <c r="A424" t="s">
        <v>19</v>
      </c>
      <c r="B424">
        <v>22</v>
      </c>
      <c r="C424">
        <v>0.96</v>
      </c>
      <c r="D424">
        <v>2002</v>
      </c>
      <c r="E424" t="s">
        <v>28</v>
      </c>
      <c r="F424">
        <v>2002308</v>
      </c>
      <c r="G424">
        <v>2003090</v>
      </c>
      <c r="H424">
        <v>14963</v>
      </c>
      <c r="I424">
        <v>3661</v>
      </c>
      <c r="J424">
        <v>0</v>
      </c>
      <c r="K424">
        <v>446</v>
      </c>
      <c r="L424">
        <v>0</v>
      </c>
      <c r="M424">
        <v>75</v>
      </c>
      <c r="N424">
        <v>16.69952</v>
      </c>
      <c r="O424">
        <v>5.2640779999999996</v>
      </c>
      <c r="P424">
        <v>14.857279999999999</v>
      </c>
      <c r="Q424">
        <v>109842</v>
      </c>
    </row>
    <row r="425" spans="1:17" x14ac:dyDescent="0.25">
      <c r="A425" t="s">
        <v>19</v>
      </c>
      <c r="B425">
        <v>22</v>
      </c>
      <c r="C425">
        <v>0.96</v>
      </c>
      <c r="D425">
        <v>2003</v>
      </c>
      <c r="E425" t="s">
        <v>28</v>
      </c>
      <c r="F425">
        <v>2003308</v>
      </c>
      <c r="G425">
        <v>2004089</v>
      </c>
      <c r="H425">
        <v>25455</v>
      </c>
      <c r="I425">
        <v>4003</v>
      </c>
      <c r="J425">
        <v>0</v>
      </c>
      <c r="K425">
        <v>795</v>
      </c>
      <c r="L425">
        <v>0</v>
      </c>
      <c r="M425">
        <v>75</v>
      </c>
      <c r="N425">
        <v>15.827669999999999</v>
      </c>
      <c r="O425">
        <v>5.0300979999999997</v>
      </c>
      <c r="P425">
        <v>14.209709999999999</v>
      </c>
      <c r="Q425">
        <v>120104</v>
      </c>
    </row>
    <row r="426" spans="1:17" x14ac:dyDescent="0.25">
      <c r="A426" t="s">
        <v>19</v>
      </c>
      <c r="B426">
        <v>22</v>
      </c>
      <c r="C426">
        <v>0.96</v>
      </c>
      <c r="D426">
        <v>2004</v>
      </c>
      <c r="E426" t="s">
        <v>28</v>
      </c>
      <c r="F426">
        <v>2004308</v>
      </c>
      <c r="G426">
        <v>2005105</v>
      </c>
      <c r="H426">
        <v>4580</v>
      </c>
      <c r="I426">
        <v>1321</v>
      </c>
      <c r="J426">
        <v>0</v>
      </c>
      <c r="K426">
        <v>306</v>
      </c>
      <c r="L426">
        <v>0</v>
      </c>
      <c r="M426">
        <v>75</v>
      </c>
      <c r="N426">
        <v>17.314969999999999</v>
      </c>
      <c r="O426">
        <v>3.042996</v>
      </c>
      <c r="P426">
        <v>16.481649999999998</v>
      </c>
      <c r="Q426">
        <v>39619</v>
      </c>
    </row>
    <row r="427" spans="1:17" x14ac:dyDescent="0.25">
      <c r="A427" t="s">
        <v>19</v>
      </c>
      <c r="B427">
        <v>22</v>
      </c>
      <c r="C427">
        <v>0.96</v>
      </c>
      <c r="D427">
        <v>2005</v>
      </c>
      <c r="E427" t="s">
        <v>28</v>
      </c>
      <c r="F427">
        <v>2005308</v>
      </c>
      <c r="G427">
        <v>2006096</v>
      </c>
      <c r="H427">
        <v>7573</v>
      </c>
      <c r="I427">
        <v>1806</v>
      </c>
      <c r="J427">
        <v>0</v>
      </c>
      <c r="K427">
        <v>297</v>
      </c>
      <c r="L427">
        <v>0</v>
      </c>
      <c r="M427">
        <v>75</v>
      </c>
      <c r="N427">
        <v>17.172450000000001</v>
      </c>
      <c r="O427">
        <v>4.725511</v>
      </c>
      <c r="P427">
        <v>15.102040000000001</v>
      </c>
      <c r="Q427">
        <v>54193</v>
      </c>
    </row>
    <row r="428" spans="1:17" x14ac:dyDescent="0.25">
      <c r="A428" t="s">
        <v>19</v>
      </c>
      <c r="B428">
        <v>22</v>
      </c>
      <c r="C428">
        <v>0.96</v>
      </c>
      <c r="D428">
        <v>2006</v>
      </c>
      <c r="E428" t="s">
        <v>28</v>
      </c>
      <c r="F428">
        <v>2006308</v>
      </c>
      <c r="G428">
        <v>2007095</v>
      </c>
      <c r="H428">
        <v>21001</v>
      </c>
      <c r="I428">
        <v>4657</v>
      </c>
      <c r="J428">
        <v>0</v>
      </c>
      <c r="K428">
        <v>598</v>
      </c>
      <c r="L428">
        <v>0</v>
      </c>
      <c r="M428">
        <v>75</v>
      </c>
      <c r="N428">
        <v>16.155339999999999</v>
      </c>
      <c r="O428">
        <v>4.7038840000000004</v>
      </c>
      <c r="P428">
        <v>13.556789999999999</v>
      </c>
      <c r="Q428">
        <v>139717</v>
      </c>
    </row>
    <row r="429" spans="1:17" x14ac:dyDescent="0.25">
      <c r="A429" t="s">
        <v>19</v>
      </c>
      <c r="B429">
        <v>22</v>
      </c>
      <c r="C429">
        <v>0.96</v>
      </c>
      <c r="D429">
        <v>2007</v>
      </c>
      <c r="E429" t="s">
        <v>28</v>
      </c>
      <c r="F429">
        <v>2007308</v>
      </c>
      <c r="G429">
        <v>2008089</v>
      </c>
      <c r="H429">
        <v>13150</v>
      </c>
      <c r="I429">
        <v>1917</v>
      </c>
      <c r="J429">
        <v>0</v>
      </c>
      <c r="K429">
        <v>489</v>
      </c>
      <c r="L429">
        <v>0</v>
      </c>
      <c r="M429">
        <v>75</v>
      </c>
      <c r="N429">
        <v>17.072199999999999</v>
      </c>
      <c r="O429">
        <v>4.088781</v>
      </c>
      <c r="P429">
        <v>14.018050000000001</v>
      </c>
      <c r="Q429">
        <v>57506</v>
      </c>
    </row>
    <row r="430" spans="1:17" x14ac:dyDescent="0.25">
      <c r="A430" t="s">
        <v>19</v>
      </c>
      <c r="B430">
        <v>22</v>
      </c>
      <c r="C430">
        <v>0.96</v>
      </c>
      <c r="D430">
        <v>2008</v>
      </c>
      <c r="E430" t="s">
        <v>28</v>
      </c>
      <c r="F430">
        <v>2008308</v>
      </c>
      <c r="G430">
        <v>2009100</v>
      </c>
      <c r="H430">
        <v>13761</v>
      </c>
      <c r="I430">
        <v>3685</v>
      </c>
      <c r="J430">
        <v>0</v>
      </c>
      <c r="K430">
        <v>442</v>
      </c>
      <c r="L430">
        <v>0</v>
      </c>
      <c r="M430">
        <v>75</v>
      </c>
      <c r="N430">
        <v>16.68244</v>
      </c>
      <c r="O430">
        <v>3.4629270000000001</v>
      </c>
      <c r="P430">
        <v>14.632199999999999</v>
      </c>
      <c r="Q430">
        <v>110543</v>
      </c>
    </row>
    <row r="431" spans="1:17" x14ac:dyDescent="0.25">
      <c r="A431" t="s">
        <v>19</v>
      </c>
      <c r="B431">
        <v>22</v>
      </c>
      <c r="C431">
        <v>0.96</v>
      </c>
      <c r="D431">
        <v>2009</v>
      </c>
      <c r="E431" t="s">
        <v>28</v>
      </c>
      <c r="F431">
        <v>2009308</v>
      </c>
      <c r="G431">
        <v>2010090</v>
      </c>
      <c r="H431">
        <v>14915</v>
      </c>
      <c r="I431">
        <v>2274</v>
      </c>
      <c r="J431">
        <v>0</v>
      </c>
      <c r="K431">
        <v>797</v>
      </c>
      <c r="L431">
        <v>0</v>
      </c>
      <c r="M431">
        <v>75</v>
      </c>
      <c r="N431">
        <v>16.251470000000001</v>
      </c>
      <c r="O431">
        <v>5.6828430000000001</v>
      </c>
      <c r="P431">
        <v>13.663729999999999</v>
      </c>
      <c r="Q431">
        <v>68205</v>
      </c>
    </row>
    <row r="432" spans="1:17" x14ac:dyDescent="0.25">
      <c r="A432" t="s">
        <v>19</v>
      </c>
      <c r="B432">
        <v>22</v>
      </c>
      <c r="C432">
        <v>0.96</v>
      </c>
      <c r="D432">
        <v>2010</v>
      </c>
      <c r="E432" t="s">
        <v>28</v>
      </c>
      <c r="F432">
        <v>2010308</v>
      </c>
      <c r="G432">
        <v>2011092</v>
      </c>
      <c r="H432">
        <v>17810</v>
      </c>
      <c r="I432">
        <v>3019</v>
      </c>
      <c r="J432">
        <v>0</v>
      </c>
      <c r="K432">
        <v>808</v>
      </c>
      <c r="L432">
        <v>0</v>
      </c>
      <c r="M432">
        <v>75</v>
      </c>
      <c r="N432">
        <v>16.857279999999999</v>
      </c>
      <c r="O432">
        <v>5.6247559999999996</v>
      </c>
      <c r="P432">
        <v>12.99466</v>
      </c>
      <c r="Q432">
        <v>90565</v>
      </c>
    </row>
    <row r="433" spans="1:17" x14ac:dyDescent="0.25">
      <c r="A433" t="s">
        <v>19</v>
      </c>
      <c r="B433">
        <v>22</v>
      </c>
      <c r="C433">
        <v>0.96</v>
      </c>
      <c r="D433">
        <v>2011</v>
      </c>
      <c r="E433" t="s">
        <v>29</v>
      </c>
      <c r="F433">
        <v>2011308</v>
      </c>
      <c r="G433">
        <v>2012109</v>
      </c>
      <c r="H433">
        <v>5167</v>
      </c>
      <c r="I433">
        <v>1138</v>
      </c>
      <c r="J433">
        <v>0</v>
      </c>
      <c r="K433">
        <v>281</v>
      </c>
      <c r="L433">
        <v>0</v>
      </c>
      <c r="M433">
        <v>75</v>
      </c>
      <c r="N433">
        <v>17.220490000000002</v>
      </c>
      <c r="O433">
        <v>2.4936590000000001</v>
      </c>
      <c r="P433">
        <v>14.8878</v>
      </c>
      <c r="Q433">
        <v>34128</v>
      </c>
    </row>
    <row r="434" spans="1:17" x14ac:dyDescent="0.25">
      <c r="A434" t="s">
        <v>19</v>
      </c>
      <c r="B434">
        <v>22</v>
      </c>
      <c r="C434">
        <v>0.96</v>
      </c>
      <c r="D434">
        <v>2012</v>
      </c>
      <c r="E434" t="s">
        <v>29</v>
      </c>
      <c r="F434">
        <v>2012308</v>
      </c>
      <c r="G434">
        <v>2013094</v>
      </c>
      <c r="H434">
        <v>23297</v>
      </c>
      <c r="I434">
        <v>5379</v>
      </c>
      <c r="J434">
        <v>0</v>
      </c>
      <c r="K434">
        <v>697</v>
      </c>
      <c r="L434">
        <v>0</v>
      </c>
      <c r="M434">
        <v>75</v>
      </c>
      <c r="N434">
        <v>15.644170000000001</v>
      </c>
      <c r="O434">
        <v>4.5723310000000001</v>
      </c>
      <c r="P434">
        <v>13.567959999999999</v>
      </c>
      <c r="Q434">
        <v>161373</v>
      </c>
    </row>
    <row r="435" spans="1:17" x14ac:dyDescent="0.25">
      <c r="A435" t="s">
        <v>19</v>
      </c>
      <c r="B435">
        <v>22</v>
      </c>
      <c r="C435">
        <v>0.96</v>
      </c>
      <c r="D435">
        <v>2013</v>
      </c>
      <c r="E435" t="s">
        <v>29</v>
      </c>
      <c r="F435">
        <v>2013308</v>
      </c>
      <c r="G435">
        <v>2014099</v>
      </c>
      <c r="H435">
        <v>13525</v>
      </c>
      <c r="I435">
        <v>3153</v>
      </c>
      <c r="J435">
        <v>0</v>
      </c>
      <c r="K435">
        <v>413</v>
      </c>
      <c r="L435">
        <v>0</v>
      </c>
      <c r="M435">
        <v>75</v>
      </c>
      <c r="N435">
        <v>17.004850000000001</v>
      </c>
      <c r="O435">
        <v>4.1257279999999996</v>
      </c>
      <c r="P435">
        <v>14.350490000000001</v>
      </c>
      <c r="Q435">
        <v>94582</v>
      </c>
    </row>
    <row r="436" spans="1:17" x14ac:dyDescent="0.25">
      <c r="A436" t="s">
        <v>19</v>
      </c>
      <c r="B436">
        <v>22</v>
      </c>
      <c r="C436">
        <v>0.96</v>
      </c>
      <c r="D436">
        <v>2014</v>
      </c>
      <c r="E436" t="s">
        <v>29</v>
      </c>
      <c r="F436">
        <v>2014308</v>
      </c>
      <c r="G436">
        <v>2015098</v>
      </c>
      <c r="H436">
        <v>12616</v>
      </c>
      <c r="I436">
        <v>4965</v>
      </c>
      <c r="J436">
        <v>0</v>
      </c>
      <c r="K436">
        <v>453</v>
      </c>
      <c r="L436">
        <v>0</v>
      </c>
      <c r="M436">
        <v>75</v>
      </c>
      <c r="N436">
        <v>17.673660000000002</v>
      </c>
      <c r="O436">
        <v>3.83317</v>
      </c>
      <c r="P436">
        <v>14.81854</v>
      </c>
      <c r="Q436">
        <v>148936</v>
      </c>
    </row>
    <row r="437" spans="1:17" x14ac:dyDescent="0.25">
      <c r="A437" t="s">
        <v>19</v>
      </c>
      <c r="B437">
        <v>22</v>
      </c>
      <c r="C437">
        <v>0.96</v>
      </c>
      <c r="D437">
        <v>2015</v>
      </c>
      <c r="E437" t="s">
        <v>29</v>
      </c>
      <c r="F437">
        <v>2015308</v>
      </c>
      <c r="G437">
        <v>2016089</v>
      </c>
      <c r="H437">
        <v>9504</v>
      </c>
      <c r="I437">
        <v>1836</v>
      </c>
      <c r="J437">
        <v>0</v>
      </c>
      <c r="K437">
        <v>360</v>
      </c>
      <c r="L437">
        <v>0</v>
      </c>
      <c r="M437">
        <v>75</v>
      </c>
      <c r="N437">
        <v>17.110189999999999</v>
      </c>
      <c r="O437">
        <v>4.2611650000000001</v>
      </c>
      <c r="P437">
        <v>13.225239999999999</v>
      </c>
      <c r="Q437">
        <v>55088</v>
      </c>
    </row>
    <row r="438" spans="1:17" x14ac:dyDescent="0.25">
      <c r="A438" t="s">
        <v>19</v>
      </c>
      <c r="B438">
        <v>22</v>
      </c>
      <c r="C438">
        <v>0.96</v>
      </c>
      <c r="D438">
        <v>2016</v>
      </c>
      <c r="E438" t="s">
        <v>29</v>
      </c>
      <c r="F438">
        <v>2016308</v>
      </c>
      <c r="G438">
        <v>2017087</v>
      </c>
      <c r="H438">
        <v>14883</v>
      </c>
      <c r="I438">
        <v>5063</v>
      </c>
      <c r="J438">
        <v>0</v>
      </c>
      <c r="K438">
        <v>380</v>
      </c>
      <c r="L438">
        <v>0</v>
      </c>
      <c r="M438">
        <v>75</v>
      </c>
      <c r="N438">
        <v>18.050719999999998</v>
      </c>
      <c r="O438">
        <v>4.3951700000000002</v>
      </c>
      <c r="P438">
        <v>14.08792</v>
      </c>
      <c r="Q438">
        <v>151891</v>
      </c>
    </row>
    <row r="439" spans="1:17" x14ac:dyDescent="0.25">
      <c r="A439" t="s">
        <v>19</v>
      </c>
      <c r="B439">
        <v>22</v>
      </c>
      <c r="C439">
        <v>0.96</v>
      </c>
      <c r="D439">
        <v>2017</v>
      </c>
      <c r="E439" t="s">
        <v>29</v>
      </c>
      <c r="F439">
        <v>2017308</v>
      </c>
      <c r="G439">
        <v>2018090</v>
      </c>
      <c r="H439">
        <v>11202</v>
      </c>
      <c r="I439">
        <v>2099</v>
      </c>
      <c r="J439">
        <v>0</v>
      </c>
      <c r="K439">
        <v>496</v>
      </c>
      <c r="L439">
        <v>0</v>
      </c>
      <c r="M439">
        <v>75</v>
      </c>
      <c r="N439">
        <v>15.95337</v>
      </c>
      <c r="O439">
        <v>4.106179</v>
      </c>
      <c r="P439">
        <v>14.43989</v>
      </c>
      <c r="Q439">
        <v>62976</v>
      </c>
    </row>
    <row r="440" spans="1:17" x14ac:dyDescent="0.25">
      <c r="A440" t="s">
        <v>19</v>
      </c>
      <c r="B440">
        <v>22</v>
      </c>
      <c r="C440">
        <v>0.96</v>
      </c>
      <c r="D440">
        <v>2018</v>
      </c>
      <c r="E440" t="s">
        <v>29</v>
      </c>
      <c r="F440">
        <v>2018308</v>
      </c>
      <c r="G440">
        <v>2019091</v>
      </c>
      <c r="H440">
        <v>10400</v>
      </c>
      <c r="I440">
        <v>2635</v>
      </c>
      <c r="J440">
        <v>0</v>
      </c>
      <c r="K440">
        <v>308</v>
      </c>
      <c r="L440">
        <v>0</v>
      </c>
      <c r="M440">
        <v>75</v>
      </c>
      <c r="N440">
        <v>18.65756</v>
      </c>
      <c r="O440">
        <v>3.3497560000000002</v>
      </c>
      <c r="P440">
        <v>15.439019999999999</v>
      </c>
      <c r="Q440">
        <v>79058</v>
      </c>
    </row>
    <row r="441" spans="1:17" x14ac:dyDescent="0.25">
      <c r="A441" t="s">
        <v>19</v>
      </c>
      <c r="B441">
        <v>22</v>
      </c>
      <c r="C441">
        <v>0.96</v>
      </c>
      <c r="D441">
        <v>2019</v>
      </c>
      <c r="E441" t="s">
        <v>29</v>
      </c>
      <c r="F441">
        <v>2019308</v>
      </c>
      <c r="G441">
        <v>2020077</v>
      </c>
      <c r="H441">
        <v>10946</v>
      </c>
      <c r="I441">
        <v>2139</v>
      </c>
      <c r="J441">
        <v>0</v>
      </c>
      <c r="K441">
        <v>348</v>
      </c>
      <c r="L441">
        <v>0</v>
      </c>
      <c r="M441">
        <v>75</v>
      </c>
      <c r="N441">
        <v>17.9117</v>
      </c>
      <c r="O441">
        <v>5.4790229999999998</v>
      </c>
      <c r="P441">
        <v>13.47025</v>
      </c>
      <c r="Q441">
        <v>64163</v>
      </c>
    </row>
    <row r="442" spans="1:17" x14ac:dyDescent="0.25">
      <c r="A442" t="s">
        <v>19</v>
      </c>
      <c r="B442">
        <v>23</v>
      </c>
      <c r="C442">
        <v>1.08</v>
      </c>
      <c r="D442">
        <v>2000</v>
      </c>
      <c r="E442" t="s">
        <v>28</v>
      </c>
      <c r="F442">
        <v>2000322</v>
      </c>
      <c r="G442">
        <v>2001095</v>
      </c>
      <c r="H442">
        <v>19112</v>
      </c>
      <c r="I442">
        <v>3954</v>
      </c>
      <c r="J442">
        <v>0</v>
      </c>
      <c r="K442">
        <v>671</v>
      </c>
      <c r="L442">
        <v>0</v>
      </c>
      <c r="M442">
        <v>125</v>
      </c>
      <c r="N442">
        <v>17.114730000000002</v>
      </c>
      <c r="O442">
        <v>5.4568409999999998</v>
      </c>
      <c r="P442">
        <v>15.01947</v>
      </c>
      <c r="Q442">
        <v>102797</v>
      </c>
    </row>
    <row r="443" spans="1:17" x14ac:dyDescent="0.25">
      <c r="A443" t="s">
        <v>19</v>
      </c>
      <c r="B443">
        <v>23</v>
      </c>
      <c r="C443">
        <v>1.08</v>
      </c>
      <c r="D443">
        <v>2001</v>
      </c>
      <c r="E443" t="s">
        <v>28</v>
      </c>
      <c r="F443">
        <v>2001322</v>
      </c>
      <c r="G443">
        <v>2002103</v>
      </c>
      <c r="H443">
        <v>14631</v>
      </c>
      <c r="I443">
        <v>3711</v>
      </c>
      <c r="J443">
        <v>0</v>
      </c>
      <c r="K443">
        <v>506</v>
      </c>
      <c r="L443">
        <v>0</v>
      </c>
      <c r="M443">
        <v>125</v>
      </c>
      <c r="N443">
        <v>17.22804</v>
      </c>
      <c r="O443">
        <v>4.104762</v>
      </c>
      <c r="P443">
        <v>15.895770000000001</v>
      </c>
      <c r="Q443">
        <v>96475</v>
      </c>
    </row>
    <row r="444" spans="1:17" x14ac:dyDescent="0.25">
      <c r="A444" t="s">
        <v>19</v>
      </c>
      <c r="B444">
        <v>23</v>
      </c>
      <c r="C444">
        <v>1.08</v>
      </c>
      <c r="D444">
        <v>2002</v>
      </c>
      <c r="E444" t="s">
        <v>28</v>
      </c>
      <c r="F444">
        <v>2002322</v>
      </c>
      <c r="G444">
        <v>2003101</v>
      </c>
      <c r="H444">
        <v>15662</v>
      </c>
      <c r="I444">
        <v>4244</v>
      </c>
      <c r="J444">
        <v>0</v>
      </c>
      <c r="K444">
        <v>446</v>
      </c>
      <c r="L444">
        <v>0</v>
      </c>
      <c r="M444">
        <v>125</v>
      </c>
      <c r="N444">
        <v>16.870529999999999</v>
      </c>
      <c r="O444">
        <v>5.274737</v>
      </c>
      <c r="P444">
        <v>15.50789</v>
      </c>
      <c r="Q444">
        <v>110354</v>
      </c>
    </row>
    <row r="445" spans="1:17" x14ac:dyDescent="0.25">
      <c r="A445" t="s">
        <v>19</v>
      </c>
      <c r="B445">
        <v>23</v>
      </c>
      <c r="C445">
        <v>1.08</v>
      </c>
      <c r="D445">
        <v>2003</v>
      </c>
      <c r="E445" t="s">
        <v>28</v>
      </c>
      <c r="F445">
        <v>2003322</v>
      </c>
      <c r="G445">
        <v>2004100</v>
      </c>
      <c r="H445">
        <v>25949</v>
      </c>
      <c r="I445">
        <v>3979</v>
      </c>
      <c r="J445">
        <v>0</v>
      </c>
      <c r="K445">
        <v>795</v>
      </c>
      <c r="L445">
        <v>0</v>
      </c>
      <c r="M445">
        <v>125</v>
      </c>
      <c r="N445">
        <v>15.78848</v>
      </c>
      <c r="O445">
        <v>4.7544519999999997</v>
      </c>
      <c r="P445">
        <v>14.62618</v>
      </c>
      <c r="Q445">
        <v>103462</v>
      </c>
    </row>
    <row r="446" spans="1:17" x14ac:dyDescent="0.25">
      <c r="A446" t="s">
        <v>19</v>
      </c>
      <c r="B446">
        <v>23</v>
      </c>
      <c r="C446">
        <v>1.08</v>
      </c>
      <c r="D446">
        <v>2004</v>
      </c>
      <c r="E446" t="s">
        <v>28</v>
      </c>
      <c r="F446">
        <v>2004322</v>
      </c>
      <c r="G446">
        <v>2005114</v>
      </c>
      <c r="H446">
        <v>5326</v>
      </c>
      <c r="I446">
        <v>1246</v>
      </c>
      <c r="J446">
        <v>0</v>
      </c>
      <c r="K446">
        <v>306</v>
      </c>
      <c r="L446">
        <v>0</v>
      </c>
      <c r="M446">
        <v>125</v>
      </c>
      <c r="N446">
        <v>17.371200000000002</v>
      </c>
      <c r="O446">
        <v>3.1356030000000001</v>
      </c>
      <c r="P446">
        <v>16.804189999999998</v>
      </c>
      <c r="Q446">
        <v>32388</v>
      </c>
    </row>
    <row r="447" spans="1:17" x14ac:dyDescent="0.25">
      <c r="A447" t="s">
        <v>19</v>
      </c>
      <c r="B447">
        <v>23</v>
      </c>
      <c r="C447">
        <v>1.08</v>
      </c>
      <c r="D447">
        <v>2005</v>
      </c>
      <c r="E447" t="s">
        <v>28</v>
      </c>
      <c r="F447">
        <v>2005322</v>
      </c>
      <c r="G447">
        <v>2006103</v>
      </c>
      <c r="H447">
        <v>7842</v>
      </c>
      <c r="I447">
        <v>2147</v>
      </c>
      <c r="J447">
        <v>0</v>
      </c>
      <c r="K447">
        <v>297</v>
      </c>
      <c r="L447">
        <v>0</v>
      </c>
      <c r="M447">
        <v>125</v>
      </c>
      <c r="N447">
        <v>17.483149999999998</v>
      </c>
      <c r="O447">
        <v>4.7865169999999999</v>
      </c>
      <c r="P447">
        <v>15.77359</v>
      </c>
      <c r="Q447">
        <v>55829</v>
      </c>
    </row>
    <row r="448" spans="1:17" x14ac:dyDescent="0.25">
      <c r="A448" t="s">
        <v>19</v>
      </c>
      <c r="B448">
        <v>23</v>
      </c>
      <c r="C448">
        <v>1.08</v>
      </c>
      <c r="D448">
        <v>2006</v>
      </c>
      <c r="E448" t="s">
        <v>28</v>
      </c>
      <c r="F448">
        <v>2006322</v>
      </c>
      <c r="G448">
        <v>2007107</v>
      </c>
      <c r="H448">
        <v>20220</v>
      </c>
      <c r="I448">
        <v>4114</v>
      </c>
      <c r="J448">
        <v>0</v>
      </c>
      <c r="K448">
        <v>598</v>
      </c>
      <c r="L448">
        <v>0</v>
      </c>
      <c r="M448">
        <v>125</v>
      </c>
      <c r="N448">
        <v>16.034030000000001</v>
      </c>
      <c r="O448">
        <v>4.5439790000000002</v>
      </c>
      <c r="P448">
        <v>13.87696</v>
      </c>
      <c r="Q448">
        <v>106962</v>
      </c>
    </row>
    <row r="449" spans="1:17" x14ac:dyDescent="0.25">
      <c r="A449" t="s">
        <v>19</v>
      </c>
      <c r="B449">
        <v>23</v>
      </c>
      <c r="C449">
        <v>1.08</v>
      </c>
      <c r="D449">
        <v>2007</v>
      </c>
      <c r="E449" t="s">
        <v>28</v>
      </c>
      <c r="F449">
        <v>2007322</v>
      </c>
      <c r="G449">
        <v>2008099</v>
      </c>
      <c r="H449">
        <v>15451</v>
      </c>
      <c r="I449">
        <v>1677</v>
      </c>
      <c r="J449">
        <v>0</v>
      </c>
      <c r="K449">
        <v>489</v>
      </c>
      <c r="L449">
        <v>0</v>
      </c>
      <c r="M449">
        <v>125</v>
      </c>
      <c r="N449">
        <v>17.014209999999999</v>
      </c>
      <c r="O449">
        <v>4.2852639999999997</v>
      </c>
      <c r="P449">
        <v>14.333159999999999</v>
      </c>
      <c r="Q449">
        <v>43604</v>
      </c>
    </row>
    <row r="450" spans="1:17" x14ac:dyDescent="0.25">
      <c r="A450" t="s">
        <v>19</v>
      </c>
      <c r="B450">
        <v>23</v>
      </c>
      <c r="C450">
        <v>1.08</v>
      </c>
      <c r="D450">
        <v>2008</v>
      </c>
      <c r="E450" t="s">
        <v>28</v>
      </c>
      <c r="F450">
        <v>2008322</v>
      </c>
      <c r="G450">
        <v>2009111</v>
      </c>
      <c r="H450">
        <v>12618</v>
      </c>
      <c r="I450">
        <v>3409</v>
      </c>
      <c r="J450">
        <v>0</v>
      </c>
      <c r="K450">
        <v>442</v>
      </c>
      <c r="L450">
        <v>0</v>
      </c>
      <c r="M450">
        <v>125</v>
      </c>
      <c r="N450">
        <v>16.69162</v>
      </c>
      <c r="O450">
        <v>3.613089</v>
      </c>
      <c r="P450">
        <v>14.836130000000001</v>
      </c>
      <c r="Q450">
        <v>88623</v>
      </c>
    </row>
    <row r="451" spans="1:17" x14ac:dyDescent="0.25">
      <c r="A451" t="s">
        <v>19</v>
      </c>
      <c r="B451">
        <v>23</v>
      </c>
      <c r="C451">
        <v>1.08</v>
      </c>
      <c r="D451">
        <v>2009</v>
      </c>
      <c r="E451" t="s">
        <v>28</v>
      </c>
      <c r="F451">
        <v>2009322</v>
      </c>
      <c r="G451">
        <v>2010103</v>
      </c>
      <c r="H451">
        <v>20118</v>
      </c>
      <c r="I451">
        <v>3673</v>
      </c>
      <c r="J451">
        <v>0</v>
      </c>
      <c r="K451">
        <v>797</v>
      </c>
      <c r="L451">
        <v>0</v>
      </c>
      <c r="M451">
        <v>125</v>
      </c>
      <c r="N451">
        <v>15.92328</v>
      </c>
      <c r="O451">
        <v>5.6888889999999996</v>
      </c>
      <c r="P451">
        <v>13.870900000000001</v>
      </c>
      <c r="Q451">
        <v>95496</v>
      </c>
    </row>
    <row r="452" spans="1:17" x14ac:dyDescent="0.25">
      <c r="A452" t="s">
        <v>19</v>
      </c>
      <c r="B452">
        <v>23</v>
      </c>
      <c r="C452">
        <v>1.08</v>
      </c>
      <c r="D452">
        <v>2010</v>
      </c>
      <c r="E452" t="s">
        <v>28</v>
      </c>
      <c r="F452">
        <v>2010322</v>
      </c>
      <c r="G452">
        <v>2011100</v>
      </c>
      <c r="H452">
        <v>20816</v>
      </c>
      <c r="I452">
        <v>3928</v>
      </c>
      <c r="J452">
        <v>0</v>
      </c>
      <c r="K452">
        <v>808</v>
      </c>
      <c r="L452">
        <v>0</v>
      </c>
      <c r="M452">
        <v>125</v>
      </c>
      <c r="N452">
        <v>17.138950000000001</v>
      </c>
      <c r="O452">
        <v>5.7631569999999996</v>
      </c>
      <c r="P452">
        <v>13.42737</v>
      </c>
      <c r="Q452">
        <v>102122</v>
      </c>
    </row>
    <row r="453" spans="1:17" x14ac:dyDescent="0.25">
      <c r="A453" t="s">
        <v>19</v>
      </c>
      <c r="B453">
        <v>23</v>
      </c>
      <c r="C453">
        <v>1.08</v>
      </c>
      <c r="D453">
        <v>2011</v>
      </c>
      <c r="E453" t="s">
        <v>29</v>
      </c>
      <c r="F453">
        <v>2011322</v>
      </c>
      <c r="G453">
        <v>2012118</v>
      </c>
      <c r="H453">
        <v>3986</v>
      </c>
      <c r="I453">
        <v>650</v>
      </c>
      <c r="J453">
        <v>0</v>
      </c>
      <c r="K453">
        <v>281</v>
      </c>
      <c r="L453">
        <v>0</v>
      </c>
      <c r="M453">
        <v>125</v>
      </c>
      <c r="N453">
        <v>17.275919999999999</v>
      </c>
      <c r="O453">
        <v>2.165969</v>
      </c>
      <c r="P453">
        <v>15.458640000000001</v>
      </c>
      <c r="Q453">
        <v>16900</v>
      </c>
    </row>
    <row r="454" spans="1:17" x14ac:dyDescent="0.25">
      <c r="A454" t="s">
        <v>19</v>
      </c>
      <c r="B454">
        <v>23</v>
      </c>
      <c r="C454">
        <v>1.08</v>
      </c>
      <c r="D454">
        <v>2012</v>
      </c>
      <c r="E454" t="s">
        <v>29</v>
      </c>
      <c r="F454">
        <v>2012322</v>
      </c>
      <c r="G454">
        <v>2013107</v>
      </c>
      <c r="H454">
        <v>22462</v>
      </c>
      <c r="I454">
        <v>4489</v>
      </c>
      <c r="J454">
        <v>0</v>
      </c>
      <c r="K454">
        <v>697</v>
      </c>
      <c r="L454">
        <v>0</v>
      </c>
      <c r="M454">
        <v>125</v>
      </c>
      <c r="N454">
        <v>15.631769999999999</v>
      </c>
      <c r="O454">
        <v>4.3671879999999996</v>
      </c>
      <c r="P454">
        <v>13.94896</v>
      </c>
      <c r="Q454">
        <v>116714</v>
      </c>
    </row>
    <row r="455" spans="1:17" x14ac:dyDescent="0.25">
      <c r="A455" t="s">
        <v>19</v>
      </c>
      <c r="B455">
        <v>23</v>
      </c>
      <c r="C455">
        <v>1.08</v>
      </c>
      <c r="D455">
        <v>2013</v>
      </c>
      <c r="E455" t="s">
        <v>29</v>
      </c>
      <c r="F455">
        <v>2013322</v>
      </c>
      <c r="G455">
        <v>2014105</v>
      </c>
      <c r="H455">
        <v>15335</v>
      </c>
      <c r="I455">
        <v>5056</v>
      </c>
      <c r="J455">
        <v>0</v>
      </c>
      <c r="K455">
        <v>413</v>
      </c>
      <c r="L455">
        <v>0</v>
      </c>
      <c r="M455">
        <v>125</v>
      </c>
      <c r="N455">
        <v>17.298929999999999</v>
      </c>
      <c r="O455">
        <v>4.4043010000000002</v>
      </c>
      <c r="P455">
        <v>14.78065</v>
      </c>
      <c r="Q455">
        <v>131445</v>
      </c>
    </row>
    <row r="456" spans="1:17" x14ac:dyDescent="0.25">
      <c r="A456" t="s">
        <v>19</v>
      </c>
      <c r="B456">
        <v>23</v>
      </c>
      <c r="C456">
        <v>1.08</v>
      </c>
      <c r="D456">
        <v>2014</v>
      </c>
      <c r="E456" t="s">
        <v>29</v>
      </c>
      <c r="F456">
        <v>2014322</v>
      </c>
      <c r="G456">
        <v>2015111</v>
      </c>
      <c r="H456">
        <v>11387</v>
      </c>
      <c r="I456">
        <v>4187</v>
      </c>
      <c r="J456">
        <v>0</v>
      </c>
      <c r="K456">
        <v>453</v>
      </c>
      <c r="L456">
        <v>0</v>
      </c>
      <c r="M456">
        <v>125</v>
      </c>
      <c r="N456">
        <v>17.763539999999999</v>
      </c>
      <c r="O456">
        <v>3.6463540000000001</v>
      </c>
      <c r="P456">
        <v>15.252599999999999</v>
      </c>
      <c r="Q456">
        <v>108852</v>
      </c>
    </row>
    <row r="457" spans="1:17" x14ac:dyDescent="0.25">
      <c r="A457" t="s">
        <v>19</v>
      </c>
      <c r="B457">
        <v>23</v>
      </c>
      <c r="C457">
        <v>1.08</v>
      </c>
      <c r="D457">
        <v>2015</v>
      </c>
      <c r="E457" t="s">
        <v>29</v>
      </c>
      <c r="F457">
        <v>2015322</v>
      </c>
      <c r="G457">
        <v>2016101</v>
      </c>
      <c r="H457">
        <v>11560</v>
      </c>
      <c r="I457">
        <v>2287</v>
      </c>
      <c r="J457">
        <v>0</v>
      </c>
      <c r="K457">
        <v>360</v>
      </c>
      <c r="L457">
        <v>0</v>
      </c>
      <c r="M457">
        <v>125</v>
      </c>
      <c r="N457">
        <v>16.83822</v>
      </c>
      <c r="O457">
        <v>4.2811519999999996</v>
      </c>
      <c r="P457">
        <v>13.384819999999999</v>
      </c>
      <c r="Q457">
        <v>59464</v>
      </c>
    </row>
    <row r="458" spans="1:17" x14ac:dyDescent="0.25">
      <c r="A458" t="s">
        <v>19</v>
      </c>
      <c r="B458">
        <v>23</v>
      </c>
      <c r="C458">
        <v>1.08</v>
      </c>
      <c r="D458">
        <v>2016</v>
      </c>
      <c r="E458" t="s">
        <v>29</v>
      </c>
      <c r="F458">
        <v>2016322</v>
      </c>
      <c r="G458">
        <v>2017100</v>
      </c>
      <c r="H458">
        <v>13383</v>
      </c>
      <c r="I458">
        <v>4047</v>
      </c>
      <c r="J458">
        <v>0</v>
      </c>
      <c r="K458">
        <v>380</v>
      </c>
      <c r="L458">
        <v>0</v>
      </c>
      <c r="M458">
        <v>125</v>
      </c>
      <c r="N458">
        <v>18.205729999999999</v>
      </c>
      <c r="O458">
        <v>4.5062499999999996</v>
      </c>
      <c r="P458">
        <v>14.470829999999999</v>
      </c>
      <c r="Q458">
        <v>105223</v>
      </c>
    </row>
    <row r="459" spans="1:17" x14ac:dyDescent="0.25">
      <c r="A459" t="s">
        <v>19</v>
      </c>
      <c r="B459">
        <v>23</v>
      </c>
      <c r="C459">
        <v>1.08</v>
      </c>
      <c r="D459">
        <v>2017</v>
      </c>
      <c r="E459" t="s">
        <v>29</v>
      </c>
      <c r="F459">
        <v>2017322</v>
      </c>
      <c r="G459">
        <v>2018111</v>
      </c>
      <c r="H459">
        <v>17070</v>
      </c>
      <c r="I459">
        <v>3435</v>
      </c>
      <c r="J459">
        <v>0</v>
      </c>
      <c r="K459">
        <v>496</v>
      </c>
      <c r="L459">
        <v>0</v>
      </c>
      <c r="M459">
        <v>125</v>
      </c>
      <c r="N459">
        <v>16.071000000000002</v>
      </c>
      <c r="O459">
        <v>4.2769219999999999</v>
      </c>
      <c r="P459">
        <v>14.79823</v>
      </c>
      <c r="Q459">
        <v>89307</v>
      </c>
    </row>
    <row r="460" spans="1:17" x14ac:dyDescent="0.25">
      <c r="A460" t="s">
        <v>19</v>
      </c>
      <c r="B460">
        <v>23</v>
      </c>
      <c r="C460">
        <v>1.08</v>
      </c>
      <c r="D460">
        <v>2018</v>
      </c>
      <c r="E460" t="s">
        <v>29</v>
      </c>
      <c r="F460">
        <v>2018322</v>
      </c>
      <c r="G460">
        <v>2019104</v>
      </c>
      <c r="H460">
        <v>6971</v>
      </c>
      <c r="I460">
        <v>1972</v>
      </c>
      <c r="J460">
        <v>0</v>
      </c>
      <c r="K460">
        <v>308</v>
      </c>
      <c r="L460">
        <v>0</v>
      </c>
      <c r="M460">
        <v>125</v>
      </c>
      <c r="N460">
        <v>18.854980000000001</v>
      </c>
      <c r="O460">
        <v>3.017277</v>
      </c>
      <c r="P460">
        <v>16.041879999999999</v>
      </c>
      <c r="Q460">
        <v>51281</v>
      </c>
    </row>
    <row r="461" spans="1:17" x14ac:dyDescent="0.25">
      <c r="A461" t="s">
        <v>19</v>
      </c>
      <c r="B461">
        <v>23</v>
      </c>
      <c r="C461">
        <v>1.08</v>
      </c>
      <c r="D461">
        <v>2019</v>
      </c>
      <c r="E461" t="s">
        <v>29</v>
      </c>
      <c r="F461">
        <v>2019322</v>
      </c>
      <c r="G461">
        <v>2020091</v>
      </c>
      <c r="H461">
        <v>11782</v>
      </c>
      <c r="I461">
        <v>2494</v>
      </c>
      <c r="J461">
        <v>0</v>
      </c>
      <c r="K461">
        <v>348</v>
      </c>
      <c r="L461">
        <v>0</v>
      </c>
      <c r="M461">
        <v>125</v>
      </c>
      <c r="N461">
        <v>18.324729999999999</v>
      </c>
      <c r="O461">
        <v>5.5836819999999996</v>
      </c>
      <c r="P461">
        <v>13.979480000000001</v>
      </c>
      <c r="Q461">
        <v>64846</v>
      </c>
    </row>
    <row r="462" spans="1:17" x14ac:dyDescent="0.25">
      <c r="A462" t="s">
        <v>19</v>
      </c>
      <c r="B462">
        <v>24</v>
      </c>
      <c r="C462">
        <v>1</v>
      </c>
      <c r="D462">
        <v>2000</v>
      </c>
      <c r="E462" t="s">
        <v>28</v>
      </c>
      <c r="F462">
        <v>2000291</v>
      </c>
      <c r="G462">
        <v>2001077</v>
      </c>
      <c r="H462">
        <v>20903</v>
      </c>
      <c r="I462">
        <v>3704</v>
      </c>
      <c r="J462">
        <v>0</v>
      </c>
      <c r="K462">
        <v>671</v>
      </c>
      <c r="L462">
        <v>0</v>
      </c>
      <c r="M462">
        <v>100</v>
      </c>
      <c r="N462">
        <v>17.139279999999999</v>
      </c>
      <c r="O462">
        <v>5.53125</v>
      </c>
      <c r="P462">
        <v>14.51563</v>
      </c>
      <c r="Q462">
        <v>96301</v>
      </c>
    </row>
    <row r="463" spans="1:17" x14ac:dyDescent="0.25">
      <c r="A463" t="s">
        <v>19</v>
      </c>
      <c r="B463">
        <v>24</v>
      </c>
      <c r="C463">
        <v>1</v>
      </c>
      <c r="D463">
        <v>2001</v>
      </c>
      <c r="E463" t="s">
        <v>28</v>
      </c>
      <c r="F463">
        <v>2001291</v>
      </c>
      <c r="G463">
        <v>2002082</v>
      </c>
      <c r="H463">
        <v>17996</v>
      </c>
      <c r="I463">
        <v>3805</v>
      </c>
      <c r="J463">
        <v>0</v>
      </c>
      <c r="K463">
        <v>506</v>
      </c>
      <c r="L463">
        <v>0</v>
      </c>
      <c r="M463">
        <v>100</v>
      </c>
      <c r="N463">
        <v>17.235420000000001</v>
      </c>
      <c r="O463">
        <v>4.3856510000000002</v>
      </c>
      <c r="P463">
        <v>15.25605</v>
      </c>
      <c r="Q463">
        <v>98934</v>
      </c>
    </row>
    <row r="464" spans="1:17" x14ac:dyDescent="0.25">
      <c r="A464" t="s">
        <v>19</v>
      </c>
      <c r="B464">
        <v>24</v>
      </c>
      <c r="C464">
        <v>1</v>
      </c>
      <c r="D464">
        <v>2002</v>
      </c>
      <c r="E464" t="s">
        <v>28</v>
      </c>
      <c r="F464">
        <v>2002291</v>
      </c>
      <c r="G464">
        <v>2003076</v>
      </c>
      <c r="H464">
        <v>17788</v>
      </c>
      <c r="I464">
        <v>3848</v>
      </c>
      <c r="J464">
        <v>0</v>
      </c>
      <c r="K464">
        <v>446</v>
      </c>
      <c r="L464">
        <v>0</v>
      </c>
      <c r="M464">
        <v>100</v>
      </c>
      <c r="N464">
        <v>17.068619999999999</v>
      </c>
      <c r="O464">
        <v>5.4520189999999999</v>
      </c>
      <c r="P464">
        <v>14.77802</v>
      </c>
      <c r="Q464">
        <v>100050</v>
      </c>
    </row>
    <row r="465" spans="1:17" x14ac:dyDescent="0.25">
      <c r="A465" t="s">
        <v>19</v>
      </c>
      <c r="B465">
        <v>24</v>
      </c>
      <c r="C465">
        <v>1</v>
      </c>
      <c r="D465">
        <v>2003</v>
      </c>
      <c r="E465" t="s">
        <v>28</v>
      </c>
      <c r="F465">
        <v>2003291</v>
      </c>
      <c r="G465">
        <v>2004067</v>
      </c>
      <c r="H465">
        <v>26776</v>
      </c>
      <c r="I465">
        <v>3441</v>
      </c>
      <c r="J465">
        <v>0</v>
      </c>
      <c r="K465">
        <v>795</v>
      </c>
      <c r="L465">
        <v>0</v>
      </c>
      <c r="M465">
        <v>100</v>
      </c>
      <c r="N465">
        <v>15.84619</v>
      </c>
      <c r="O465">
        <v>5.2533630000000002</v>
      </c>
      <c r="P465">
        <v>13.878030000000001</v>
      </c>
      <c r="Q465">
        <v>89474</v>
      </c>
    </row>
    <row r="466" spans="1:17" x14ac:dyDescent="0.25">
      <c r="A466" t="s">
        <v>19</v>
      </c>
      <c r="B466">
        <v>24</v>
      </c>
      <c r="C466">
        <v>1</v>
      </c>
      <c r="D466">
        <v>2004</v>
      </c>
      <c r="E466" t="s">
        <v>28</v>
      </c>
      <c r="F466">
        <v>2004291</v>
      </c>
      <c r="G466">
        <v>2005090</v>
      </c>
      <c r="H466">
        <v>8217</v>
      </c>
      <c r="I466">
        <v>2201</v>
      </c>
      <c r="J466">
        <v>0</v>
      </c>
      <c r="K466">
        <v>306</v>
      </c>
      <c r="L466">
        <v>0</v>
      </c>
      <c r="M466">
        <v>100</v>
      </c>
      <c r="N466">
        <v>17.34843</v>
      </c>
      <c r="O466">
        <v>3.4116599999999999</v>
      </c>
      <c r="P466">
        <v>16.02826</v>
      </c>
      <c r="Q466">
        <v>57220</v>
      </c>
    </row>
    <row r="467" spans="1:17" x14ac:dyDescent="0.25">
      <c r="A467" t="s">
        <v>19</v>
      </c>
      <c r="B467">
        <v>24</v>
      </c>
      <c r="C467">
        <v>1</v>
      </c>
      <c r="D467">
        <v>2005</v>
      </c>
      <c r="E467" t="s">
        <v>28</v>
      </c>
      <c r="F467">
        <v>2005291</v>
      </c>
      <c r="G467">
        <v>2006086</v>
      </c>
      <c r="H467">
        <v>7513</v>
      </c>
      <c r="I467">
        <v>1613</v>
      </c>
      <c r="J467">
        <v>0</v>
      </c>
      <c r="K467">
        <v>297</v>
      </c>
      <c r="L467">
        <v>0</v>
      </c>
      <c r="M467">
        <v>100</v>
      </c>
      <c r="N467">
        <v>17.329280000000001</v>
      </c>
      <c r="O467">
        <v>4.844144</v>
      </c>
      <c r="P467">
        <v>14.825670000000001</v>
      </c>
      <c r="Q467">
        <v>41943</v>
      </c>
    </row>
    <row r="468" spans="1:17" x14ac:dyDescent="0.25">
      <c r="A468" t="s">
        <v>19</v>
      </c>
      <c r="B468">
        <v>24</v>
      </c>
      <c r="C468">
        <v>1</v>
      </c>
      <c r="D468">
        <v>2006</v>
      </c>
      <c r="E468" t="s">
        <v>28</v>
      </c>
      <c r="F468">
        <v>2006291</v>
      </c>
      <c r="G468">
        <v>2007080</v>
      </c>
      <c r="H468">
        <v>22112</v>
      </c>
      <c r="I468">
        <v>4659</v>
      </c>
      <c r="J468">
        <v>0</v>
      </c>
      <c r="K468">
        <v>598</v>
      </c>
      <c r="L468">
        <v>0</v>
      </c>
      <c r="M468">
        <v>100</v>
      </c>
      <c r="N468">
        <v>16.528700000000001</v>
      </c>
      <c r="O468">
        <v>5.3461889999999999</v>
      </c>
      <c r="P468">
        <v>13.143050000000001</v>
      </c>
      <c r="Q468">
        <v>121144</v>
      </c>
    </row>
    <row r="469" spans="1:17" x14ac:dyDescent="0.25">
      <c r="A469" t="s">
        <v>19</v>
      </c>
      <c r="B469">
        <v>24</v>
      </c>
      <c r="C469">
        <v>1</v>
      </c>
      <c r="D469">
        <v>2007</v>
      </c>
      <c r="E469" t="s">
        <v>28</v>
      </c>
      <c r="F469">
        <v>2007291</v>
      </c>
      <c r="G469">
        <v>2008071</v>
      </c>
      <c r="H469">
        <v>12826</v>
      </c>
      <c r="I469">
        <v>2320</v>
      </c>
      <c r="J469">
        <v>0</v>
      </c>
      <c r="K469">
        <v>489</v>
      </c>
      <c r="L469">
        <v>0</v>
      </c>
      <c r="M469">
        <v>100</v>
      </c>
      <c r="N469">
        <v>17.407630000000001</v>
      </c>
      <c r="O469">
        <v>4.0923769999999999</v>
      </c>
      <c r="P469">
        <v>14.002689999999999</v>
      </c>
      <c r="Q469">
        <v>60311</v>
      </c>
    </row>
    <row r="470" spans="1:17" x14ac:dyDescent="0.25">
      <c r="A470" t="s">
        <v>19</v>
      </c>
      <c r="B470">
        <v>24</v>
      </c>
      <c r="C470">
        <v>1</v>
      </c>
      <c r="D470">
        <v>2008</v>
      </c>
      <c r="E470" t="s">
        <v>28</v>
      </c>
      <c r="F470">
        <v>2008291</v>
      </c>
      <c r="G470">
        <v>2009085</v>
      </c>
      <c r="H470">
        <v>16763</v>
      </c>
      <c r="I470">
        <v>4490</v>
      </c>
      <c r="J470">
        <v>0</v>
      </c>
      <c r="K470">
        <v>442</v>
      </c>
      <c r="L470">
        <v>0</v>
      </c>
      <c r="M470">
        <v>100</v>
      </c>
      <c r="N470">
        <v>16.637049999999999</v>
      </c>
      <c r="O470">
        <v>3.737053</v>
      </c>
      <c r="P470">
        <v>14.25</v>
      </c>
      <c r="Q470">
        <v>116741</v>
      </c>
    </row>
    <row r="471" spans="1:17" x14ac:dyDescent="0.25">
      <c r="A471" t="s">
        <v>19</v>
      </c>
      <c r="B471">
        <v>24</v>
      </c>
      <c r="C471">
        <v>1</v>
      </c>
      <c r="D471">
        <v>2009</v>
      </c>
      <c r="E471" t="s">
        <v>28</v>
      </c>
      <c r="F471">
        <v>2009291</v>
      </c>
      <c r="G471">
        <v>2010077</v>
      </c>
      <c r="H471">
        <v>13174</v>
      </c>
      <c r="I471">
        <v>1730</v>
      </c>
      <c r="J471">
        <v>0</v>
      </c>
      <c r="K471">
        <v>797</v>
      </c>
      <c r="L471">
        <v>0</v>
      </c>
      <c r="M471">
        <v>100</v>
      </c>
      <c r="N471">
        <v>16.71855</v>
      </c>
      <c r="O471">
        <v>5.9461560000000002</v>
      </c>
      <c r="P471">
        <v>13.622170000000001</v>
      </c>
      <c r="Q471">
        <v>44974</v>
      </c>
    </row>
    <row r="472" spans="1:17" x14ac:dyDescent="0.25">
      <c r="A472" t="s">
        <v>19</v>
      </c>
      <c r="B472">
        <v>24</v>
      </c>
      <c r="C472">
        <v>1</v>
      </c>
      <c r="D472">
        <v>2010</v>
      </c>
      <c r="E472" t="s">
        <v>28</v>
      </c>
      <c r="F472">
        <v>2010291</v>
      </c>
      <c r="G472">
        <v>2011077</v>
      </c>
      <c r="H472">
        <v>21155</v>
      </c>
      <c r="I472">
        <v>3896</v>
      </c>
      <c r="J472">
        <v>0</v>
      </c>
      <c r="K472">
        <v>808</v>
      </c>
      <c r="L472">
        <v>0</v>
      </c>
      <c r="M472">
        <v>100</v>
      </c>
      <c r="N472">
        <v>17.09328</v>
      </c>
      <c r="O472">
        <v>5.661435</v>
      </c>
      <c r="P472">
        <v>12.922879999999999</v>
      </c>
      <c r="Q472">
        <v>101297</v>
      </c>
    </row>
    <row r="473" spans="1:17" x14ac:dyDescent="0.25">
      <c r="A473" t="s">
        <v>19</v>
      </c>
      <c r="B473">
        <v>24</v>
      </c>
      <c r="C473">
        <v>1</v>
      </c>
      <c r="D473">
        <v>2011</v>
      </c>
      <c r="E473" t="s">
        <v>29</v>
      </c>
      <c r="F473">
        <v>2011291</v>
      </c>
      <c r="G473">
        <v>2012090</v>
      </c>
      <c r="H473">
        <v>9211</v>
      </c>
      <c r="I473">
        <v>2039</v>
      </c>
      <c r="J473">
        <v>0</v>
      </c>
      <c r="K473">
        <v>281</v>
      </c>
      <c r="L473">
        <v>0</v>
      </c>
      <c r="M473">
        <v>100</v>
      </c>
      <c r="N473">
        <v>17.258179999999999</v>
      </c>
      <c r="O473">
        <v>2.9131819999999999</v>
      </c>
      <c r="P473">
        <v>14.528180000000001</v>
      </c>
      <c r="Q473">
        <v>53016</v>
      </c>
    </row>
    <row r="474" spans="1:17" x14ac:dyDescent="0.25">
      <c r="A474" t="s">
        <v>19</v>
      </c>
      <c r="B474">
        <v>24</v>
      </c>
      <c r="C474">
        <v>1</v>
      </c>
      <c r="D474">
        <v>2012</v>
      </c>
      <c r="E474" t="s">
        <v>29</v>
      </c>
      <c r="F474">
        <v>2012291</v>
      </c>
      <c r="G474">
        <v>2013076</v>
      </c>
      <c r="H474">
        <v>23293</v>
      </c>
      <c r="I474">
        <v>4847</v>
      </c>
      <c r="J474">
        <v>0</v>
      </c>
      <c r="K474">
        <v>697</v>
      </c>
      <c r="L474">
        <v>0</v>
      </c>
      <c r="M474">
        <v>100</v>
      </c>
      <c r="N474">
        <v>15.77857</v>
      </c>
      <c r="O474">
        <v>4.8776789999999997</v>
      </c>
      <c r="P474">
        <v>13.16161</v>
      </c>
      <c r="Q474">
        <v>126034</v>
      </c>
    </row>
    <row r="475" spans="1:17" x14ac:dyDescent="0.25">
      <c r="A475" t="s">
        <v>19</v>
      </c>
      <c r="B475">
        <v>24</v>
      </c>
      <c r="C475">
        <v>1</v>
      </c>
      <c r="D475">
        <v>2013</v>
      </c>
      <c r="E475" t="s">
        <v>29</v>
      </c>
      <c r="F475">
        <v>2013291</v>
      </c>
      <c r="G475">
        <v>2014081</v>
      </c>
      <c r="H475">
        <v>15500</v>
      </c>
      <c r="I475">
        <v>3575</v>
      </c>
      <c r="J475">
        <v>0</v>
      </c>
      <c r="K475">
        <v>413</v>
      </c>
      <c r="L475">
        <v>0</v>
      </c>
      <c r="M475">
        <v>100</v>
      </c>
      <c r="N475">
        <v>17.157730000000001</v>
      </c>
      <c r="O475">
        <v>4.3440909999999997</v>
      </c>
      <c r="P475">
        <v>14.17773</v>
      </c>
      <c r="Q475">
        <v>92946</v>
      </c>
    </row>
    <row r="476" spans="1:17" x14ac:dyDescent="0.25">
      <c r="A476" t="s">
        <v>19</v>
      </c>
      <c r="B476">
        <v>24</v>
      </c>
      <c r="C476">
        <v>1</v>
      </c>
      <c r="D476">
        <v>2014</v>
      </c>
      <c r="E476" t="s">
        <v>29</v>
      </c>
      <c r="F476">
        <v>2014291</v>
      </c>
      <c r="G476">
        <v>2015087</v>
      </c>
      <c r="H476">
        <v>15459</v>
      </c>
      <c r="I476">
        <v>5401</v>
      </c>
      <c r="J476">
        <v>0</v>
      </c>
      <c r="K476">
        <v>453</v>
      </c>
      <c r="L476">
        <v>0</v>
      </c>
      <c r="M476">
        <v>100</v>
      </c>
      <c r="N476">
        <v>18.091519999999999</v>
      </c>
      <c r="O476">
        <v>4.1892839999999998</v>
      </c>
      <c r="P476">
        <v>14.642860000000001</v>
      </c>
      <c r="Q476">
        <v>140438</v>
      </c>
    </row>
    <row r="477" spans="1:17" x14ac:dyDescent="0.25">
      <c r="A477" t="s">
        <v>19</v>
      </c>
      <c r="B477">
        <v>24</v>
      </c>
      <c r="C477">
        <v>1</v>
      </c>
      <c r="D477">
        <v>2015</v>
      </c>
      <c r="E477" t="s">
        <v>29</v>
      </c>
      <c r="F477">
        <v>2015291</v>
      </c>
      <c r="G477">
        <v>2016073</v>
      </c>
      <c r="H477">
        <v>9055</v>
      </c>
      <c r="I477">
        <v>1890</v>
      </c>
      <c r="J477">
        <v>0</v>
      </c>
      <c r="K477">
        <v>360</v>
      </c>
      <c r="L477">
        <v>0</v>
      </c>
      <c r="M477">
        <v>100</v>
      </c>
      <c r="N477">
        <v>17.373539999999998</v>
      </c>
      <c r="O477">
        <v>4.7112080000000001</v>
      </c>
      <c r="P477">
        <v>13.0435</v>
      </c>
      <c r="Q477">
        <v>49146</v>
      </c>
    </row>
    <row r="478" spans="1:17" x14ac:dyDescent="0.25">
      <c r="A478" t="s">
        <v>19</v>
      </c>
      <c r="B478">
        <v>24</v>
      </c>
      <c r="C478">
        <v>1</v>
      </c>
      <c r="D478">
        <v>2016</v>
      </c>
      <c r="E478" t="s">
        <v>29</v>
      </c>
      <c r="F478">
        <v>2016291</v>
      </c>
      <c r="G478">
        <v>2017073</v>
      </c>
      <c r="H478">
        <v>15512</v>
      </c>
      <c r="I478">
        <v>4885</v>
      </c>
      <c r="J478">
        <v>0</v>
      </c>
      <c r="K478">
        <v>380</v>
      </c>
      <c r="L478">
        <v>0</v>
      </c>
      <c r="M478">
        <v>100</v>
      </c>
      <c r="N478">
        <v>18.344799999999999</v>
      </c>
      <c r="O478">
        <v>4.7502259999999996</v>
      </c>
      <c r="P478">
        <v>13.89547</v>
      </c>
      <c r="Q478">
        <v>127016</v>
      </c>
    </row>
    <row r="479" spans="1:17" x14ac:dyDescent="0.25">
      <c r="A479" t="s">
        <v>19</v>
      </c>
      <c r="B479">
        <v>24</v>
      </c>
      <c r="C479">
        <v>1</v>
      </c>
      <c r="D479">
        <v>2017</v>
      </c>
      <c r="E479" t="s">
        <v>29</v>
      </c>
      <c r="F479">
        <v>2017291</v>
      </c>
      <c r="G479">
        <v>2018087</v>
      </c>
      <c r="H479">
        <v>12563</v>
      </c>
      <c r="I479">
        <v>2189</v>
      </c>
      <c r="J479">
        <v>0</v>
      </c>
      <c r="K479">
        <v>496</v>
      </c>
      <c r="L479">
        <v>0</v>
      </c>
      <c r="M479">
        <v>100</v>
      </c>
      <c r="N479">
        <v>16.695499999999999</v>
      </c>
      <c r="O479">
        <v>3.7788279999999999</v>
      </c>
      <c r="P479">
        <v>13.92207</v>
      </c>
      <c r="Q479">
        <v>56910</v>
      </c>
    </row>
    <row r="480" spans="1:17" x14ac:dyDescent="0.25">
      <c r="A480" t="s">
        <v>19</v>
      </c>
      <c r="B480">
        <v>24</v>
      </c>
      <c r="C480">
        <v>1</v>
      </c>
      <c r="D480">
        <v>2018</v>
      </c>
      <c r="E480" t="s">
        <v>29</v>
      </c>
      <c r="F480">
        <v>2018291</v>
      </c>
      <c r="G480">
        <v>2019072</v>
      </c>
      <c r="H480">
        <v>13334</v>
      </c>
      <c r="I480">
        <v>3661</v>
      </c>
      <c r="J480">
        <v>0</v>
      </c>
      <c r="K480">
        <v>308</v>
      </c>
      <c r="L480">
        <v>0</v>
      </c>
      <c r="M480">
        <v>100</v>
      </c>
      <c r="N480">
        <v>18.499110000000002</v>
      </c>
      <c r="O480">
        <v>3.6376680000000001</v>
      </c>
      <c r="P480">
        <v>14.92197</v>
      </c>
      <c r="Q480">
        <v>95185</v>
      </c>
    </row>
    <row r="481" spans="1:17" x14ac:dyDescent="0.25">
      <c r="A481" t="s">
        <v>19</v>
      </c>
      <c r="B481">
        <v>24</v>
      </c>
      <c r="C481">
        <v>1</v>
      </c>
      <c r="D481">
        <v>2019</v>
      </c>
      <c r="E481" t="s">
        <v>29</v>
      </c>
      <c r="F481">
        <v>2019291</v>
      </c>
      <c r="G481">
        <v>2020059</v>
      </c>
      <c r="H481">
        <v>11136</v>
      </c>
      <c r="I481">
        <v>2551</v>
      </c>
      <c r="J481">
        <v>0</v>
      </c>
      <c r="K481">
        <v>348</v>
      </c>
      <c r="L481">
        <v>0</v>
      </c>
      <c r="M481">
        <v>100</v>
      </c>
      <c r="N481">
        <v>18.09638</v>
      </c>
      <c r="O481">
        <v>5.7656090000000004</v>
      </c>
      <c r="P481">
        <v>13.350680000000001</v>
      </c>
      <c r="Q481">
        <v>66337</v>
      </c>
    </row>
    <row r="482" spans="1:17" x14ac:dyDescent="0.25">
      <c r="A482" t="s">
        <v>19</v>
      </c>
      <c r="B482">
        <v>25</v>
      </c>
      <c r="C482">
        <v>1.02</v>
      </c>
      <c r="D482">
        <v>2000</v>
      </c>
      <c r="E482" t="s">
        <v>28</v>
      </c>
      <c r="F482">
        <v>2000291</v>
      </c>
      <c r="G482">
        <v>2001077</v>
      </c>
      <c r="H482">
        <v>24299</v>
      </c>
      <c r="I482">
        <v>3752</v>
      </c>
      <c r="J482">
        <v>50</v>
      </c>
      <c r="K482">
        <v>671</v>
      </c>
      <c r="L482">
        <v>0</v>
      </c>
      <c r="M482">
        <v>125</v>
      </c>
      <c r="N482">
        <v>17.139279999999999</v>
      </c>
      <c r="O482">
        <v>5.53125</v>
      </c>
      <c r="P482">
        <v>14.51563</v>
      </c>
      <c r="Q482">
        <v>120054</v>
      </c>
    </row>
    <row r="483" spans="1:17" x14ac:dyDescent="0.25">
      <c r="A483" t="s">
        <v>19</v>
      </c>
      <c r="B483">
        <v>25</v>
      </c>
      <c r="C483">
        <v>1.02</v>
      </c>
      <c r="D483">
        <v>2001</v>
      </c>
      <c r="E483" t="s">
        <v>28</v>
      </c>
      <c r="F483">
        <v>2001291</v>
      </c>
      <c r="G483">
        <v>2002082</v>
      </c>
      <c r="H483">
        <v>21642</v>
      </c>
      <c r="I483">
        <v>3978</v>
      </c>
      <c r="J483">
        <v>50</v>
      </c>
      <c r="K483">
        <v>506</v>
      </c>
      <c r="L483">
        <v>0</v>
      </c>
      <c r="M483">
        <v>125</v>
      </c>
      <c r="N483">
        <v>17.235420000000001</v>
      </c>
      <c r="O483">
        <v>4.3856510000000002</v>
      </c>
      <c r="P483">
        <v>15.25605</v>
      </c>
      <c r="Q483">
        <v>127292</v>
      </c>
    </row>
    <row r="484" spans="1:17" x14ac:dyDescent="0.25">
      <c r="A484" t="s">
        <v>19</v>
      </c>
      <c r="B484">
        <v>25</v>
      </c>
      <c r="C484">
        <v>1.02</v>
      </c>
      <c r="D484">
        <v>2002</v>
      </c>
      <c r="E484" t="s">
        <v>28</v>
      </c>
      <c r="F484">
        <v>2002291</v>
      </c>
      <c r="G484">
        <v>2003076</v>
      </c>
      <c r="H484">
        <v>21603</v>
      </c>
      <c r="I484">
        <v>3957</v>
      </c>
      <c r="J484">
        <v>50</v>
      </c>
      <c r="K484">
        <v>446</v>
      </c>
      <c r="L484">
        <v>0</v>
      </c>
      <c r="M484">
        <v>125</v>
      </c>
      <c r="N484">
        <v>17.068619999999999</v>
      </c>
      <c r="O484">
        <v>5.4520189999999999</v>
      </c>
      <c r="P484">
        <v>14.77802</v>
      </c>
      <c r="Q484">
        <v>126616</v>
      </c>
    </row>
    <row r="485" spans="1:17" x14ac:dyDescent="0.25">
      <c r="A485" t="s">
        <v>19</v>
      </c>
      <c r="B485">
        <v>25</v>
      </c>
      <c r="C485">
        <v>1.02</v>
      </c>
      <c r="D485">
        <v>2003</v>
      </c>
      <c r="E485" t="s">
        <v>28</v>
      </c>
      <c r="F485">
        <v>2003291</v>
      </c>
      <c r="G485">
        <v>2004067</v>
      </c>
      <c r="H485">
        <v>27335</v>
      </c>
      <c r="I485">
        <v>3494</v>
      </c>
      <c r="J485">
        <v>50</v>
      </c>
      <c r="K485">
        <v>795</v>
      </c>
      <c r="L485">
        <v>0</v>
      </c>
      <c r="M485">
        <v>125</v>
      </c>
      <c r="N485">
        <v>15.84619</v>
      </c>
      <c r="O485">
        <v>5.2533630000000002</v>
      </c>
      <c r="P485">
        <v>13.878030000000001</v>
      </c>
      <c r="Q485">
        <v>111810</v>
      </c>
    </row>
    <row r="486" spans="1:17" x14ac:dyDescent="0.25">
      <c r="A486" t="s">
        <v>19</v>
      </c>
      <c r="B486">
        <v>25</v>
      </c>
      <c r="C486">
        <v>1.02</v>
      </c>
      <c r="D486">
        <v>2004</v>
      </c>
      <c r="E486" t="s">
        <v>28</v>
      </c>
      <c r="F486">
        <v>2004291</v>
      </c>
      <c r="G486">
        <v>2005090</v>
      </c>
      <c r="H486">
        <v>14199</v>
      </c>
      <c r="I486">
        <v>2940</v>
      </c>
      <c r="J486">
        <v>50</v>
      </c>
      <c r="K486">
        <v>306</v>
      </c>
      <c r="L486">
        <v>0</v>
      </c>
      <c r="M486">
        <v>125</v>
      </c>
      <c r="N486">
        <v>17.34843</v>
      </c>
      <c r="O486">
        <v>3.4116599999999999</v>
      </c>
      <c r="P486">
        <v>16.02826</v>
      </c>
      <c r="Q486">
        <v>94090</v>
      </c>
    </row>
    <row r="487" spans="1:17" x14ac:dyDescent="0.25">
      <c r="A487" t="s">
        <v>19</v>
      </c>
      <c r="B487">
        <v>25</v>
      </c>
      <c r="C487">
        <v>1.02</v>
      </c>
      <c r="D487">
        <v>2005</v>
      </c>
      <c r="E487" t="s">
        <v>28</v>
      </c>
      <c r="F487">
        <v>2005291</v>
      </c>
      <c r="G487">
        <v>2006086</v>
      </c>
      <c r="H487">
        <v>10104</v>
      </c>
      <c r="I487">
        <v>1816</v>
      </c>
      <c r="J487">
        <v>50</v>
      </c>
      <c r="K487">
        <v>297</v>
      </c>
      <c r="L487">
        <v>0</v>
      </c>
      <c r="M487">
        <v>125</v>
      </c>
      <c r="N487">
        <v>17.329280000000001</v>
      </c>
      <c r="O487">
        <v>4.844144</v>
      </c>
      <c r="P487">
        <v>14.825670000000001</v>
      </c>
      <c r="Q487">
        <v>58126</v>
      </c>
    </row>
    <row r="488" spans="1:17" x14ac:dyDescent="0.25">
      <c r="A488" t="s">
        <v>19</v>
      </c>
      <c r="B488">
        <v>25</v>
      </c>
      <c r="C488">
        <v>1.02</v>
      </c>
      <c r="D488">
        <v>2006</v>
      </c>
      <c r="E488" t="s">
        <v>28</v>
      </c>
      <c r="F488">
        <v>2006291</v>
      </c>
      <c r="G488">
        <v>2007080</v>
      </c>
      <c r="H488">
        <v>24601</v>
      </c>
      <c r="I488">
        <v>4597</v>
      </c>
      <c r="J488">
        <v>50</v>
      </c>
      <c r="K488">
        <v>598</v>
      </c>
      <c r="L488">
        <v>0</v>
      </c>
      <c r="M488">
        <v>125</v>
      </c>
      <c r="N488">
        <v>16.528700000000001</v>
      </c>
      <c r="O488">
        <v>5.3461889999999999</v>
      </c>
      <c r="P488">
        <v>13.143050000000001</v>
      </c>
      <c r="Q488">
        <v>147112</v>
      </c>
    </row>
    <row r="489" spans="1:17" x14ac:dyDescent="0.25">
      <c r="A489" t="s">
        <v>19</v>
      </c>
      <c r="B489">
        <v>25</v>
      </c>
      <c r="C489">
        <v>1.02</v>
      </c>
      <c r="D489">
        <v>2007</v>
      </c>
      <c r="E489" t="s">
        <v>28</v>
      </c>
      <c r="F489">
        <v>2007291</v>
      </c>
      <c r="G489">
        <v>2008071</v>
      </c>
      <c r="H489">
        <v>15559</v>
      </c>
      <c r="I489">
        <v>2390</v>
      </c>
      <c r="J489">
        <v>50</v>
      </c>
      <c r="K489">
        <v>489</v>
      </c>
      <c r="L489">
        <v>0</v>
      </c>
      <c r="M489">
        <v>125</v>
      </c>
      <c r="N489">
        <v>17.407630000000001</v>
      </c>
      <c r="O489">
        <v>4.0923769999999999</v>
      </c>
      <c r="P489">
        <v>14.002689999999999</v>
      </c>
      <c r="Q489">
        <v>76477</v>
      </c>
    </row>
    <row r="490" spans="1:17" x14ac:dyDescent="0.25">
      <c r="A490" t="s">
        <v>19</v>
      </c>
      <c r="B490">
        <v>25</v>
      </c>
      <c r="C490">
        <v>1.02</v>
      </c>
      <c r="D490">
        <v>2008</v>
      </c>
      <c r="E490" t="s">
        <v>28</v>
      </c>
      <c r="F490">
        <v>2008291</v>
      </c>
      <c r="G490">
        <v>2009085</v>
      </c>
      <c r="H490">
        <v>21094</v>
      </c>
      <c r="I490">
        <v>4533</v>
      </c>
      <c r="J490">
        <v>50</v>
      </c>
      <c r="K490">
        <v>442</v>
      </c>
      <c r="L490">
        <v>0</v>
      </c>
      <c r="M490">
        <v>125</v>
      </c>
      <c r="N490">
        <v>16.637049999999999</v>
      </c>
      <c r="O490">
        <v>3.737053</v>
      </c>
      <c r="P490">
        <v>14.25</v>
      </c>
      <c r="Q490">
        <v>145052</v>
      </c>
    </row>
    <row r="491" spans="1:17" x14ac:dyDescent="0.25">
      <c r="A491" t="s">
        <v>19</v>
      </c>
      <c r="B491">
        <v>25</v>
      </c>
      <c r="C491">
        <v>1.02</v>
      </c>
      <c r="D491">
        <v>2009</v>
      </c>
      <c r="E491" t="s">
        <v>28</v>
      </c>
      <c r="F491">
        <v>2009291</v>
      </c>
      <c r="G491">
        <v>2010077</v>
      </c>
      <c r="H491">
        <v>13705</v>
      </c>
      <c r="I491">
        <v>1814</v>
      </c>
      <c r="J491">
        <v>50</v>
      </c>
      <c r="K491">
        <v>797</v>
      </c>
      <c r="L491">
        <v>0</v>
      </c>
      <c r="M491">
        <v>125</v>
      </c>
      <c r="N491">
        <v>16.71855</v>
      </c>
      <c r="O491">
        <v>5.9461560000000002</v>
      </c>
      <c r="P491">
        <v>13.622170000000001</v>
      </c>
      <c r="Q491">
        <v>58057</v>
      </c>
    </row>
    <row r="492" spans="1:17" x14ac:dyDescent="0.25">
      <c r="A492" t="s">
        <v>19</v>
      </c>
      <c r="B492">
        <v>25</v>
      </c>
      <c r="C492">
        <v>1.02</v>
      </c>
      <c r="D492">
        <v>2010</v>
      </c>
      <c r="E492" t="s">
        <v>29</v>
      </c>
      <c r="F492">
        <v>2010291</v>
      </c>
      <c r="G492">
        <v>2011077</v>
      </c>
      <c r="H492">
        <v>20788</v>
      </c>
      <c r="I492">
        <v>4876</v>
      </c>
      <c r="J492">
        <v>50</v>
      </c>
      <c r="K492">
        <v>808</v>
      </c>
      <c r="L492">
        <v>0</v>
      </c>
      <c r="M492">
        <v>125</v>
      </c>
      <c r="N492">
        <v>17.09328</v>
      </c>
      <c r="O492">
        <v>5.661435</v>
      </c>
      <c r="P492">
        <v>12.922879999999999</v>
      </c>
      <c r="Q492">
        <v>156036</v>
      </c>
    </row>
    <row r="493" spans="1:17" x14ac:dyDescent="0.25">
      <c r="A493" t="s">
        <v>19</v>
      </c>
      <c r="B493">
        <v>25</v>
      </c>
      <c r="C493">
        <v>1.02</v>
      </c>
      <c r="D493">
        <v>2011</v>
      </c>
      <c r="E493" t="s">
        <v>29</v>
      </c>
      <c r="F493">
        <v>2011291</v>
      </c>
      <c r="G493">
        <v>2012091</v>
      </c>
      <c r="H493">
        <v>16945</v>
      </c>
      <c r="I493">
        <v>3514</v>
      </c>
      <c r="J493">
        <v>50</v>
      </c>
      <c r="K493">
        <v>281</v>
      </c>
      <c r="L493">
        <v>0</v>
      </c>
      <c r="M493">
        <v>125</v>
      </c>
      <c r="N493">
        <v>17.262450000000001</v>
      </c>
      <c r="O493">
        <v>2.9497740000000001</v>
      </c>
      <c r="P493">
        <v>14.50995</v>
      </c>
      <c r="Q493">
        <v>112458</v>
      </c>
    </row>
    <row r="494" spans="1:17" x14ac:dyDescent="0.25">
      <c r="A494" t="s">
        <v>19</v>
      </c>
      <c r="B494">
        <v>25</v>
      </c>
      <c r="C494">
        <v>1.02</v>
      </c>
      <c r="D494">
        <v>2012</v>
      </c>
      <c r="E494" t="s">
        <v>29</v>
      </c>
      <c r="F494">
        <v>2012291</v>
      </c>
      <c r="G494">
        <v>2013076</v>
      </c>
      <c r="H494">
        <v>23286</v>
      </c>
      <c r="I494">
        <v>4845</v>
      </c>
      <c r="J494">
        <v>50</v>
      </c>
      <c r="K494">
        <v>697</v>
      </c>
      <c r="L494">
        <v>0</v>
      </c>
      <c r="M494">
        <v>125</v>
      </c>
      <c r="N494">
        <v>15.77857</v>
      </c>
      <c r="O494">
        <v>4.8776789999999997</v>
      </c>
      <c r="P494">
        <v>13.16161</v>
      </c>
      <c r="Q494">
        <v>155028</v>
      </c>
    </row>
    <row r="495" spans="1:17" x14ac:dyDescent="0.25">
      <c r="A495" t="s">
        <v>19</v>
      </c>
      <c r="B495">
        <v>25</v>
      </c>
      <c r="C495">
        <v>1.02</v>
      </c>
      <c r="D495">
        <v>2013</v>
      </c>
      <c r="E495" t="s">
        <v>29</v>
      </c>
      <c r="F495">
        <v>2013291</v>
      </c>
      <c r="G495">
        <v>2014081</v>
      </c>
      <c r="H495">
        <v>19942</v>
      </c>
      <c r="I495">
        <v>4902</v>
      </c>
      <c r="J495">
        <v>50</v>
      </c>
      <c r="K495">
        <v>413</v>
      </c>
      <c r="L495">
        <v>0</v>
      </c>
      <c r="M495">
        <v>125</v>
      </c>
      <c r="N495">
        <v>17.157730000000001</v>
      </c>
      <c r="O495">
        <v>4.3440909999999997</v>
      </c>
      <c r="P495">
        <v>14.17773</v>
      </c>
      <c r="Q495">
        <v>156870</v>
      </c>
    </row>
    <row r="496" spans="1:17" x14ac:dyDescent="0.25">
      <c r="A496" t="s">
        <v>19</v>
      </c>
      <c r="B496">
        <v>25</v>
      </c>
      <c r="C496">
        <v>1.02</v>
      </c>
      <c r="D496">
        <v>2014</v>
      </c>
      <c r="E496" t="s">
        <v>29</v>
      </c>
      <c r="F496">
        <v>2014291</v>
      </c>
      <c r="G496">
        <v>2015087</v>
      </c>
      <c r="H496">
        <v>18625</v>
      </c>
      <c r="I496">
        <v>5462</v>
      </c>
      <c r="J496">
        <v>50</v>
      </c>
      <c r="K496">
        <v>453</v>
      </c>
      <c r="L496">
        <v>0</v>
      </c>
      <c r="M496">
        <v>125</v>
      </c>
      <c r="N496">
        <v>18.091519999999999</v>
      </c>
      <c r="O496">
        <v>4.1892839999999998</v>
      </c>
      <c r="P496">
        <v>14.642860000000001</v>
      </c>
      <c r="Q496">
        <v>174794</v>
      </c>
    </row>
    <row r="497" spans="1:17" x14ac:dyDescent="0.25">
      <c r="A497" t="s">
        <v>19</v>
      </c>
      <c r="B497">
        <v>25</v>
      </c>
      <c r="C497">
        <v>1.02</v>
      </c>
      <c r="D497">
        <v>2015</v>
      </c>
      <c r="E497" t="s">
        <v>29</v>
      </c>
      <c r="F497">
        <v>2015291</v>
      </c>
      <c r="G497">
        <v>2016073</v>
      </c>
      <c r="H497">
        <v>11053</v>
      </c>
      <c r="I497">
        <v>1921</v>
      </c>
      <c r="J497">
        <v>50</v>
      </c>
      <c r="K497">
        <v>360</v>
      </c>
      <c r="L497">
        <v>0</v>
      </c>
      <c r="M497">
        <v>125</v>
      </c>
      <c r="N497">
        <v>17.373539999999998</v>
      </c>
      <c r="O497">
        <v>4.7112080000000001</v>
      </c>
      <c r="P497">
        <v>13.0435</v>
      </c>
      <c r="Q497">
        <v>61467</v>
      </c>
    </row>
    <row r="498" spans="1:17" x14ac:dyDescent="0.25">
      <c r="A498" t="s">
        <v>19</v>
      </c>
      <c r="B498">
        <v>25</v>
      </c>
      <c r="C498">
        <v>1.02</v>
      </c>
      <c r="D498">
        <v>2016</v>
      </c>
      <c r="E498" t="s">
        <v>29</v>
      </c>
      <c r="F498">
        <v>2016291</v>
      </c>
      <c r="G498">
        <v>2017073</v>
      </c>
      <c r="H498">
        <v>19409</v>
      </c>
      <c r="I498">
        <v>4909</v>
      </c>
      <c r="J498">
        <v>50</v>
      </c>
      <c r="K498">
        <v>380</v>
      </c>
      <c r="L498">
        <v>0</v>
      </c>
      <c r="M498">
        <v>125</v>
      </c>
      <c r="N498">
        <v>18.344799999999999</v>
      </c>
      <c r="O498">
        <v>4.7502259999999996</v>
      </c>
      <c r="P498">
        <v>13.89547</v>
      </c>
      <c r="Q498">
        <v>157091</v>
      </c>
    </row>
    <row r="499" spans="1:17" x14ac:dyDescent="0.25">
      <c r="A499" t="s">
        <v>19</v>
      </c>
      <c r="B499">
        <v>25</v>
      </c>
      <c r="C499">
        <v>1.02</v>
      </c>
      <c r="D499">
        <v>2017</v>
      </c>
      <c r="E499" t="s">
        <v>29</v>
      </c>
      <c r="F499">
        <v>2017291</v>
      </c>
      <c r="G499">
        <v>2018087</v>
      </c>
      <c r="H499">
        <v>12123</v>
      </c>
      <c r="I499">
        <v>2112</v>
      </c>
      <c r="J499">
        <v>50</v>
      </c>
      <c r="K499">
        <v>496</v>
      </c>
      <c r="L499">
        <v>0</v>
      </c>
      <c r="M499">
        <v>125</v>
      </c>
      <c r="N499">
        <v>16.695499999999999</v>
      </c>
      <c r="O499">
        <v>3.7788279999999999</v>
      </c>
      <c r="P499">
        <v>13.92207</v>
      </c>
      <c r="Q499">
        <v>67572</v>
      </c>
    </row>
    <row r="500" spans="1:17" x14ac:dyDescent="0.25">
      <c r="A500" t="s">
        <v>19</v>
      </c>
      <c r="B500">
        <v>25</v>
      </c>
      <c r="C500">
        <v>1.02</v>
      </c>
      <c r="D500">
        <v>2018</v>
      </c>
      <c r="E500" t="s">
        <v>29</v>
      </c>
      <c r="F500">
        <v>2018291</v>
      </c>
      <c r="G500">
        <v>2019072</v>
      </c>
      <c r="H500">
        <v>17816</v>
      </c>
      <c r="I500">
        <v>4083</v>
      </c>
      <c r="J500">
        <v>50</v>
      </c>
      <c r="K500">
        <v>308</v>
      </c>
      <c r="L500">
        <v>0</v>
      </c>
      <c r="M500">
        <v>125</v>
      </c>
      <c r="N500">
        <v>18.499110000000002</v>
      </c>
      <c r="O500">
        <v>3.6376680000000001</v>
      </c>
      <c r="P500">
        <v>14.92197</v>
      </c>
      <c r="Q500">
        <v>130644</v>
      </c>
    </row>
    <row r="501" spans="1:17" x14ac:dyDescent="0.25">
      <c r="A501" t="s">
        <v>19</v>
      </c>
      <c r="B501">
        <v>25</v>
      </c>
      <c r="C501">
        <v>1.02</v>
      </c>
      <c r="D501">
        <v>2019</v>
      </c>
      <c r="E501" t="s">
        <v>29</v>
      </c>
      <c r="F501">
        <v>2019291</v>
      </c>
      <c r="G501">
        <v>2020059</v>
      </c>
      <c r="H501">
        <v>11721</v>
      </c>
      <c r="I501">
        <v>2583</v>
      </c>
      <c r="J501">
        <v>50</v>
      </c>
      <c r="K501">
        <v>348</v>
      </c>
      <c r="L501">
        <v>0</v>
      </c>
      <c r="M501">
        <v>125</v>
      </c>
      <c r="N501">
        <v>18.09638</v>
      </c>
      <c r="O501">
        <v>5.7656090000000004</v>
      </c>
      <c r="P501">
        <v>13.350680000000001</v>
      </c>
      <c r="Q501">
        <v>82653</v>
      </c>
    </row>
    <row r="502" spans="1:17" x14ac:dyDescent="0.25">
      <c r="A502" t="s">
        <v>19</v>
      </c>
      <c r="B502">
        <v>26</v>
      </c>
      <c r="C502">
        <v>0.82</v>
      </c>
      <c r="D502">
        <v>2000</v>
      </c>
      <c r="E502" t="s">
        <v>28</v>
      </c>
      <c r="F502">
        <v>2000291</v>
      </c>
      <c r="G502">
        <v>2001077</v>
      </c>
      <c r="H502">
        <v>22486</v>
      </c>
      <c r="I502">
        <v>3672</v>
      </c>
      <c r="J502">
        <v>50</v>
      </c>
      <c r="K502">
        <v>671</v>
      </c>
      <c r="L502">
        <v>0</v>
      </c>
      <c r="M502">
        <v>100</v>
      </c>
      <c r="N502">
        <v>17.139279999999999</v>
      </c>
      <c r="O502">
        <v>5.53125</v>
      </c>
      <c r="P502">
        <v>14.51563</v>
      </c>
      <c r="Q502">
        <v>117497</v>
      </c>
    </row>
    <row r="503" spans="1:17" x14ac:dyDescent="0.25">
      <c r="A503" t="s">
        <v>19</v>
      </c>
      <c r="B503">
        <v>26</v>
      </c>
      <c r="C503">
        <v>0.82</v>
      </c>
      <c r="D503">
        <v>2001</v>
      </c>
      <c r="E503" t="s">
        <v>28</v>
      </c>
      <c r="F503">
        <v>2001291</v>
      </c>
      <c r="G503">
        <v>2002082</v>
      </c>
      <c r="H503">
        <v>20577</v>
      </c>
      <c r="I503">
        <v>3652</v>
      </c>
      <c r="J503">
        <v>50</v>
      </c>
      <c r="K503">
        <v>506</v>
      </c>
      <c r="L503">
        <v>0</v>
      </c>
      <c r="M503">
        <v>100</v>
      </c>
      <c r="N503">
        <v>17.235420000000001</v>
      </c>
      <c r="O503">
        <v>4.3856510000000002</v>
      </c>
      <c r="P503">
        <v>15.25605</v>
      </c>
      <c r="Q503">
        <v>116860</v>
      </c>
    </row>
    <row r="504" spans="1:17" x14ac:dyDescent="0.25">
      <c r="A504" t="s">
        <v>19</v>
      </c>
      <c r="B504">
        <v>26</v>
      </c>
      <c r="C504">
        <v>0.82</v>
      </c>
      <c r="D504">
        <v>2002</v>
      </c>
      <c r="E504" t="s">
        <v>28</v>
      </c>
      <c r="F504">
        <v>2002291</v>
      </c>
      <c r="G504">
        <v>2003076</v>
      </c>
      <c r="H504">
        <v>20455</v>
      </c>
      <c r="I504">
        <v>3619</v>
      </c>
      <c r="J504">
        <v>50</v>
      </c>
      <c r="K504">
        <v>446</v>
      </c>
      <c r="L504">
        <v>0</v>
      </c>
      <c r="M504">
        <v>100</v>
      </c>
      <c r="N504">
        <v>17.068619999999999</v>
      </c>
      <c r="O504">
        <v>5.4520189999999999</v>
      </c>
      <c r="P504">
        <v>14.77802</v>
      </c>
      <c r="Q504">
        <v>115806</v>
      </c>
    </row>
    <row r="505" spans="1:17" x14ac:dyDescent="0.25">
      <c r="A505" t="s">
        <v>19</v>
      </c>
      <c r="B505">
        <v>26</v>
      </c>
      <c r="C505">
        <v>0.82</v>
      </c>
      <c r="D505">
        <v>2003</v>
      </c>
      <c r="E505" t="s">
        <v>28</v>
      </c>
      <c r="F505">
        <v>2003291</v>
      </c>
      <c r="G505">
        <v>2004067</v>
      </c>
      <c r="H505">
        <v>26621</v>
      </c>
      <c r="I505">
        <v>3323</v>
      </c>
      <c r="J505">
        <v>50</v>
      </c>
      <c r="K505">
        <v>795</v>
      </c>
      <c r="L505">
        <v>0</v>
      </c>
      <c r="M505">
        <v>100</v>
      </c>
      <c r="N505">
        <v>15.84619</v>
      </c>
      <c r="O505">
        <v>5.2533630000000002</v>
      </c>
      <c r="P505">
        <v>13.878030000000001</v>
      </c>
      <c r="Q505">
        <v>106338</v>
      </c>
    </row>
    <row r="506" spans="1:17" x14ac:dyDescent="0.25">
      <c r="A506" t="s">
        <v>19</v>
      </c>
      <c r="B506">
        <v>26</v>
      </c>
      <c r="C506">
        <v>0.82</v>
      </c>
      <c r="D506">
        <v>2004</v>
      </c>
      <c r="E506" t="s">
        <v>28</v>
      </c>
      <c r="F506">
        <v>2004291</v>
      </c>
      <c r="G506">
        <v>2005090</v>
      </c>
      <c r="H506">
        <v>12190</v>
      </c>
      <c r="I506">
        <v>2484</v>
      </c>
      <c r="J506">
        <v>50</v>
      </c>
      <c r="K506">
        <v>306</v>
      </c>
      <c r="L506">
        <v>0</v>
      </c>
      <c r="M506">
        <v>100</v>
      </c>
      <c r="N506">
        <v>17.34843</v>
      </c>
      <c r="O506">
        <v>3.4116599999999999</v>
      </c>
      <c r="P506">
        <v>16.02826</v>
      </c>
      <c r="Q506">
        <v>79494</v>
      </c>
    </row>
    <row r="507" spans="1:17" x14ac:dyDescent="0.25">
      <c r="A507" t="s">
        <v>19</v>
      </c>
      <c r="B507">
        <v>26</v>
      </c>
      <c r="C507">
        <v>0.82</v>
      </c>
      <c r="D507">
        <v>2005</v>
      </c>
      <c r="E507" t="s">
        <v>28</v>
      </c>
      <c r="F507">
        <v>2005291</v>
      </c>
      <c r="G507">
        <v>2006086</v>
      </c>
      <c r="H507">
        <v>9989</v>
      </c>
      <c r="I507">
        <v>1788</v>
      </c>
      <c r="J507">
        <v>50</v>
      </c>
      <c r="K507">
        <v>297</v>
      </c>
      <c r="L507">
        <v>0</v>
      </c>
      <c r="M507">
        <v>100</v>
      </c>
      <c r="N507">
        <v>17.329280000000001</v>
      </c>
      <c r="O507">
        <v>4.844144</v>
      </c>
      <c r="P507">
        <v>14.825670000000001</v>
      </c>
      <c r="Q507">
        <v>57206</v>
      </c>
    </row>
    <row r="508" spans="1:17" x14ac:dyDescent="0.25">
      <c r="A508" t="s">
        <v>19</v>
      </c>
      <c r="B508">
        <v>26</v>
      </c>
      <c r="C508">
        <v>0.82</v>
      </c>
      <c r="D508">
        <v>2006</v>
      </c>
      <c r="E508" t="s">
        <v>28</v>
      </c>
      <c r="F508">
        <v>2006291</v>
      </c>
      <c r="G508">
        <v>2007080</v>
      </c>
      <c r="H508">
        <v>23929</v>
      </c>
      <c r="I508">
        <v>4459</v>
      </c>
      <c r="J508">
        <v>50</v>
      </c>
      <c r="K508">
        <v>598</v>
      </c>
      <c r="L508">
        <v>0</v>
      </c>
      <c r="M508">
        <v>100</v>
      </c>
      <c r="N508">
        <v>16.528700000000001</v>
      </c>
      <c r="O508">
        <v>5.3461889999999999</v>
      </c>
      <c r="P508">
        <v>13.143050000000001</v>
      </c>
      <c r="Q508">
        <v>142696</v>
      </c>
    </row>
    <row r="509" spans="1:17" x14ac:dyDescent="0.25">
      <c r="A509" t="s">
        <v>19</v>
      </c>
      <c r="B509">
        <v>26</v>
      </c>
      <c r="C509">
        <v>0.82</v>
      </c>
      <c r="D509">
        <v>2007</v>
      </c>
      <c r="E509" t="s">
        <v>28</v>
      </c>
      <c r="F509">
        <v>2007291</v>
      </c>
      <c r="G509">
        <v>2008071</v>
      </c>
      <c r="H509">
        <v>15197</v>
      </c>
      <c r="I509">
        <v>2368</v>
      </c>
      <c r="J509">
        <v>50</v>
      </c>
      <c r="K509">
        <v>489</v>
      </c>
      <c r="L509">
        <v>0</v>
      </c>
      <c r="M509">
        <v>100</v>
      </c>
      <c r="N509">
        <v>17.407630000000001</v>
      </c>
      <c r="O509">
        <v>4.0923769999999999</v>
      </c>
      <c r="P509">
        <v>14.002689999999999</v>
      </c>
      <c r="Q509">
        <v>75769</v>
      </c>
    </row>
    <row r="510" spans="1:17" x14ac:dyDescent="0.25">
      <c r="A510" t="s">
        <v>19</v>
      </c>
      <c r="B510">
        <v>26</v>
      </c>
      <c r="C510">
        <v>0.82</v>
      </c>
      <c r="D510">
        <v>2008</v>
      </c>
      <c r="E510" t="s">
        <v>28</v>
      </c>
      <c r="F510">
        <v>2008291</v>
      </c>
      <c r="G510">
        <v>2009085</v>
      </c>
      <c r="H510">
        <v>21070</v>
      </c>
      <c r="I510">
        <v>4521</v>
      </c>
      <c r="J510">
        <v>50</v>
      </c>
      <c r="K510">
        <v>442</v>
      </c>
      <c r="L510">
        <v>0</v>
      </c>
      <c r="M510">
        <v>100</v>
      </c>
      <c r="N510">
        <v>16.637049999999999</v>
      </c>
      <c r="O510">
        <v>3.737053</v>
      </c>
      <c r="P510">
        <v>14.25</v>
      </c>
      <c r="Q510">
        <v>144665</v>
      </c>
    </row>
    <row r="511" spans="1:17" x14ac:dyDescent="0.25">
      <c r="A511" t="s">
        <v>19</v>
      </c>
      <c r="B511">
        <v>26</v>
      </c>
      <c r="C511">
        <v>0.82</v>
      </c>
      <c r="D511">
        <v>2009</v>
      </c>
      <c r="E511" t="s">
        <v>28</v>
      </c>
      <c r="F511">
        <v>2009291</v>
      </c>
      <c r="G511">
        <v>2010077</v>
      </c>
      <c r="H511">
        <v>12047</v>
      </c>
      <c r="I511">
        <v>1552</v>
      </c>
      <c r="J511">
        <v>50</v>
      </c>
      <c r="K511">
        <v>797</v>
      </c>
      <c r="L511">
        <v>0</v>
      </c>
      <c r="M511">
        <v>100</v>
      </c>
      <c r="N511">
        <v>16.71855</v>
      </c>
      <c r="O511">
        <v>5.9461560000000002</v>
      </c>
      <c r="P511">
        <v>13.622170000000001</v>
      </c>
      <c r="Q511">
        <v>49664</v>
      </c>
    </row>
    <row r="512" spans="1:17" x14ac:dyDescent="0.25">
      <c r="A512" t="s">
        <v>19</v>
      </c>
      <c r="B512">
        <v>26</v>
      </c>
      <c r="C512">
        <v>0.82</v>
      </c>
      <c r="D512">
        <v>2010</v>
      </c>
      <c r="E512" t="s">
        <v>29</v>
      </c>
      <c r="F512">
        <v>2010291</v>
      </c>
      <c r="G512">
        <v>2011077</v>
      </c>
      <c r="H512">
        <v>19192</v>
      </c>
      <c r="I512">
        <v>4732</v>
      </c>
      <c r="J512">
        <v>50</v>
      </c>
      <c r="K512">
        <v>808</v>
      </c>
      <c r="L512">
        <v>0</v>
      </c>
      <c r="M512">
        <v>100</v>
      </c>
      <c r="N512">
        <v>17.09328</v>
      </c>
      <c r="O512">
        <v>5.661435</v>
      </c>
      <c r="P512">
        <v>12.922879999999999</v>
      </c>
      <c r="Q512">
        <v>151411</v>
      </c>
    </row>
    <row r="513" spans="1:17" x14ac:dyDescent="0.25">
      <c r="A513" t="s">
        <v>19</v>
      </c>
      <c r="B513">
        <v>26</v>
      </c>
      <c r="C513">
        <v>0.82</v>
      </c>
      <c r="D513">
        <v>2011</v>
      </c>
      <c r="E513" t="s">
        <v>29</v>
      </c>
      <c r="F513">
        <v>2011291</v>
      </c>
      <c r="G513">
        <v>2012091</v>
      </c>
      <c r="H513">
        <v>14776</v>
      </c>
      <c r="I513">
        <v>2821</v>
      </c>
      <c r="J513">
        <v>50</v>
      </c>
      <c r="K513">
        <v>281</v>
      </c>
      <c r="L513">
        <v>0</v>
      </c>
      <c r="M513">
        <v>100</v>
      </c>
      <c r="N513">
        <v>17.262450000000001</v>
      </c>
      <c r="O513">
        <v>2.9497740000000001</v>
      </c>
      <c r="P513">
        <v>14.50995</v>
      </c>
      <c r="Q513">
        <v>90287</v>
      </c>
    </row>
    <row r="514" spans="1:17" x14ac:dyDescent="0.25">
      <c r="A514" t="s">
        <v>19</v>
      </c>
      <c r="B514">
        <v>26</v>
      </c>
      <c r="C514">
        <v>0.82</v>
      </c>
      <c r="D514">
        <v>2012</v>
      </c>
      <c r="E514" t="s">
        <v>29</v>
      </c>
      <c r="F514">
        <v>2012291</v>
      </c>
      <c r="G514">
        <v>2013076</v>
      </c>
      <c r="H514">
        <v>21878</v>
      </c>
      <c r="I514">
        <v>4829</v>
      </c>
      <c r="J514">
        <v>50</v>
      </c>
      <c r="K514">
        <v>697</v>
      </c>
      <c r="L514">
        <v>0</v>
      </c>
      <c r="M514">
        <v>100</v>
      </c>
      <c r="N514">
        <v>15.77857</v>
      </c>
      <c r="O514">
        <v>4.8776789999999997</v>
      </c>
      <c r="P514">
        <v>13.16161</v>
      </c>
      <c r="Q514">
        <v>154542</v>
      </c>
    </row>
    <row r="515" spans="1:17" x14ac:dyDescent="0.25">
      <c r="A515" t="s">
        <v>19</v>
      </c>
      <c r="B515">
        <v>26</v>
      </c>
      <c r="C515">
        <v>0.82</v>
      </c>
      <c r="D515">
        <v>2013</v>
      </c>
      <c r="E515" t="s">
        <v>29</v>
      </c>
      <c r="F515">
        <v>2013291</v>
      </c>
      <c r="G515">
        <v>2014081</v>
      </c>
      <c r="H515">
        <v>19024</v>
      </c>
      <c r="I515">
        <v>4423</v>
      </c>
      <c r="J515">
        <v>50</v>
      </c>
      <c r="K515">
        <v>413</v>
      </c>
      <c r="L515">
        <v>0</v>
      </c>
      <c r="M515">
        <v>100</v>
      </c>
      <c r="N515">
        <v>17.157730000000001</v>
      </c>
      <c r="O515">
        <v>4.3440909999999997</v>
      </c>
      <c r="P515">
        <v>14.17773</v>
      </c>
      <c r="Q515">
        <v>141522</v>
      </c>
    </row>
    <row r="516" spans="1:17" x14ac:dyDescent="0.25">
      <c r="A516" t="s">
        <v>19</v>
      </c>
      <c r="B516">
        <v>26</v>
      </c>
      <c r="C516">
        <v>0.82</v>
      </c>
      <c r="D516">
        <v>2014</v>
      </c>
      <c r="E516" t="s">
        <v>29</v>
      </c>
      <c r="F516">
        <v>2014291</v>
      </c>
      <c r="G516">
        <v>2015087</v>
      </c>
      <c r="H516">
        <v>17900</v>
      </c>
      <c r="I516">
        <v>5024</v>
      </c>
      <c r="J516">
        <v>50</v>
      </c>
      <c r="K516">
        <v>453</v>
      </c>
      <c r="L516">
        <v>0</v>
      </c>
      <c r="M516">
        <v>100</v>
      </c>
      <c r="N516">
        <v>18.091519999999999</v>
      </c>
      <c r="O516">
        <v>4.1892839999999998</v>
      </c>
      <c r="P516">
        <v>14.642860000000001</v>
      </c>
      <c r="Q516">
        <v>160768</v>
      </c>
    </row>
    <row r="517" spans="1:17" x14ac:dyDescent="0.25">
      <c r="A517" t="s">
        <v>19</v>
      </c>
      <c r="B517">
        <v>26</v>
      </c>
      <c r="C517">
        <v>0.82</v>
      </c>
      <c r="D517">
        <v>2015</v>
      </c>
      <c r="E517" t="s">
        <v>29</v>
      </c>
      <c r="F517">
        <v>2015291</v>
      </c>
      <c r="G517">
        <v>2016073</v>
      </c>
      <c r="H517">
        <v>10564</v>
      </c>
      <c r="I517">
        <v>1846</v>
      </c>
      <c r="J517">
        <v>50</v>
      </c>
      <c r="K517">
        <v>360</v>
      </c>
      <c r="L517">
        <v>0</v>
      </c>
      <c r="M517">
        <v>100</v>
      </c>
      <c r="N517">
        <v>17.373539999999998</v>
      </c>
      <c r="O517">
        <v>4.7112080000000001</v>
      </c>
      <c r="P517">
        <v>13.0435</v>
      </c>
      <c r="Q517">
        <v>59067</v>
      </c>
    </row>
    <row r="518" spans="1:17" x14ac:dyDescent="0.25">
      <c r="A518" t="s">
        <v>19</v>
      </c>
      <c r="B518">
        <v>26</v>
      </c>
      <c r="C518">
        <v>0.82</v>
      </c>
      <c r="D518">
        <v>2016</v>
      </c>
      <c r="E518" t="s">
        <v>29</v>
      </c>
      <c r="F518">
        <v>2016291</v>
      </c>
      <c r="G518">
        <v>2017073</v>
      </c>
      <c r="H518">
        <v>19359</v>
      </c>
      <c r="I518">
        <v>4901</v>
      </c>
      <c r="J518">
        <v>50</v>
      </c>
      <c r="K518">
        <v>380</v>
      </c>
      <c r="L518">
        <v>0</v>
      </c>
      <c r="M518">
        <v>100</v>
      </c>
      <c r="N518">
        <v>18.344799999999999</v>
      </c>
      <c r="O518">
        <v>4.7502259999999996</v>
      </c>
      <c r="P518">
        <v>13.89547</v>
      </c>
      <c r="Q518">
        <v>156819</v>
      </c>
    </row>
    <row r="519" spans="1:17" x14ac:dyDescent="0.25">
      <c r="A519" t="s">
        <v>19</v>
      </c>
      <c r="B519">
        <v>26</v>
      </c>
      <c r="C519">
        <v>0.82</v>
      </c>
      <c r="D519">
        <v>2017</v>
      </c>
      <c r="E519" t="s">
        <v>29</v>
      </c>
      <c r="F519">
        <v>2017291</v>
      </c>
      <c r="G519">
        <v>2018087</v>
      </c>
      <c r="H519">
        <v>11921</v>
      </c>
      <c r="I519">
        <v>2076</v>
      </c>
      <c r="J519">
        <v>50</v>
      </c>
      <c r="K519">
        <v>496</v>
      </c>
      <c r="L519">
        <v>0</v>
      </c>
      <c r="M519">
        <v>100</v>
      </c>
      <c r="N519">
        <v>16.695499999999999</v>
      </c>
      <c r="O519">
        <v>3.7788279999999999</v>
      </c>
      <c r="P519">
        <v>13.92207</v>
      </c>
      <c r="Q519">
        <v>66425</v>
      </c>
    </row>
    <row r="520" spans="1:17" x14ac:dyDescent="0.25">
      <c r="A520" t="s">
        <v>19</v>
      </c>
      <c r="B520">
        <v>26</v>
      </c>
      <c r="C520">
        <v>0.82</v>
      </c>
      <c r="D520">
        <v>2018</v>
      </c>
      <c r="E520" t="s">
        <v>29</v>
      </c>
      <c r="F520">
        <v>2018291</v>
      </c>
      <c r="G520">
        <v>2019072</v>
      </c>
      <c r="H520">
        <v>16918</v>
      </c>
      <c r="I520">
        <v>3776</v>
      </c>
      <c r="J520">
        <v>50</v>
      </c>
      <c r="K520">
        <v>308</v>
      </c>
      <c r="L520">
        <v>0</v>
      </c>
      <c r="M520">
        <v>100</v>
      </c>
      <c r="N520">
        <v>18.499110000000002</v>
      </c>
      <c r="O520">
        <v>3.6376680000000001</v>
      </c>
      <c r="P520">
        <v>14.92197</v>
      </c>
      <c r="Q520">
        <v>120822</v>
      </c>
    </row>
    <row r="521" spans="1:17" x14ac:dyDescent="0.25">
      <c r="A521" t="s">
        <v>19</v>
      </c>
      <c r="B521">
        <v>26</v>
      </c>
      <c r="C521">
        <v>0.82</v>
      </c>
      <c r="D521">
        <v>2019</v>
      </c>
      <c r="E521" t="s">
        <v>29</v>
      </c>
      <c r="F521">
        <v>2019291</v>
      </c>
      <c r="G521">
        <v>2020059</v>
      </c>
      <c r="H521">
        <v>11424</v>
      </c>
      <c r="I521">
        <v>2523</v>
      </c>
      <c r="J521">
        <v>50</v>
      </c>
      <c r="K521">
        <v>348</v>
      </c>
      <c r="L521">
        <v>0</v>
      </c>
      <c r="M521">
        <v>100</v>
      </c>
      <c r="N521">
        <v>18.09638</v>
      </c>
      <c r="O521">
        <v>5.7656090000000004</v>
      </c>
      <c r="P521">
        <v>13.350680000000001</v>
      </c>
      <c r="Q521">
        <v>80752</v>
      </c>
    </row>
    <row r="522" spans="1:17" x14ac:dyDescent="0.25">
      <c r="A522" t="s">
        <v>19</v>
      </c>
      <c r="B522">
        <v>27</v>
      </c>
      <c r="C522">
        <v>1</v>
      </c>
      <c r="D522">
        <v>2000</v>
      </c>
      <c r="E522" t="s">
        <v>28</v>
      </c>
      <c r="F522">
        <v>2000308</v>
      </c>
      <c r="G522">
        <v>2001087</v>
      </c>
      <c r="H522">
        <v>18981</v>
      </c>
      <c r="I522">
        <v>3756</v>
      </c>
      <c r="J522">
        <v>0</v>
      </c>
      <c r="K522">
        <v>671</v>
      </c>
      <c r="L522">
        <v>0</v>
      </c>
      <c r="M522">
        <v>100</v>
      </c>
      <c r="N522">
        <v>16.75507</v>
      </c>
      <c r="O522">
        <v>5.1705300000000003</v>
      </c>
      <c r="P522">
        <v>14.69469</v>
      </c>
      <c r="Q522">
        <v>112678</v>
      </c>
    </row>
    <row r="523" spans="1:17" x14ac:dyDescent="0.25">
      <c r="A523" t="s">
        <v>19</v>
      </c>
      <c r="B523">
        <v>27</v>
      </c>
      <c r="C523">
        <v>1</v>
      </c>
      <c r="D523">
        <v>2001</v>
      </c>
      <c r="E523" t="s">
        <v>28</v>
      </c>
      <c r="F523">
        <v>2001308</v>
      </c>
      <c r="G523">
        <v>2002092</v>
      </c>
      <c r="H523">
        <v>16543</v>
      </c>
      <c r="I523">
        <v>4039</v>
      </c>
      <c r="J523">
        <v>0</v>
      </c>
      <c r="K523">
        <v>506</v>
      </c>
      <c r="L523">
        <v>0</v>
      </c>
      <c r="M523">
        <v>100</v>
      </c>
      <c r="N523">
        <v>16.857279999999999</v>
      </c>
      <c r="O523">
        <v>3.9286409999999998</v>
      </c>
      <c r="P523">
        <v>15.49709</v>
      </c>
      <c r="Q523">
        <v>121161</v>
      </c>
    </row>
    <row r="524" spans="1:17" x14ac:dyDescent="0.25">
      <c r="A524" t="s">
        <v>19</v>
      </c>
      <c r="B524">
        <v>27</v>
      </c>
      <c r="C524">
        <v>1</v>
      </c>
      <c r="D524">
        <v>2002</v>
      </c>
      <c r="E524" t="s">
        <v>28</v>
      </c>
      <c r="F524">
        <v>2002308</v>
      </c>
      <c r="G524">
        <v>2003090</v>
      </c>
      <c r="H524">
        <v>16342</v>
      </c>
      <c r="I524">
        <v>4133</v>
      </c>
      <c r="J524">
        <v>0</v>
      </c>
      <c r="K524">
        <v>446</v>
      </c>
      <c r="L524">
        <v>0</v>
      </c>
      <c r="M524">
        <v>100</v>
      </c>
      <c r="N524">
        <v>16.69952</v>
      </c>
      <c r="O524">
        <v>5.2640779999999996</v>
      </c>
      <c r="P524">
        <v>14.857279999999999</v>
      </c>
      <c r="Q524">
        <v>123996</v>
      </c>
    </row>
    <row r="525" spans="1:17" x14ac:dyDescent="0.25">
      <c r="A525" t="s">
        <v>19</v>
      </c>
      <c r="B525">
        <v>27</v>
      </c>
      <c r="C525">
        <v>1</v>
      </c>
      <c r="D525">
        <v>2003</v>
      </c>
      <c r="E525" t="s">
        <v>28</v>
      </c>
      <c r="F525">
        <v>2003308</v>
      </c>
      <c r="G525">
        <v>2004089</v>
      </c>
      <c r="H525">
        <v>27052</v>
      </c>
      <c r="I525">
        <v>4362</v>
      </c>
      <c r="J525">
        <v>0</v>
      </c>
      <c r="K525">
        <v>795</v>
      </c>
      <c r="L525">
        <v>0</v>
      </c>
      <c r="M525">
        <v>100</v>
      </c>
      <c r="N525">
        <v>15.827669999999999</v>
      </c>
      <c r="O525">
        <v>5.0300979999999997</v>
      </c>
      <c r="P525">
        <v>14.209709999999999</v>
      </c>
      <c r="Q525">
        <v>130857</v>
      </c>
    </row>
    <row r="526" spans="1:17" x14ac:dyDescent="0.25">
      <c r="A526" t="s">
        <v>19</v>
      </c>
      <c r="B526">
        <v>27</v>
      </c>
      <c r="C526">
        <v>1</v>
      </c>
      <c r="D526">
        <v>2004</v>
      </c>
      <c r="E526" t="s">
        <v>28</v>
      </c>
      <c r="F526">
        <v>2004308</v>
      </c>
      <c r="G526">
        <v>2005105</v>
      </c>
      <c r="H526">
        <v>5161</v>
      </c>
      <c r="I526">
        <v>1517</v>
      </c>
      <c r="J526">
        <v>0</v>
      </c>
      <c r="K526">
        <v>306</v>
      </c>
      <c r="L526">
        <v>0</v>
      </c>
      <c r="M526">
        <v>100</v>
      </c>
      <c r="N526">
        <v>17.314969999999999</v>
      </c>
      <c r="O526">
        <v>3.042996</v>
      </c>
      <c r="P526">
        <v>16.481649999999998</v>
      </c>
      <c r="Q526">
        <v>45498</v>
      </c>
    </row>
    <row r="527" spans="1:17" x14ac:dyDescent="0.25">
      <c r="A527" t="s">
        <v>19</v>
      </c>
      <c r="B527">
        <v>27</v>
      </c>
      <c r="C527">
        <v>1</v>
      </c>
      <c r="D527">
        <v>2005</v>
      </c>
      <c r="E527" t="s">
        <v>28</v>
      </c>
      <c r="F527">
        <v>2005308</v>
      </c>
      <c r="G527">
        <v>2006096</v>
      </c>
      <c r="H527">
        <v>7739</v>
      </c>
      <c r="I527">
        <v>1881</v>
      </c>
      <c r="J527">
        <v>0</v>
      </c>
      <c r="K527">
        <v>297</v>
      </c>
      <c r="L527">
        <v>0</v>
      </c>
      <c r="M527">
        <v>100</v>
      </c>
      <c r="N527">
        <v>17.172450000000001</v>
      </c>
      <c r="O527">
        <v>4.725511</v>
      </c>
      <c r="P527">
        <v>15.102040000000001</v>
      </c>
      <c r="Q527">
        <v>56423</v>
      </c>
    </row>
    <row r="528" spans="1:17" x14ac:dyDescent="0.25">
      <c r="A528" t="s">
        <v>19</v>
      </c>
      <c r="B528">
        <v>27</v>
      </c>
      <c r="C528">
        <v>1</v>
      </c>
      <c r="D528">
        <v>2006</v>
      </c>
      <c r="E528" t="s">
        <v>28</v>
      </c>
      <c r="F528">
        <v>2006308</v>
      </c>
      <c r="G528">
        <v>2007095</v>
      </c>
      <c r="H528">
        <v>21341</v>
      </c>
      <c r="I528">
        <v>4738</v>
      </c>
      <c r="J528">
        <v>0</v>
      </c>
      <c r="K528">
        <v>598</v>
      </c>
      <c r="L528">
        <v>0</v>
      </c>
      <c r="M528">
        <v>100</v>
      </c>
      <c r="N528">
        <v>16.155339999999999</v>
      </c>
      <c r="O528">
        <v>4.7038840000000004</v>
      </c>
      <c r="P528">
        <v>13.556789999999999</v>
      </c>
      <c r="Q528">
        <v>142136</v>
      </c>
    </row>
    <row r="529" spans="1:17" x14ac:dyDescent="0.25">
      <c r="A529" t="s">
        <v>19</v>
      </c>
      <c r="B529">
        <v>27</v>
      </c>
      <c r="C529">
        <v>1</v>
      </c>
      <c r="D529">
        <v>2007</v>
      </c>
      <c r="E529" t="s">
        <v>28</v>
      </c>
      <c r="F529">
        <v>2007308</v>
      </c>
      <c r="G529">
        <v>2008089</v>
      </c>
      <c r="H529">
        <v>14107</v>
      </c>
      <c r="I529">
        <v>2071</v>
      </c>
      <c r="J529">
        <v>0</v>
      </c>
      <c r="K529">
        <v>489</v>
      </c>
      <c r="L529">
        <v>0</v>
      </c>
      <c r="M529">
        <v>100</v>
      </c>
      <c r="N529">
        <v>17.072199999999999</v>
      </c>
      <c r="O529">
        <v>4.088781</v>
      </c>
      <c r="P529">
        <v>14.018050000000001</v>
      </c>
      <c r="Q529">
        <v>62133</v>
      </c>
    </row>
    <row r="530" spans="1:17" x14ac:dyDescent="0.25">
      <c r="A530" t="s">
        <v>19</v>
      </c>
      <c r="B530">
        <v>27</v>
      </c>
      <c r="C530">
        <v>1</v>
      </c>
      <c r="D530">
        <v>2008</v>
      </c>
      <c r="E530" t="s">
        <v>28</v>
      </c>
      <c r="F530">
        <v>2008308</v>
      </c>
      <c r="G530">
        <v>2009100</v>
      </c>
      <c r="H530">
        <v>13843</v>
      </c>
      <c r="I530">
        <v>3717</v>
      </c>
      <c r="J530">
        <v>0</v>
      </c>
      <c r="K530">
        <v>442</v>
      </c>
      <c r="L530">
        <v>0</v>
      </c>
      <c r="M530">
        <v>100</v>
      </c>
      <c r="N530">
        <v>16.68244</v>
      </c>
      <c r="O530">
        <v>3.4629270000000001</v>
      </c>
      <c r="P530">
        <v>14.632199999999999</v>
      </c>
      <c r="Q530">
        <v>111508</v>
      </c>
    </row>
    <row r="531" spans="1:17" x14ac:dyDescent="0.25">
      <c r="A531" t="s">
        <v>19</v>
      </c>
      <c r="B531">
        <v>27</v>
      </c>
      <c r="C531">
        <v>1</v>
      </c>
      <c r="D531">
        <v>2009</v>
      </c>
      <c r="E531" t="s">
        <v>28</v>
      </c>
      <c r="F531">
        <v>2009308</v>
      </c>
      <c r="G531">
        <v>2010090</v>
      </c>
      <c r="H531">
        <v>17472</v>
      </c>
      <c r="I531">
        <v>2768</v>
      </c>
      <c r="J531">
        <v>0</v>
      </c>
      <c r="K531">
        <v>797</v>
      </c>
      <c r="L531">
        <v>0</v>
      </c>
      <c r="M531">
        <v>100</v>
      </c>
      <c r="N531">
        <v>16.251470000000001</v>
      </c>
      <c r="O531">
        <v>5.6828430000000001</v>
      </c>
      <c r="P531">
        <v>13.663729999999999</v>
      </c>
      <c r="Q531">
        <v>83025</v>
      </c>
    </row>
    <row r="532" spans="1:17" x14ac:dyDescent="0.25">
      <c r="A532" t="s">
        <v>19</v>
      </c>
      <c r="B532">
        <v>27</v>
      </c>
      <c r="C532">
        <v>1</v>
      </c>
      <c r="D532">
        <v>2010</v>
      </c>
      <c r="E532" t="s">
        <v>28</v>
      </c>
      <c r="F532">
        <v>2010308</v>
      </c>
      <c r="G532">
        <v>2011092</v>
      </c>
      <c r="H532">
        <v>19250</v>
      </c>
      <c r="I532">
        <v>3298</v>
      </c>
      <c r="J532">
        <v>0</v>
      </c>
      <c r="K532">
        <v>808</v>
      </c>
      <c r="L532">
        <v>0</v>
      </c>
      <c r="M532">
        <v>100</v>
      </c>
      <c r="N532">
        <v>16.857279999999999</v>
      </c>
      <c r="O532">
        <v>5.6247559999999996</v>
      </c>
      <c r="P532">
        <v>12.99466</v>
      </c>
      <c r="Q532">
        <v>98945</v>
      </c>
    </row>
    <row r="533" spans="1:17" x14ac:dyDescent="0.25">
      <c r="A533" t="s">
        <v>19</v>
      </c>
      <c r="B533">
        <v>27</v>
      </c>
      <c r="C533">
        <v>1</v>
      </c>
      <c r="D533">
        <v>2011</v>
      </c>
      <c r="E533" t="s">
        <v>29</v>
      </c>
      <c r="F533">
        <v>2011308</v>
      </c>
      <c r="G533">
        <v>2012109</v>
      </c>
      <c r="H533">
        <v>5468</v>
      </c>
      <c r="I533">
        <v>1230</v>
      </c>
      <c r="J533">
        <v>0</v>
      </c>
      <c r="K533">
        <v>281</v>
      </c>
      <c r="L533">
        <v>0</v>
      </c>
      <c r="M533">
        <v>100</v>
      </c>
      <c r="N533">
        <v>17.220490000000002</v>
      </c>
      <c r="O533">
        <v>2.4936590000000001</v>
      </c>
      <c r="P533">
        <v>14.8878</v>
      </c>
      <c r="Q533">
        <v>36891</v>
      </c>
    </row>
    <row r="534" spans="1:17" x14ac:dyDescent="0.25">
      <c r="A534" t="s">
        <v>19</v>
      </c>
      <c r="B534">
        <v>27</v>
      </c>
      <c r="C534">
        <v>1</v>
      </c>
      <c r="D534">
        <v>2012</v>
      </c>
      <c r="E534" t="s">
        <v>29</v>
      </c>
      <c r="F534">
        <v>2012308</v>
      </c>
      <c r="G534">
        <v>2013094</v>
      </c>
      <c r="H534">
        <v>23855</v>
      </c>
      <c r="I534">
        <v>5425</v>
      </c>
      <c r="J534">
        <v>0</v>
      </c>
      <c r="K534">
        <v>697</v>
      </c>
      <c r="L534">
        <v>0</v>
      </c>
      <c r="M534">
        <v>100</v>
      </c>
      <c r="N534">
        <v>15.644170000000001</v>
      </c>
      <c r="O534">
        <v>4.5723310000000001</v>
      </c>
      <c r="P534">
        <v>13.567959999999999</v>
      </c>
      <c r="Q534">
        <v>162750</v>
      </c>
    </row>
    <row r="535" spans="1:17" x14ac:dyDescent="0.25">
      <c r="A535" t="s">
        <v>19</v>
      </c>
      <c r="B535">
        <v>27</v>
      </c>
      <c r="C535">
        <v>1</v>
      </c>
      <c r="D535">
        <v>2013</v>
      </c>
      <c r="E535" t="s">
        <v>29</v>
      </c>
      <c r="F535">
        <v>2013308</v>
      </c>
      <c r="G535">
        <v>2014099</v>
      </c>
      <c r="H535">
        <v>14665</v>
      </c>
      <c r="I535">
        <v>3746</v>
      </c>
      <c r="J535">
        <v>0</v>
      </c>
      <c r="K535">
        <v>413</v>
      </c>
      <c r="L535">
        <v>0</v>
      </c>
      <c r="M535">
        <v>100</v>
      </c>
      <c r="N535">
        <v>17.004850000000001</v>
      </c>
      <c r="O535">
        <v>4.1257279999999996</v>
      </c>
      <c r="P535">
        <v>14.350490000000001</v>
      </c>
      <c r="Q535">
        <v>112370</v>
      </c>
    </row>
    <row r="536" spans="1:17" x14ac:dyDescent="0.25">
      <c r="A536" t="s">
        <v>19</v>
      </c>
      <c r="B536">
        <v>27</v>
      </c>
      <c r="C536">
        <v>1</v>
      </c>
      <c r="D536">
        <v>2014</v>
      </c>
      <c r="E536" t="s">
        <v>29</v>
      </c>
      <c r="F536">
        <v>2014308</v>
      </c>
      <c r="G536">
        <v>2015098</v>
      </c>
      <c r="H536">
        <v>13946</v>
      </c>
      <c r="I536">
        <v>5556</v>
      </c>
      <c r="J536">
        <v>0</v>
      </c>
      <c r="K536">
        <v>453</v>
      </c>
      <c r="L536">
        <v>0</v>
      </c>
      <c r="M536">
        <v>100</v>
      </c>
      <c r="N536">
        <v>17.673660000000002</v>
      </c>
      <c r="O536">
        <v>3.83317</v>
      </c>
      <c r="P536">
        <v>14.81854</v>
      </c>
      <c r="Q536">
        <v>166668</v>
      </c>
    </row>
    <row r="537" spans="1:17" x14ac:dyDescent="0.25">
      <c r="A537" t="s">
        <v>19</v>
      </c>
      <c r="B537">
        <v>27</v>
      </c>
      <c r="C537">
        <v>1</v>
      </c>
      <c r="D537">
        <v>2015</v>
      </c>
      <c r="E537" t="s">
        <v>29</v>
      </c>
      <c r="F537">
        <v>2015308</v>
      </c>
      <c r="G537">
        <v>2016089</v>
      </c>
      <c r="H537">
        <v>9667</v>
      </c>
      <c r="I537">
        <v>1867</v>
      </c>
      <c r="J537">
        <v>0</v>
      </c>
      <c r="K537">
        <v>360</v>
      </c>
      <c r="L537">
        <v>0</v>
      </c>
      <c r="M537">
        <v>100</v>
      </c>
      <c r="N537">
        <v>17.110189999999999</v>
      </c>
      <c r="O537">
        <v>4.2611650000000001</v>
      </c>
      <c r="P537">
        <v>13.225239999999999</v>
      </c>
      <c r="Q537">
        <v>56021</v>
      </c>
    </row>
    <row r="538" spans="1:17" x14ac:dyDescent="0.25">
      <c r="A538" t="s">
        <v>19</v>
      </c>
      <c r="B538">
        <v>27</v>
      </c>
      <c r="C538">
        <v>1</v>
      </c>
      <c r="D538">
        <v>2016</v>
      </c>
      <c r="E538" t="s">
        <v>29</v>
      </c>
      <c r="F538">
        <v>2016308</v>
      </c>
      <c r="G538">
        <v>2017087</v>
      </c>
      <c r="H538">
        <v>14950</v>
      </c>
      <c r="I538">
        <v>5088</v>
      </c>
      <c r="J538">
        <v>0</v>
      </c>
      <c r="K538">
        <v>380</v>
      </c>
      <c r="L538">
        <v>0</v>
      </c>
      <c r="M538">
        <v>100</v>
      </c>
      <c r="N538">
        <v>18.050719999999998</v>
      </c>
      <c r="O538">
        <v>4.3951700000000002</v>
      </c>
      <c r="P538">
        <v>14.08792</v>
      </c>
      <c r="Q538">
        <v>152650</v>
      </c>
    </row>
    <row r="539" spans="1:17" x14ac:dyDescent="0.25">
      <c r="A539" t="s">
        <v>19</v>
      </c>
      <c r="B539">
        <v>27</v>
      </c>
      <c r="C539">
        <v>1</v>
      </c>
      <c r="D539">
        <v>2017</v>
      </c>
      <c r="E539" t="s">
        <v>29</v>
      </c>
      <c r="F539">
        <v>2017308</v>
      </c>
      <c r="G539">
        <v>2018090</v>
      </c>
      <c r="H539">
        <v>11287</v>
      </c>
      <c r="I539">
        <v>2117</v>
      </c>
      <c r="J539">
        <v>0</v>
      </c>
      <c r="K539">
        <v>496</v>
      </c>
      <c r="L539">
        <v>0</v>
      </c>
      <c r="M539">
        <v>100</v>
      </c>
      <c r="N539">
        <v>15.95337</v>
      </c>
      <c r="O539">
        <v>4.106179</v>
      </c>
      <c r="P539">
        <v>14.43989</v>
      </c>
      <c r="Q539">
        <v>63518</v>
      </c>
    </row>
    <row r="540" spans="1:17" x14ac:dyDescent="0.25">
      <c r="A540" t="s">
        <v>19</v>
      </c>
      <c r="B540">
        <v>27</v>
      </c>
      <c r="C540">
        <v>1</v>
      </c>
      <c r="D540">
        <v>2018</v>
      </c>
      <c r="E540" t="s">
        <v>29</v>
      </c>
      <c r="F540">
        <v>2018308</v>
      </c>
      <c r="G540">
        <v>2019091</v>
      </c>
      <c r="H540">
        <v>10651</v>
      </c>
      <c r="I540">
        <v>2721</v>
      </c>
      <c r="J540">
        <v>0</v>
      </c>
      <c r="K540">
        <v>308</v>
      </c>
      <c r="L540">
        <v>0</v>
      </c>
      <c r="M540">
        <v>100</v>
      </c>
      <c r="N540">
        <v>18.65756</v>
      </c>
      <c r="O540">
        <v>3.3497560000000002</v>
      </c>
      <c r="P540">
        <v>15.439019999999999</v>
      </c>
      <c r="Q540">
        <v>81628</v>
      </c>
    </row>
    <row r="541" spans="1:17" x14ac:dyDescent="0.25">
      <c r="A541" t="s">
        <v>19</v>
      </c>
      <c r="B541">
        <v>27</v>
      </c>
      <c r="C541">
        <v>1</v>
      </c>
      <c r="D541">
        <v>2019</v>
      </c>
      <c r="E541" t="s">
        <v>29</v>
      </c>
      <c r="F541">
        <v>2019308</v>
      </c>
      <c r="G541">
        <v>2020077</v>
      </c>
      <c r="H541">
        <v>11149</v>
      </c>
      <c r="I541">
        <v>2190</v>
      </c>
      <c r="J541">
        <v>0</v>
      </c>
      <c r="K541">
        <v>348</v>
      </c>
      <c r="L541">
        <v>0</v>
      </c>
      <c r="M541">
        <v>100</v>
      </c>
      <c r="N541">
        <v>17.9117</v>
      </c>
      <c r="O541">
        <v>5.4790229999999998</v>
      </c>
      <c r="P541">
        <v>13.47025</v>
      </c>
      <c r="Q541">
        <v>65702</v>
      </c>
    </row>
    <row r="542" spans="1:17" x14ac:dyDescent="0.25">
      <c r="A542" t="s">
        <v>20</v>
      </c>
      <c r="B542">
        <v>28</v>
      </c>
      <c r="C542">
        <v>1.25</v>
      </c>
      <c r="D542">
        <v>2000</v>
      </c>
      <c r="E542" t="s">
        <v>28</v>
      </c>
      <c r="F542">
        <v>2000350</v>
      </c>
      <c r="G542">
        <v>2001086</v>
      </c>
      <c r="H542">
        <v>13862</v>
      </c>
      <c r="I542">
        <v>2708</v>
      </c>
      <c r="J542">
        <v>0</v>
      </c>
      <c r="K542">
        <v>673</v>
      </c>
      <c r="L542">
        <v>0</v>
      </c>
      <c r="M542">
        <v>125</v>
      </c>
      <c r="N542">
        <v>20.80123</v>
      </c>
      <c r="O542">
        <v>9.990183</v>
      </c>
      <c r="P542">
        <v>14.542949999999999</v>
      </c>
      <c r="Q542">
        <v>105612</v>
      </c>
    </row>
    <row r="543" spans="1:17" x14ac:dyDescent="0.25">
      <c r="A543" t="s">
        <v>20</v>
      </c>
      <c r="B543">
        <v>28</v>
      </c>
      <c r="C543">
        <v>1.25</v>
      </c>
      <c r="D543">
        <v>2001</v>
      </c>
      <c r="E543" t="s">
        <v>28</v>
      </c>
      <c r="F543">
        <v>2001350</v>
      </c>
      <c r="G543">
        <v>2002097</v>
      </c>
      <c r="H543">
        <v>11960</v>
      </c>
      <c r="I543">
        <v>3169</v>
      </c>
      <c r="J543">
        <v>0</v>
      </c>
      <c r="K543">
        <v>574</v>
      </c>
      <c r="L543">
        <v>0</v>
      </c>
      <c r="M543">
        <v>125</v>
      </c>
      <c r="N543">
        <v>20.403729999999999</v>
      </c>
      <c r="O543">
        <v>7.086957</v>
      </c>
      <c r="P543">
        <v>14.721120000000001</v>
      </c>
      <c r="Q543">
        <v>123603</v>
      </c>
    </row>
    <row r="544" spans="1:17" x14ac:dyDescent="0.25">
      <c r="A544" t="s">
        <v>20</v>
      </c>
      <c r="B544">
        <v>28</v>
      </c>
      <c r="C544">
        <v>1.25</v>
      </c>
      <c r="D544">
        <v>2002</v>
      </c>
      <c r="E544" t="s">
        <v>28</v>
      </c>
      <c r="F544">
        <v>2002350</v>
      </c>
      <c r="G544">
        <v>2003101</v>
      </c>
      <c r="H544">
        <v>17432</v>
      </c>
      <c r="I544">
        <v>3978</v>
      </c>
      <c r="J544">
        <v>0</v>
      </c>
      <c r="K544">
        <v>760</v>
      </c>
      <c r="L544">
        <v>0</v>
      </c>
      <c r="M544">
        <v>125</v>
      </c>
      <c r="N544">
        <v>20.087810000000001</v>
      </c>
      <c r="O544">
        <v>7.5621929999999997</v>
      </c>
      <c r="P544">
        <v>14.48049</v>
      </c>
      <c r="Q544">
        <v>155142</v>
      </c>
    </row>
    <row r="545" spans="1:17" x14ac:dyDescent="0.25">
      <c r="A545" t="s">
        <v>20</v>
      </c>
      <c r="B545">
        <v>28</v>
      </c>
      <c r="C545">
        <v>1.25</v>
      </c>
      <c r="D545">
        <v>2003</v>
      </c>
      <c r="E545" t="s">
        <v>28</v>
      </c>
      <c r="F545">
        <v>2003350</v>
      </c>
      <c r="G545">
        <v>2004099</v>
      </c>
      <c r="H545">
        <v>18797</v>
      </c>
      <c r="I545">
        <v>3315</v>
      </c>
      <c r="J545">
        <v>0</v>
      </c>
      <c r="K545">
        <v>769</v>
      </c>
      <c r="L545">
        <v>0</v>
      </c>
      <c r="M545">
        <v>125</v>
      </c>
      <c r="N545">
        <v>19.2773</v>
      </c>
      <c r="O545">
        <v>6.9533740000000002</v>
      </c>
      <c r="P545">
        <v>13.46748</v>
      </c>
      <c r="Q545">
        <v>129285</v>
      </c>
    </row>
    <row r="546" spans="1:17" x14ac:dyDescent="0.25">
      <c r="A546" t="s">
        <v>20</v>
      </c>
      <c r="B546">
        <v>28</v>
      </c>
      <c r="C546">
        <v>1.25</v>
      </c>
      <c r="D546">
        <v>2004</v>
      </c>
      <c r="E546" t="s">
        <v>28</v>
      </c>
      <c r="F546">
        <v>2004350</v>
      </c>
      <c r="G546">
        <v>2005111</v>
      </c>
      <c r="H546">
        <v>5822</v>
      </c>
      <c r="I546">
        <v>1772</v>
      </c>
      <c r="J546">
        <v>0</v>
      </c>
      <c r="K546">
        <v>373</v>
      </c>
      <c r="L546">
        <v>0</v>
      </c>
      <c r="M546">
        <v>125</v>
      </c>
      <c r="N546">
        <v>20.385269999999998</v>
      </c>
      <c r="O546">
        <v>4.9190180000000003</v>
      </c>
      <c r="P546">
        <v>14.96687</v>
      </c>
      <c r="Q546">
        <v>69120</v>
      </c>
    </row>
    <row r="547" spans="1:17" x14ac:dyDescent="0.25">
      <c r="A547" t="s">
        <v>20</v>
      </c>
      <c r="B547">
        <v>28</v>
      </c>
      <c r="C547">
        <v>1.25</v>
      </c>
      <c r="D547">
        <v>2005</v>
      </c>
      <c r="E547" t="s">
        <v>28</v>
      </c>
      <c r="F547">
        <v>2005350</v>
      </c>
      <c r="G547">
        <v>2006103</v>
      </c>
      <c r="H547">
        <v>13614</v>
      </c>
      <c r="I547">
        <v>3942</v>
      </c>
      <c r="J547">
        <v>0</v>
      </c>
      <c r="K547">
        <v>617</v>
      </c>
      <c r="L547">
        <v>0</v>
      </c>
      <c r="M547">
        <v>125</v>
      </c>
      <c r="N547">
        <v>19.98827</v>
      </c>
      <c r="O547">
        <v>7.4</v>
      </c>
      <c r="P547">
        <v>14.219749999999999</v>
      </c>
      <c r="Q547">
        <v>153750</v>
      </c>
    </row>
    <row r="548" spans="1:17" x14ac:dyDescent="0.25">
      <c r="A548" t="s">
        <v>20</v>
      </c>
      <c r="B548">
        <v>28</v>
      </c>
      <c r="C548">
        <v>1.25</v>
      </c>
      <c r="D548">
        <v>2006</v>
      </c>
      <c r="E548" t="s">
        <v>28</v>
      </c>
      <c r="F548">
        <v>2006350</v>
      </c>
      <c r="G548">
        <v>2007104</v>
      </c>
      <c r="H548">
        <v>13483</v>
      </c>
      <c r="I548">
        <v>3120</v>
      </c>
      <c r="J548">
        <v>0</v>
      </c>
      <c r="K548">
        <v>668</v>
      </c>
      <c r="L548">
        <v>0</v>
      </c>
      <c r="M548">
        <v>125</v>
      </c>
      <c r="N548">
        <v>19.455279999999998</v>
      </c>
      <c r="O548">
        <v>6.839753</v>
      </c>
      <c r="P548">
        <v>14.40124</v>
      </c>
      <c r="Q548">
        <v>121662</v>
      </c>
    </row>
    <row r="549" spans="1:17" x14ac:dyDescent="0.25">
      <c r="A549" t="s">
        <v>20</v>
      </c>
      <c r="B549">
        <v>28</v>
      </c>
      <c r="C549">
        <v>1.25</v>
      </c>
      <c r="D549">
        <v>2007</v>
      </c>
      <c r="E549" t="s">
        <v>28</v>
      </c>
      <c r="F549">
        <v>2007350</v>
      </c>
      <c r="G549">
        <v>2008097</v>
      </c>
      <c r="H549">
        <v>8184</v>
      </c>
      <c r="I549">
        <v>1289</v>
      </c>
      <c r="J549">
        <v>0</v>
      </c>
      <c r="K549">
        <v>653</v>
      </c>
      <c r="L549">
        <v>0</v>
      </c>
      <c r="M549">
        <v>125</v>
      </c>
      <c r="N549">
        <v>20.348469999999999</v>
      </c>
      <c r="O549">
        <v>6.8312869999999997</v>
      </c>
      <c r="P549">
        <v>14.97362</v>
      </c>
      <c r="Q549">
        <v>50259</v>
      </c>
    </row>
    <row r="550" spans="1:17" x14ac:dyDescent="0.25">
      <c r="A550" t="s">
        <v>20</v>
      </c>
      <c r="B550">
        <v>28</v>
      </c>
      <c r="C550">
        <v>1.25</v>
      </c>
      <c r="D550">
        <v>2008</v>
      </c>
      <c r="E550" t="s">
        <v>29</v>
      </c>
      <c r="F550">
        <v>2008350</v>
      </c>
      <c r="G550">
        <v>2009101</v>
      </c>
      <c r="H550">
        <v>9690</v>
      </c>
      <c r="I550">
        <v>3647</v>
      </c>
      <c r="J550">
        <v>0</v>
      </c>
      <c r="K550">
        <v>486</v>
      </c>
      <c r="L550">
        <v>0</v>
      </c>
      <c r="M550">
        <v>125</v>
      </c>
      <c r="N550">
        <v>20.11111</v>
      </c>
      <c r="O550">
        <v>6.6296309999999998</v>
      </c>
      <c r="P550">
        <v>15.057399999999999</v>
      </c>
      <c r="Q550">
        <v>142227</v>
      </c>
    </row>
    <row r="551" spans="1:17" x14ac:dyDescent="0.25">
      <c r="A551" t="s">
        <v>20</v>
      </c>
      <c r="B551">
        <v>28</v>
      </c>
      <c r="C551">
        <v>1.25</v>
      </c>
      <c r="D551">
        <v>2009</v>
      </c>
      <c r="E551" t="s">
        <v>29</v>
      </c>
      <c r="F551">
        <v>2009350</v>
      </c>
      <c r="G551">
        <v>2010100</v>
      </c>
      <c r="H551">
        <v>17772</v>
      </c>
      <c r="I551">
        <v>4736</v>
      </c>
      <c r="J551">
        <v>0</v>
      </c>
      <c r="K551">
        <v>974</v>
      </c>
      <c r="L551">
        <v>0</v>
      </c>
      <c r="M551">
        <v>125</v>
      </c>
      <c r="N551">
        <v>19.545059999999999</v>
      </c>
      <c r="O551">
        <v>8.233333</v>
      </c>
      <c r="P551">
        <v>14.42469</v>
      </c>
      <c r="Q551">
        <v>184698</v>
      </c>
    </row>
    <row r="552" spans="1:17" x14ac:dyDescent="0.25">
      <c r="A552" t="s">
        <v>20</v>
      </c>
      <c r="B552">
        <v>28</v>
      </c>
      <c r="C552">
        <v>1.25</v>
      </c>
      <c r="D552">
        <v>2010</v>
      </c>
      <c r="E552" t="s">
        <v>29</v>
      </c>
      <c r="F552">
        <v>2010350</v>
      </c>
      <c r="G552">
        <v>2011098</v>
      </c>
      <c r="H552">
        <v>17978</v>
      </c>
      <c r="I552">
        <v>4910</v>
      </c>
      <c r="J552">
        <v>0</v>
      </c>
      <c r="K552">
        <v>847</v>
      </c>
      <c r="L552">
        <v>0</v>
      </c>
      <c r="M552">
        <v>125</v>
      </c>
      <c r="N552">
        <v>20.407360000000001</v>
      </c>
      <c r="O552">
        <v>8.5472400000000004</v>
      </c>
      <c r="P552">
        <v>14.89509</v>
      </c>
      <c r="Q552">
        <v>191490</v>
      </c>
    </row>
    <row r="553" spans="1:17" x14ac:dyDescent="0.25">
      <c r="A553" t="s">
        <v>20</v>
      </c>
      <c r="B553">
        <v>28</v>
      </c>
      <c r="C553">
        <v>1.25</v>
      </c>
      <c r="D553">
        <v>2011</v>
      </c>
      <c r="E553" t="s">
        <v>29</v>
      </c>
      <c r="F553">
        <v>2011350</v>
      </c>
      <c r="G553">
        <v>2012110</v>
      </c>
      <c r="H553">
        <v>380</v>
      </c>
      <c r="I553">
        <v>67</v>
      </c>
      <c r="J553">
        <v>0</v>
      </c>
      <c r="K553">
        <v>318</v>
      </c>
      <c r="L553">
        <v>0</v>
      </c>
      <c r="M553">
        <v>125</v>
      </c>
      <c r="N553">
        <v>20.624839999999999</v>
      </c>
      <c r="O553">
        <v>4.639132</v>
      </c>
      <c r="P553">
        <v>16.714279999999999</v>
      </c>
      <c r="Q553">
        <v>2599</v>
      </c>
    </row>
    <row r="554" spans="1:17" x14ac:dyDescent="0.25">
      <c r="A554" t="s">
        <v>20</v>
      </c>
      <c r="B554">
        <v>28</v>
      </c>
      <c r="C554">
        <v>1.25</v>
      </c>
      <c r="D554">
        <v>2012</v>
      </c>
      <c r="E554" t="s">
        <v>29</v>
      </c>
      <c r="F554">
        <v>2012350</v>
      </c>
      <c r="G554">
        <v>2013104</v>
      </c>
      <c r="H554">
        <v>19376</v>
      </c>
      <c r="I554">
        <v>4989</v>
      </c>
      <c r="J554">
        <v>0</v>
      </c>
      <c r="K554">
        <v>903</v>
      </c>
      <c r="L554">
        <v>0</v>
      </c>
      <c r="M554">
        <v>125</v>
      </c>
      <c r="N554">
        <v>18.982430000000001</v>
      </c>
      <c r="O554">
        <v>7.1206079999999998</v>
      </c>
      <c r="P554">
        <v>14.65151</v>
      </c>
      <c r="Q554">
        <v>194565</v>
      </c>
    </row>
    <row r="555" spans="1:17" x14ac:dyDescent="0.25">
      <c r="A555" t="s">
        <v>20</v>
      </c>
      <c r="B555">
        <v>28</v>
      </c>
      <c r="C555">
        <v>1.25</v>
      </c>
      <c r="D555">
        <v>2013</v>
      </c>
      <c r="E555" t="s">
        <v>29</v>
      </c>
      <c r="F555">
        <v>2013350</v>
      </c>
      <c r="G555">
        <v>2014098</v>
      </c>
      <c r="H555">
        <v>10641</v>
      </c>
      <c r="I555">
        <v>3916</v>
      </c>
      <c r="J555">
        <v>0</v>
      </c>
      <c r="K555">
        <v>431</v>
      </c>
      <c r="L555">
        <v>0</v>
      </c>
      <c r="M555">
        <v>125</v>
      </c>
      <c r="N555">
        <v>20.58418</v>
      </c>
      <c r="O555">
        <v>8.0126580000000001</v>
      </c>
      <c r="P555">
        <v>16.458860000000001</v>
      </c>
      <c r="Q555">
        <v>152732</v>
      </c>
    </row>
    <row r="556" spans="1:17" x14ac:dyDescent="0.25">
      <c r="A556" t="s">
        <v>20</v>
      </c>
      <c r="B556">
        <v>28</v>
      </c>
      <c r="C556">
        <v>1.25</v>
      </c>
      <c r="D556">
        <v>2014</v>
      </c>
      <c r="E556" t="s">
        <v>29</v>
      </c>
      <c r="F556">
        <v>2014350</v>
      </c>
      <c r="G556">
        <v>2015104</v>
      </c>
      <c r="H556">
        <v>5369</v>
      </c>
      <c r="I556">
        <v>1942</v>
      </c>
      <c r="J556">
        <v>0</v>
      </c>
      <c r="K556">
        <v>480</v>
      </c>
      <c r="L556">
        <v>0</v>
      </c>
      <c r="M556">
        <v>125</v>
      </c>
      <c r="N556">
        <v>21.38589</v>
      </c>
      <c r="O556">
        <v>6.2085900000000001</v>
      </c>
      <c r="P556">
        <v>16.893249999999998</v>
      </c>
      <c r="Q556">
        <v>75722</v>
      </c>
    </row>
    <row r="557" spans="1:17" x14ac:dyDescent="0.25">
      <c r="A557" t="s">
        <v>20</v>
      </c>
      <c r="B557">
        <v>28</v>
      </c>
      <c r="C557">
        <v>1.25</v>
      </c>
      <c r="D557">
        <v>2015</v>
      </c>
      <c r="E557" t="s">
        <v>29</v>
      </c>
      <c r="F557">
        <v>2015350</v>
      </c>
      <c r="G557">
        <v>2016098</v>
      </c>
      <c r="H557">
        <v>16512</v>
      </c>
      <c r="I557">
        <v>3906</v>
      </c>
      <c r="J557">
        <v>0</v>
      </c>
      <c r="K557">
        <v>648</v>
      </c>
      <c r="L557">
        <v>0</v>
      </c>
      <c r="M557">
        <v>125</v>
      </c>
      <c r="N557">
        <v>19.661729999999999</v>
      </c>
      <c r="O557">
        <v>7.3925929999999997</v>
      </c>
      <c r="P557">
        <v>14.903700000000001</v>
      </c>
      <c r="Q557">
        <v>152336</v>
      </c>
    </row>
    <row r="558" spans="1:17" x14ac:dyDescent="0.25">
      <c r="A558" t="s">
        <v>20</v>
      </c>
      <c r="B558">
        <v>28</v>
      </c>
      <c r="C558">
        <v>1.25</v>
      </c>
      <c r="D558">
        <v>2016</v>
      </c>
      <c r="E558" t="s">
        <v>29</v>
      </c>
      <c r="F558">
        <v>2016350</v>
      </c>
      <c r="G558">
        <v>2017098</v>
      </c>
      <c r="H558">
        <v>11918</v>
      </c>
      <c r="I558">
        <v>3441</v>
      </c>
      <c r="J558">
        <v>0</v>
      </c>
      <c r="K558">
        <v>627</v>
      </c>
      <c r="L558">
        <v>0</v>
      </c>
      <c r="M558">
        <v>125</v>
      </c>
      <c r="N558">
        <v>21.301220000000001</v>
      </c>
      <c r="O558">
        <v>7.1121949999999998</v>
      </c>
      <c r="P558">
        <v>17.343900000000001</v>
      </c>
      <c r="Q558">
        <v>134197</v>
      </c>
    </row>
    <row r="559" spans="1:17" x14ac:dyDescent="0.25">
      <c r="A559" t="s">
        <v>20</v>
      </c>
      <c r="B559">
        <v>28</v>
      </c>
      <c r="C559">
        <v>1.25</v>
      </c>
      <c r="D559">
        <v>2017</v>
      </c>
      <c r="E559" t="s">
        <v>29</v>
      </c>
      <c r="F559">
        <v>2017350</v>
      </c>
      <c r="G559">
        <v>2018106</v>
      </c>
      <c r="H559">
        <v>11877</v>
      </c>
      <c r="I559">
        <v>3715</v>
      </c>
      <c r="J559">
        <v>0</v>
      </c>
      <c r="K559">
        <v>597</v>
      </c>
      <c r="L559">
        <v>0</v>
      </c>
      <c r="M559">
        <v>125</v>
      </c>
      <c r="N559">
        <v>19.170369999999998</v>
      </c>
      <c r="O559">
        <v>6.7901239999999996</v>
      </c>
      <c r="P559">
        <v>15.72284</v>
      </c>
      <c r="Q559">
        <v>144874</v>
      </c>
    </row>
    <row r="560" spans="1:17" x14ac:dyDescent="0.25">
      <c r="A560" t="s">
        <v>20</v>
      </c>
      <c r="B560">
        <v>28</v>
      </c>
      <c r="C560">
        <v>1.25</v>
      </c>
      <c r="D560">
        <v>2018</v>
      </c>
      <c r="E560" t="s">
        <v>29</v>
      </c>
      <c r="F560">
        <v>2018350</v>
      </c>
      <c r="G560">
        <v>2019101</v>
      </c>
      <c r="H560">
        <v>3589</v>
      </c>
      <c r="I560">
        <v>1380</v>
      </c>
      <c r="J560">
        <v>0</v>
      </c>
      <c r="K560">
        <v>451</v>
      </c>
      <c r="L560">
        <v>0</v>
      </c>
      <c r="M560">
        <v>125</v>
      </c>
      <c r="N560">
        <v>21.861350000000002</v>
      </c>
      <c r="O560">
        <v>5.9588960000000002</v>
      </c>
      <c r="P560">
        <v>18.55706</v>
      </c>
      <c r="Q560">
        <v>53831</v>
      </c>
    </row>
    <row r="561" spans="1:17" x14ac:dyDescent="0.25">
      <c r="A561" t="s">
        <v>20</v>
      </c>
      <c r="B561">
        <v>28</v>
      </c>
      <c r="C561">
        <v>1.25</v>
      </c>
      <c r="D561">
        <v>2019</v>
      </c>
      <c r="E561" t="s">
        <v>29</v>
      </c>
      <c r="F561">
        <v>2019350</v>
      </c>
      <c r="G561">
        <v>2020092</v>
      </c>
      <c r="H561">
        <v>9476</v>
      </c>
      <c r="I561">
        <v>2112</v>
      </c>
      <c r="J561">
        <v>0</v>
      </c>
      <c r="K561">
        <v>492</v>
      </c>
      <c r="L561">
        <v>0</v>
      </c>
      <c r="M561">
        <v>125</v>
      </c>
      <c r="N561">
        <v>21.603069999999999</v>
      </c>
      <c r="O561">
        <v>8.5674829999999993</v>
      </c>
      <c r="P561">
        <v>16.814109999999999</v>
      </c>
      <c r="Q561">
        <v>82387</v>
      </c>
    </row>
    <row r="562" spans="1:17" x14ac:dyDescent="0.25">
      <c r="A562" t="s">
        <v>20</v>
      </c>
      <c r="B562">
        <v>29</v>
      </c>
      <c r="C562">
        <v>1.28</v>
      </c>
      <c r="D562">
        <v>2000</v>
      </c>
      <c r="E562" t="s">
        <v>28</v>
      </c>
      <c r="F562">
        <v>2000333</v>
      </c>
      <c r="G562">
        <v>2001076</v>
      </c>
      <c r="H562">
        <v>13908</v>
      </c>
      <c r="I562">
        <v>2481</v>
      </c>
      <c r="J562">
        <v>0</v>
      </c>
      <c r="K562">
        <v>673</v>
      </c>
      <c r="L562">
        <v>0</v>
      </c>
      <c r="M562">
        <v>100</v>
      </c>
      <c r="N562">
        <v>20.317039999999999</v>
      </c>
      <c r="O562">
        <v>9.6983519999999999</v>
      </c>
      <c r="P562">
        <v>13.77472</v>
      </c>
      <c r="Q562">
        <v>86835</v>
      </c>
    </row>
    <row r="563" spans="1:17" x14ac:dyDescent="0.25">
      <c r="A563" t="s">
        <v>20</v>
      </c>
      <c r="B563">
        <v>29</v>
      </c>
      <c r="C563">
        <v>1.28</v>
      </c>
      <c r="D563">
        <v>2001</v>
      </c>
      <c r="E563" t="s">
        <v>28</v>
      </c>
      <c r="F563">
        <v>2001333</v>
      </c>
      <c r="G563">
        <v>2002085</v>
      </c>
      <c r="H563">
        <v>11067</v>
      </c>
      <c r="I563">
        <v>2398</v>
      </c>
      <c r="J563">
        <v>0</v>
      </c>
      <c r="K563">
        <v>574</v>
      </c>
      <c r="L563">
        <v>0</v>
      </c>
      <c r="M563">
        <v>100</v>
      </c>
      <c r="N563">
        <v>19.920670000000001</v>
      </c>
      <c r="O563">
        <v>6.8726269999999996</v>
      </c>
      <c r="P563">
        <v>13.962009999999999</v>
      </c>
      <c r="Q563">
        <v>83922</v>
      </c>
    </row>
    <row r="564" spans="1:17" x14ac:dyDescent="0.25">
      <c r="A564" t="s">
        <v>20</v>
      </c>
      <c r="B564">
        <v>29</v>
      </c>
      <c r="C564">
        <v>1.28</v>
      </c>
      <c r="D564">
        <v>2002</v>
      </c>
      <c r="E564" t="s">
        <v>28</v>
      </c>
      <c r="F564">
        <v>2002333</v>
      </c>
      <c r="G564">
        <v>2003087</v>
      </c>
      <c r="H564">
        <v>17605</v>
      </c>
      <c r="I564">
        <v>3366</v>
      </c>
      <c r="J564">
        <v>0</v>
      </c>
      <c r="K564">
        <v>760</v>
      </c>
      <c r="L564">
        <v>0</v>
      </c>
      <c r="M564">
        <v>100</v>
      </c>
      <c r="N564">
        <v>19.712779999999999</v>
      </c>
      <c r="O564">
        <v>7.5266659999999996</v>
      </c>
      <c r="P564">
        <v>13.720560000000001</v>
      </c>
      <c r="Q564">
        <v>117820</v>
      </c>
    </row>
    <row r="565" spans="1:17" x14ac:dyDescent="0.25">
      <c r="A565" t="s">
        <v>20</v>
      </c>
      <c r="B565">
        <v>29</v>
      </c>
      <c r="C565">
        <v>1.28</v>
      </c>
      <c r="D565">
        <v>2003</v>
      </c>
      <c r="E565" t="s">
        <v>28</v>
      </c>
      <c r="F565">
        <v>2003333</v>
      </c>
      <c r="G565">
        <v>2004085</v>
      </c>
      <c r="H565">
        <v>19622</v>
      </c>
      <c r="I565">
        <v>3222</v>
      </c>
      <c r="J565">
        <v>0</v>
      </c>
      <c r="K565">
        <v>769</v>
      </c>
      <c r="L565">
        <v>0</v>
      </c>
      <c r="M565">
        <v>100</v>
      </c>
      <c r="N565">
        <v>18.935199999999998</v>
      </c>
      <c r="O565">
        <v>6.8916209999999998</v>
      </c>
      <c r="P565">
        <v>12.841900000000001</v>
      </c>
      <c r="Q565">
        <v>112752</v>
      </c>
    </row>
    <row r="566" spans="1:17" x14ac:dyDescent="0.25">
      <c r="A566" t="s">
        <v>20</v>
      </c>
      <c r="B566">
        <v>29</v>
      </c>
      <c r="C566">
        <v>1.28</v>
      </c>
      <c r="D566">
        <v>2004</v>
      </c>
      <c r="E566" t="s">
        <v>28</v>
      </c>
      <c r="F566">
        <v>2004333</v>
      </c>
      <c r="G566">
        <v>2005101</v>
      </c>
      <c r="H566">
        <v>7064</v>
      </c>
      <c r="I566">
        <v>2214</v>
      </c>
      <c r="J566">
        <v>0</v>
      </c>
      <c r="K566">
        <v>373</v>
      </c>
      <c r="L566">
        <v>0</v>
      </c>
      <c r="M566">
        <v>100</v>
      </c>
      <c r="N566">
        <v>19.949169999999999</v>
      </c>
      <c r="O566">
        <v>4.891159</v>
      </c>
      <c r="P566">
        <v>14.12265</v>
      </c>
      <c r="Q566">
        <v>77472</v>
      </c>
    </row>
    <row r="567" spans="1:17" x14ac:dyDescent="0.25">
      <c r="A567" t="s">
        <v>20</v>
      </c>
      <c r="B567">
        <v>29</v>
      </c>
      <c r="C567">
        <v>1.28</v>
      </c>
      <c r="D567">
        <v>2005</v>
      </c>
      <c r="E567" t="s">
        <v>28</v>
      </c>
      <c r="F567">
        <v>2005333</v>
      </c>
      <c r="G567">
        <v>2006096</v>
      </c>
      <c r="H567">
        <v>15249</v>
      </c>
      <c r="I567">
        <v>4033</v>
      </c>
      <c r="J567">
        <v>0</v>
      </c>
      <c r="K567">
        <v>617</v>
      </c>
      <c r="L567">
        <v>0</v>
      </c>
      <c r="M567">
        <v>100</v>
      </c>
      <c r="N567">
        <v>19.522780000000001</v>
      </c>
      <c r="O567">
        <v>6.9105549999999996</v>
      </c>
      <c r="P567">
        <v>13.64945</v>
      </c>
      <c r="Q567">
        <v>141169</v>
      </c>
    </row>
    <row r="568" spans="1:17" x14ac:dyDescent="0.25">
      <c r="A568" t="s">
        <v>20</v>
      </c>
      <c r="B568">
        <v>29</v>
      </c>
      <c r="C568">
        <v>1.28</v>
      </c>
      <c r="D568">
        <v>2006</v>
      </c>
      <c r="E568" t="s">
        <v>28</v>
      </c>
      <c r="F568">
        <v>2006333</v>
      </c>
      <c r="G568">
        <v>2007093</v>
      </c>
      <c r="H568">
        <v>14228</v>
      </c>
      <c r="I568">
        <v>2909</v>
      </c>
      <c r="J568">
        <v>0</v>
      </c>
      <c r="K568">
        <v>668</v>
      </c>
      <c r="L568">
        <v>0</v>
      </c>
      <c r="M568">
        <v>100</v>
      </c>
      <c r="N568">
        <v>18.939450000000001</v>
      </c>
      <c r="O568">
        <v>6.4522240000000002</v>
      </c>
      <c r="P568">
        <v>13.705550000000001</v>
      </c>
      <c r="Q568">
        <v>101821</v>
      </c>
    </row>
    <row r="569" spans="1:17" x14ac:dyDescent="0.25">
      <c r="A569" t="s">
        <v>20</v>
      </c>
      <c r="B569">
        <v>29</v>
      </c>
      <c r="C569">
        <v>1.28</v>
      </c>
      <c r="D569">
        <v>2007</v>
      </c>
      <c r="E569" t="s">
        <v>28</v>
      </c>
      <c r="F569">
        <v>2007333</v>
      </c>
      <c r="G569">
        <v>2008087</v>
      </c>
      <c r="H569">
        <v>10044</v>
      </c>
      <c r="I569">
        <v>1641</v>
      </c>
      <c r="J569">
        <v>0</v>
      </c>
      <c r="K569">
        <v>653</v>
      </c>
      <c r="L569">
        <v>0</v>
      </c>
      <c r="M569">
        <v>100</v>
      </c>
      <c r="N569">
        <v>19.936109999999999</v>
      </c>
      <c r="O569">
        <v>6.5027780000000002</v>
      </c>
      <c r="P569">
        <v>14.216670000000001</v>
      </c>
      <c r="Q569">
        <v>57445</v>
      </c>
    </row>
    <row r="570" spans="1:17" x14ac:dyDescent="0.25">
      <c r="A570" t="s">
        <v>20</v>
      </c>
      <c r="B570">
        <v>29</v>
      </c>
      <c r="C570">
        <v>1.28</v>
      </c>
      <c r="D570">
        <v>2008</v>
      </c>
      <c r="E570" t="s">
        <v>29</v>
      </c>
      <c r="F570">
        <v>2008333</v>
      </c>
      <c r="G570">
        <v>2009092</v>
      </c>
      <c r="H570">
        <v>11453</v>
      </c>
      <c r="I570">
        <v>4183</v>
      </c>
      <c r="J570">
        <v>0</v>
      </c>
      <c r="K570">
        <v>486</v>
      </c>
      <c r="L570">
        <v>0</v>
      </c>
      <c r="M570">
        <v>100</v>
      </c>
      <c r="N570">
        <v>19.47654</v>
      </c>
      <c r="O570">
        <v>6.3150839999999997</v>
      </c>
      <c r="P570">
        <v>14.240780000000001</v>
      </c>
      <c r="Q570">
        <v>146393</v>
      </c>
    </row>
    <row r="571" spans="1:17" x14ac:dyDescent="0.25">
      <c r="A571" t="s">
        <v>20</v>
      </c>
      <c r="B571">
        <v>29</v>
      </c>
      <c r="C571">
        <v>1.28</v>
      </c>
      <c r="D571">
        <v>2009</v>
      </c>
      <c r="E571" t="s">
        <v>29</v>
      </c>
      <c r="F571">
        <v>2009333</v>
      </c>
      <c r="G571">
        <v>2010089</v>
      </c>
      <c r="H571">
        <v>15459</v>
      </c>
      <c r="I571">
        <v>3732</v>
      </c>
      <c r="J571">
        <v>0</v>
      </c>
      <c r="K571">
        <v>974</v>
      </c>
      <c r="L571">
        <v>0</v>
      </c>
      <c r="M571">
        <v>100</v>
      </c>
      <c r="N571">
        <v>18.92445</v>
      </c>
      <c r="O571">
        <v>7.768332</v>
      </c>
      <c r="P571">
        <v>13.588889999999999</v>
      </c>
      <c r="Q571">
        <v>130614</v>
      </c>
    </row>
    <row r="572" spans="1:17" x14ac:dyDescent="0.25">
      <c r="A572" t="s">
        <v>20</v>
      </c>
      <c r="B572">
        <v>29</v>
      </c>
      <c r="C572">
        <v>1.28</v>
      </c>
      <c r="D572">
        <v>2010</v>
      </c>
      <c r="E572" t="s">
        <v>29</v>
      </c>
      <c r="F572">
        <v>2010333</v>
      </c>
      <c r="G572">
        <v>2011088</v>
      </c>
      <c r="H572">
        <v>17343</v>
      </c>
      <c r="I572">
        <v>4561</v>
      </c>
      <c r="J572">
        <v>0</v>
      </c>
      <c r="K572">
        <v>847</v>
      </c>
      <c r="L572">
        <v>0</v>
      </c>
      <c r="M572">
        <v>100</v>
      </c>
      <c r="N572">
        <v>20.036519999999999</v>
      </c>
      <c r="O572">
        <v>8.5522480000000005</v>
      </c>
      <c r="P572">
        <v>14.138769999999999</v>
      </c>
      <c r="Q572">
        <v>159631</v>
      </c>
    </row>
    <row r="573" spans="1:17" x14ac:dyDescent="0.25">
      <c r="A573" t="s">
        <v>20</v>
      </c>
      <c r="B573">
        <v>29</v>
      </c>
      <c r="C573">
        <v>1.28</v>
      </c>
      <c r="D573">
        <v>2011</v>
      </c>
      <c r="E573" t="s">
        <v>29</v>
      </c>
      <c r="F573">
        <v>2011333</v>
      </c>
      <c r="G573">
        <v>2012100</v>
      </c>
      <c r="H573">
        <v>385</v>
      </c>
      <c r="I573">
        <v>93</v>
      </c>
      <c r="J573">
        <v>0</v>
      </c>
      <c r="K573">
        <v>318</v>
      </c>
      <c r="L573">
        <v>0</v>
      </c>
      <c r="M573">
        <v>100</v>
      </c>
      <c r="N573">
        <v>20.06833</v>
      </c>
      <c r="O573">
        <v>4.5911119999999999</v>
      </c>
      <c r="P573">
        <v>15.75278</v>
      </c>
      <c r="Q573">
        <v>3267</v>
      </c>
    </row>
    <row r="574" spans="1:17" x14ac:dyDescent="0.25">
      <c r="A574" t="s">
        <v>20</v>
      </c>
      <c r="B574">
        <v>29</v>
      </c>
      <c r="C574">
        <v>1.28</v>
      </c>
      <c r="D574">
        <v>2012</v>
      </c>
      <c r="E574" t="s">
        <v>29</v>
      </c>
      <c r="F574">
        <v>2012333</v>
      </c>
      <c r="G574">
        <v>2013091</v>
      </c>
      <c r="H574">
        <v>18498</v>
      </c>
      <c r="I574">
        <v>4245</v>
      </c>
      <c r="J574">
        <v>0</v>
      </c>
      <c r="K574">
        <v>903</v>
      </c>
      <c r="L574">
        <v>0</v>
      </c>
      <c r="M574">
        <v>100</v>
      </c>
      <c r="N574">
        <v>18.7118</v>
      </c>
      <c r="O574">
        <v>7.127529</v>
      </c>
      <c r="P574">
        <v>13.97752</v>
      </c>
      <c r="Q574">
        <v>148575</v>
      </c>
    </row>
    <row r="575" spans="1:17" x14ac:dyDescent="0.25">
      <c r="A575" t="s">
        <v>20</v>
      </c>
      <c r="B575">
        <v>29</v>
      </c>
      <c r="C575">
        <v>1.28</v>
      </c>
      <c r="D575">
        <v>2013</v>
      </c>
      <c r="E575" t="s">
        <v>29</v>
      </c>
      <c r="F575">
        <v>2013333</v>
      </c>
      <c r="G575">
        <v>2014093</v>
      </c>
      <c r="H575">
        <v>10715</v>
      </c>
      <c r="I575">
        <v>3829</v>
      </c>
      <c r="J575">
        <v>0</v>
      </c>
      <c r="K575">
        <v>431</v>
      </c>
      <c r="L575">
        <v>0</v>
      </c>
      <c r="M575">
        <v>100</v>
      </c>
      <c r="N575">
        <v>20.58418</v>
      </c>
      <c r="O575">
        <v>8.0126580000000001</v>
      </c>
      <c r="P575">
        <v>16.458860000000001</v>
      </c>
      <c r="Q575">
        <v>134002</v>
      </c>
    </row>
    <row r="576" spans="1:17" x14ac:dyDescent="0.25">
      <c r="A576" t="s">
        <v>20</v>
      </c>
      <c r="B576">
        <v>29</v>
      </c>
      <c r="C576">
        <v>1.28</v>
      </c>
      <c r="D576">
        <v>2014</v>
      </c>
      <c r="E576" t="s">
        <v>29</v>
      </c>
      <c r="F576">
        <v>2014333</v>
      </c>
      <c r="G576">
        <v>2015094</v>
      </c>
      <c r="H576">
        <v>7675</v>
      </c>
      <c r="I576">
        <v>2544</v>
      </c>
      <c r="J576">
        <v>0</v>
      </c>
      <c r="K576">
        <v>480</v>
      </c>
      <c r="L576">
        <v>0</v>
      </c>
      <c r="M576">
        <v>100</v>
      </c>
      <c r="N576">
        <v>20.728179999999998</v>
      </c>
      <c r="O576">
        <v>5.9823209999999998</v>
      </c>
      <c r="P576">
        <v>15.956899999999999</v>
      </c>
      <c r="Q576">
        <v>89028</v>
      </c>
    </row>
    <row r="577" spans="1:17" x14ac:dyDescent="0.25">
      <c r="A577" t="s">
        <v>20</v>
      </c>
      <c r="B577">
        <v>29</v>
      </c>
      <c r="C577">
        <v>1.28</v>
      </c>
      <c r="D577">
        <v>2015</v>
      </c>
      <c r="E577" t="s">
        <v>29</v>
      </c>
      <c r="F577">
        <v>2015333</v>
      </c>
      <c r="G577">
        <v>2016086</v>
      </c>
      <c r="H577">
        <v>13272</v>
      </c>
      <c r="I577">
        <v>3305</v>
      </c>
      <c r="J577">
        <v>0</v>
      </c>
      <c r="K577">
        <v>648</v>
      </c>
      <c r="L577">
        <v>0</v>
      </c>
      <c r="M577">
        <v>100</v>
      </c>
      <c r="N577">
        <v>19.621670000000002</v>
      </c>
      <c r="O577">
        <v>7.1494470000000003</v>
      </c>
      <c r="P577">
        <v>14.338889999999999</v>
      </c>
      <c r="Q577">
        <v>115677</v>
      </c>
    </row>
    <row r="578" spans="1:17" x14ac:dyDescent="0.25">
      <c r="A578" t="s">
        <v>20</v>
      </c>
      <c r="B578">
        <v>29</v>
      </c>
      <c r="C578">
        <v>1.28</v>
      </c>
      <c r="D578">
        <v>2016</v>
      </c>
      <c r="E578" t="s">
        <v>29</v>
      </c>
      <c r="F578">
        <v>2016333</v>
      </c>
      <c r="G578">
        <v>2017089</v>
      </c>
      <c r="H578">
        <v>13906</v>
      </c>
      <c r="I578">
        <v>4846</v>
      </c>
      <c r="J578">
        <v>0</v>
      </c>
      <c r="K578">
        <v>627</v>
      </c>
      <c r="L578">
        <v>0</v>
      </c>
      <c r="M578">
        <v>100</v>
      </c>
      <c r="N578">
        <v>20.85934</v>
      </c>
      <c r="O578">
        <v>7.1593390000000001</v>
      </c>
      <c r="P578">
        <v>16.436820000000001</v>
      </c>
      <c r="Q578">
        <v>169607</v>
      </c>
    </row>
    <row r="579" spans="1:17" x14ac:dyDescent="0.25">
      <c r="A579" t="s">
        <v>20</v>
      </c>
      <c r="B579">
        <v>29</v>
      </c>
      <c r="C579">
        <v>1.28</v>
      </c>
      <c r="D579">
        <v>2017</v>
      </c>
      <c r="E579" t="s">
        <v>29</v>
      </c>
      <c r="F579">
        <v>2017333</v>
      </c>
      <c r="G579">
        <v>2018095</v>
      </c>
      <c r="H579">
        <v>14357</v>
      </c>
      <c r="I579">
        <v>3824</v>
      </c>
      <c r="J579">
        <v>0</v>
      </c>
      <c r="K579">
        <v>597</v>
      </c>
      <c r="L579">
        <v>0</v>
      </c>
      <c r="M579">
        <v>100</v>
      </c>
      <c r="N579">
        <v>18.79045</v>
      </c>
      <c r="O579">
        <v>6.4174150000000001</v>
      </c>
      <c r="P579">
        <v>15.093819999999999</v>
      </c>
      <c r="Q579">
        <v>133855</v>
      </c>
    </row>
    <row r="580" spans="1:17" x14ac:dyDescent="0.25">
      <c r="A580" t="s">
        <v>20</v>
      </c>
      <c r="B580">
        <v>29</v>
      </c>
      <c r="C580">
        <v>1.28</v>
      </c>
      <c r="D580">
        <v>2018</v>
      </c>
      <c r="E580" t="s">
        <v>29</v>
      </c>
      <c r="F580">
        <v>2018333</v>
      </c>
      <c r="G580">
        <v>2019089</v>
      </c>
      <c r="H580">
        <v>5151</v>
      </c>
      <c r="I580">
        <v>1387</v>
      </c>
      <c r="J580">
        <v>0</v>
      </c>
      <c r="K580">
        <v>451</v>
      </c>
      <c r="L580">
        <v>0</v>
      </c>
      <c r="M580">
        <v>100</v>
      </c>
      <c r="N580">
        <v>21.47167</v>
      </c>
      <c r="O580">
        <v>5.863334</v>
      </c>
      <c r="P580">
        <v>17.65944</v>
      </c>
      <c r="Q580">
        <v>48553</v>
      </c>
    </row>
    <row r="581" spans="1:17" x14ac:dyDescent="0.25">
      <c r="A581" t="s">
        <v>20</v>
      </c>
      <c r="B581">
        <v>29</v>
      </c>
      <c r="C581">
        <v>1.28</v>
      </c>
      <c r="D581">
        <v>2019</v>
      </c>
      <c r="E581" t="s">
        <v>29</v>
      </c>
      <c r="F581">
        <v>2019333</v>
      </c>
      <c r="G581">
        <v>2020076</v>
      </c>
      <c r="H581">
        <v>8404</v>
      </c>
      <c r="I581">
        <v>1856</v>
      </c>
      <c r="J581">
        <v>0</v>
      </c>
      <c r="K581">
        <v>492</v>
      </c>
      <c r="L581">
        <v>0</v>
      </c>
      <c r="M581">
        <v>100</v>
      </c>
      <c r="N581">
        <v>21.1663</v>
      </c>
      <c r="O581">
        <v>8.4215450000000001</v>
      </c>
      <c r="P581">
        <v>15.91602</v>
      </c>
      <c r="Q581">
        <v>64967</v>
      </c>
    </row>
    <row r="582" spans="1:17" x14ac:dyDescent="0.25">
      <c r="A582" t="s">
        <v>20</v>
      </c>
      <c r="B582">
        <v>30</v>
      </c>
      <c r="C582">
        <v>0.95</v>
      </c>
      <c r="D582">
        <v>2000</v>
      </c>
      <c r="E582" t="s">
        <v>28</v>
      </c>
      <c r="F582">
        <v>2000350</v>
      </c>
      <c r="G582">
        <v>2001086</v>
      </c>
      <c r="H582">
        <v>13154</v>
      </c>
      <c r="I582">
        <v>2708</v>
      </c>
      <c r="J582">
        <v>0</v>
      </c>
      <c r="K582">
        <v>673</v>
      </c>
      <c r="L582">
        <v>0</v>
      </c>
      <c r="M582">
        <v>75</v>
      </c>
      <c r="N582">
        <v>20.80123</v>
      </c>
      <c r="O582">
        <v>9.990183</v>
      </c>
      <c r="P582">
        <v>14.542949999999999</v>
      </c>
      <c r="Q582">
        <v>121860</v>
      </c>
    </row>
    <row r="583" spans="1:17" x14ac:dyDescent="0.25">
      <c r="A583" t="s">
        <v>20</v>
      </c>
      <c r="B583">
        <v>30</v>
      </c>
      <c r="C583">
        <v>0.95</v>
      </c>
      <c r="D583">
        <v>2001</v>
      </c>
      <c r="E583" t="s">
        <v>28</v>
      </c>
      <c r="F583">
        <v>2001350</v>
      </c>
      <c r="G583">
        <v>2002097</v>
      </c>
      <c r="H583">
        <v>11483</v>
      </c>
      <c r="I583">
        <v>3046</v>
      </c>
      <c r="J583">
        <v>0</v>
      </c>
      <c r="K583">
        <v>574</v>
      </c>
      <c r="L583">
        <v>0</v>
      </c>
      <c r="M583">
        <v>75</v>
      </c>
      <c r="N583">
        <v>20.403729999999999</v>
      </c>
      <c r="O583">
        <v>7.086957</v>
      </c>
      <c r="P583">
        <v>14.721120000000001</v>
      </c>
      <c r="Q583">
        <v>137068</v>
      </c>
    </row>
    <row r="584" spans="1:17" x14ac:dyDescent="0.25">
      <c r="A584" t="s">
        <v>20</v>
      </c>
      <c r="B584">
        <v>30</v>
      </c>
      <c r="C584">
        <v>0.95</v>
      </c>
      <c r="D584">
        <v>2002</v>
      </c>
      <c r="E584" t="s">
        <v>28</v>
      </c>
      <c r="F584">
        <v>2002350</v>
      </c>
      <c r="G584">
        <v>2003101</v>
      </c>
      <c r="H584">
        <v>16539</v>
      </c>
      <c r="I584">
        <v>3973</v>
      </c>
      <c r="J584">
        <v>0</v>
      </c>
      <c r="K584">
        <v>760</v>
      </c>
      <c r="L584">
        <v>0</v>
      </c>
      <c r="M584">
        <v>75</v>
      </c>
      <c r="N584">
        <v>20.087810000000001</v>
      </c>
      <c r="O584">
        <v>7.5621929999999997</v>
      </c>
      <c r="P584">
        <v>14.48049</v>
      </c>
      <c r="Q584">
        <v>178785</v>
      </c>
    </row>
    <row r="585" spans="1:17" x14ac:dyDescent="0.25">
      <c r="A585" t="s">
        <v>20</v>
      </c>
      <c r="B585">
        <v>30</v>
      </c>
      <c r="C585">
        <v>0.95</v>
      </c>
      <c r="D585">
        <v>2003</v>
      </c>
      <c r="E585" t="s">
        <v>28</v>
      </c>
      <c r="F585">
        <v>2003350</v>
      </c>
      <c r="G585">
        <v>2004099</v>
      </c>
      <c r="H585">
        <v>17756</v>
      </c>
      <c r="I585">
        <v>3069</v>
      </c>
      <c r="J585">
        <v>0</v>
      </c>
      <c r="K585">
        <v>769</v>
      </c>
      <c r="L585">
        <v>0</v>
      </c>
      <c r="M585">
        <v>75</v>
      </c>
      <c r="N585">
        <v>19.2773</v>
      </c>
      <c r="O585">
        <v>6.9533740000000002</v>
      </c>
      <c r="P585">
        <v>13.46748</v>
      </c>
      <c r="Q585">
        <v>138126</v>
      </c>
    </row>
    <row r="586" spans="1:17" x14ac:dyDescent="0.25">
      <c r="A586" t="s">
        <v>20</v>
      </c>
      <c r="B586">
        <v>30</v>
      </c>
      <c r="C586">
        <v>0.95</v>
      </c>
      <c r="D586">
        <v>2004</v>
      </c>
      <c r="E586" t="s">
        <v>28</v>
      </c>
      <c r="F586">
        <v>2004350</v>
      </c>
      <c r="G586">
        <v>2005111</v>
      </c>
      <c r="H586">
        <v>5438</v>
      </c>
      <c r="I586">
        <v>1652</v>
      </c>
      <c r="J586">
        <v>0</v>
      </c>
      <c r="K586">
        <v>373</v>
      </c>
      <c r="L586">
        <v>0</v>
      </c>
      <c r="M586">
        <v>75</v>
      </c>
      <c r="N586">
        <v>20.385269999999998</v>
      </c>
      <c r="O586">
        <v>4.9190180000000003</v>
      </c>
      <c r="P586">
        <v>14.96687</v>
      </c>
      <c r="Q586">
        <v>74320</v>
      </c>
    </row>
    <row r="587" spans="1:17" x14ac:dyDescent="0.25">
      <c r="A587" t="s">
        <v>20</v>
      </c>
      <c r="B587">
        <v>30</v>
      </c>
      <c r="C587">
        <v>0.95</v>
      </c>
      <c r="D587">
        <v>2005</v>
      </c>
      <c r="E587" t="s">
        <v>28</v>
      </c>
      <c r="F587">
        <v>2005350</v>
      </c>
      <c r="G587">
        <v>2006103</v>
      </c>
      <c r="H587">
        <v>13525</v>
      </c>
      <c r="I587">
        <v>3934</v>
      </c>
      <c r="J587">
        <v>0</v>
      </c>
      <c r="K587">
        <v>617</v>
      </c>
      <c r="L587">
        <v>0</v>
      </c>
      <c r="M587">
        <v>75</v>
      </c>
      <c r="N587">
        <v>19.98827</v>
      </c>
      <c r="O587">
        <v>7.4</v>
      </c>
      <c r="P587">
        <v>14.219749999999999</v>
      </c>
      <c r="Q587">
        <v>177024</v>
      </c>
    </row>
    <row r="588" spans="1:17" x14ac:dyDescent="0.25">
      <c r="A588" t="s">
        <v>20</v>
      </c>
      <c r="B588">
        <v>30</v>
      </c>
      <c r="C588">
        <v>0.95</v>
      </c>
      <c r="D588">
        <v>2006</v>
      </c>
      <c r="E588" t="s">
        <v>28</v>
      </c>
      <c r="F588">
        <v>2006350</v>
      </c>
      <c r="G588">
        <v>2007104</v>
      </c>
      <c r="H588">
        <v>12652</v>
      </c>
      <c r="I588">
        <v>2897</v>
      </c>
      <c r="J588">
        <v>0</v>
      </c>
      <c r="K588">
        <v>668</v>
      </c>
      <c r="L588">
        <v>0</v>
      </c>
      <c r="M588">
        <v>75</v>
      </c>
      <c r="N588">
        <v>19.455279999999998</v>
      </c>
      <c r="O588">
        <v>6.839753</v>
      </c>
      <c r="P588">
        <v>14.40124</v>
      </c>
      <c r="Q588">
        <v>130381</v>
      </c>
    </row>
    <row r="589" spans="1:17" x14ac:dyDescent="0.25">
      <c r="A589" t="s">
        <v>20</v>
      </c>
      <c r="B589">
        <v>30</v>
      </c>
      <c r="C589">
        <v>0.95</v>
      </c>
      <c r="D589">
        <v>2007</v>
      </c>
      <c r="E589" t="s">
        <v>28</v>
      </c>
      <c r="F589">
        <v>2007350</v>
      </c>
      <c r="G589">
        <v>2008097</v>
      </c>
      <c r="H589">
        <v>8091</v>
      </c>
      <c r="I589">
        <v>1273</v>
      </c>
      <c r="J589">
        <v>0</v>
      </c>
      <c r="K589">
        <v>653</v>
      </c>
      <c r="L589">
        <v>0</v>
      </c>
      <c r="M589">
        <v>75</v>
      </c>
      <c r="N589">
        <v>20.348469999999999</v>
      </c>
      <c r="O589">
        <v>6.8312869999999997</v>
      </c>
      <c r="P589">
        <v>14.97362</v>
      </c>
      <c r="Q589">
        <v>57265</v>
      </c>
    </row>
    <row r="590" spans="1:17" x14ac:dyDescent="0.25">
      <c r="A590" t="s">
        <v>20</v>
      </c>
      <c r="B590">
        <v>30</v>
      </c>
      <c r="C590">
        <v>0.95</v>
      </c>
      <c r="D590">
        <v>2008</v>
      </c>
      <c r="E590" t="s">
        <v>28</v>
      </c>
      <c r="F590">
        <v>2008350</v>
      </c>
      <c r="G590">
        <v>2009101</v>
      </c>
      <c r="H590">
        <v>9605</v>
      </c>
      <c r="I590">
        <v>2899</v>
      </c>
      <c r="J590">
        <v>0</v>
      </c>
      <c r="K590">
        <v>486</v>
      </c>
      <c r="L590">
        <v>0</v>
      </c>
      <c r="M590">
        <v>75</v>
      </c>
      <c r="N590">
        <v>20.11111</v>
      </c>
      <c r="O590">
        <v>6.6296309999999998</v>
      </c>
      <c r="P590">
        <v>15.057399999999999</v>
      </c>
      <c r="Q590">
        <v>130437</v>
      </c>
    </row>
    <row r="591" spans="1:17" x14ac:dyDescent="0.25">
      <c r="A591" t="s">
        <v>20</v>
      </c>
      <c r="B591">
        <v>30</v>
      </c>
      <c r="C591">
        <v>0.95</v>
      </c>
      <c r="D591">
        <v>2009</v>
      </c>
      <c r="E591" t="s">
        <v>29</v>
      </c>
      <c r="F591">
        <v>2009350</v>
      </c>
      <c r="G591">
        <v>2010100</v>
      </c>
      <c r="H591">
        <v>16750</v>
      </c>
      <c r="I591">
        <v>4722</v>
      </c>
      <c r="J591">
        <v>0</v>
      </c>
      <c r="K591">
        <v>974</v>
      </c>
      <c r="L591">
        <v>0</v>
      </c>
      <c r="M591">
        <v>75</v>
      </c>
      <c r="N591">
        <v>19.545059999999999</v>
      </c>
      <c r="O591">
        <v>8.233333</v>
      </c>
      <c r="P591">
        <v>14.42469</v>
      </c>
      <c r="Q591">
        <v>212507</v>
      </c>
    </row>
    <row r="592" spans="1:17" x14ac:dyDescent="0.25">
      <c r="A592" t="s">
        <v>20</v>
      </c>
      <c r="B592">
        <v>30</v>
      </c>
      <c r="C592">
        <v>0.95</v>
      </c>
      <c r="D592">
        <v>2010</v>
      </c>
      <c r="E592" t="s">
        <v>29</v>
      </c>
      <c r="F592">
        <v>2010350</v>
      </c>
      <c r="G592">
        <v>2011098</v>
      </c>
      <c r="H592">
        <v>16940</v>
      </c>
      <c r="I592">
        <v>4760</v>
      </c>
      <c r="J592">
        <v>0</v>
      </c>
      <c r="K592">
        <v>847</v>
      </c>
      <c r="L592">
        <v>0</v>
      </c>
      <c r="M592">
        <v>75</v>
      </c>
      <c r="N592">
        <v>20.407360000000001</v>
      </c>
      <c r="O592">
        <v>8.5472400000000004</v>
      </c>
      <c r="P592">
        <v>14.89509</v>
      </c>
      <c r="Q592">
        <v>214210</v>
      </c>
    </row>
    <row r="593" spans="1:17" x14ac:dyDescent="0.25">
      <c r="A593" t="s">
        <v>20</v>
      </c>
      <c r="B593">
        <v>30</v>
      </c>
      <c r="C593">
        <v>0.95</v>
      </c>
      <c r="D593">
        <v>2011</v>
      </c>
      <c r="E593" t="s">
        <v>29</v>
      </c>
      <c r="F593">
        <v>2011350</v>
      </c>
      <c r="G593">
        <v>2012110</v>
      </c>
      <c r="H593">
        <v>306</v>
      </c>
      <c r="I593">
        <v>53</v>
      </c>
      <c r="J593">
        <v>0</v>
      </c>
      <c r="K593">
        <v>318</v>
      </c>
      <c r="L593">
        <v>0</v>
      </c>
      <c r="M593">
        <v>75</v>
      </c>
      <c r="N593">
        <v>20.624839999999999</v>
      </c>
      <c r="O593">
        <v>4.639132</v>
      </c>
      <c r="P593">
        <v>16.714279999999999</v>
      </c>
      <c r="Q593">
        <v>2371</v>
      </c>
    </row>
    <row r="594" spans="1:17" x14ac:dyDescent="0.25">
      <c r="A594" t="s">
        <v>20</v>
      </c>
      <c r="B594">
        <v>30</v>
      </c>
      <c r="C594">
        <v>0.95</v>
      </c>
      <c r="D594">
        <v>2012</v>
      </c>
      <c r="E594" t="s">
        <v>29</v>
      </c>
      <c r="F594">
        <v>2012350</v>
      </c>
      <c r="G594">
        <v>2013104</v>
      </c>
      <c r="H594">
        <v>18585</v>
      </c>
      <c r="I594">
        <v>4980</v>
      </c>
      <c r="J594">
        <v>0</v>
      </c>
      <c r="K594">
        <v>903</v>
      </c>
      <c r="L594">
        <v>0</v>
      </c>
      <c r="M594">
        <v>75</v>
      </c>
      <c r="N594">
        <v>18.982430000000001</v>
      </c>
      <c r="O594">
        <v>7.1206079999999998</v>
      </c>
      <c r="P594">
        <v>14.65151</v>
      </c>
      <c r="Q594">
        <v>224101</v>
      </c>
    </row>
    <row r="595" spans="1:17" x14ac:dyDescent="0.25">
      <c r="A595" t="s">
        <v>20</v>
      </c>
      <c r="B595">
        <v>30</v>
      </c>
      <c r="C595">
        <v>0.95</v>
      </c>
      <c r="D595">
        <v>2013</v>
      </c>
      <c r="E595" t="s">
        <v>29</v>
      </c>
      <c r="F595">
        <v>2013350</v>
      </c>
      <c r="G595">
        <v>2014098</v>
      </c>
      <c r="H595">
        <v>10413</v>
      </c>
      <c r="I595">
        <v>3841</v>
      </c>
      <c r="J595">
        <v>0</v>
      </c>
      <c r="K595">
        <v>431</v>
      </c>
      <c r="L595">
        <v>0</v>
      </c>
      <c r="M595">
        <v>75</v>
      </c>
      <c r="N595">
        <v>20.58418</v>
      </c>
      <c r="O595">
        <v>8.0126580000000001</v>
      </c>
      <c r="P595">
        <v>16.458860000000001</v>
      </c>
      <c r="Q595">
        <v>172832</v>
      </c>
    </row>
    <row r="596" spans="1:17" x14ac:dyDescent="0.25">
      <c r="A596" t="s">
        <v>20</v>
      </c>
      <c r="B596">
        <v>30</v>
      </c>
      <c r="C596">
        <v>0.95</v>
      </c>
      <c r="D596">
        <v>2014</v>
      </c>
      <c r="E596" t="s">
        <v>29</v>
      </c>
      <c r="F596">
        <v>2014350</v>
      </c>
      <c r="G596">
        <v>2015104</v>
      </c>
      <c r="H596">
        <v>4562</v>
      </c>
      <c r="I596">
        <v>1639</v>
      </c>
      <c r="J596">
        <v>0</v>
      </c>
      <c r="K596">
        <v>480</v>
      </c>
      <c r="L596">
        <v>0</v>
      </c>
      <c r="M596">
        <v>75</v>
      </c>
      <c r="N596">
        <v>21.38589</v>
      </c>
      <c r="O596">
        <v>6.2085900000000001</v>
      </c>
      <c r="P596">
        <v>16.893249999999998</v>
      </c>
      <c r="Q596">
        <v>73763</v>
      </c>
    </row>
    <row r="597" spans="1:17" x14ac:dyDescent="0.25">
      <c r="A597" t="s">
        <v>20</v>
      </c>
      <c r="B597">
        <v>30</v>
      </c>
      <c r="C597">
        <v>0.95</v>
      </c>
      <c r="D597">
        <v>2015</v>
      </c>
      <c r="E597" t="s">
        <v>29</v>
      </c>
      <c r="F597">
        <v>2015350</v>
      </c>
      <c r="G597">
        <v>2016098</v>
      </c>
      <c r="H597">
        <v>16297</v>
      </c>
      <c r="I597">
        <v>3821</v>
      </c>
      <c r="J597">
        <v>0</v>
      </c>
      <c r="K597">
        <v>648</v>
      </c>
      <c r="L597">
        <v>0</v>
      </c>
      <c r="M597">
        <v>75</v>
      </c>
      <c r="N597">
        <v>19.661729999999999</v>
      </c>
      <c r="O597">
        <v>7.3925929999999997</v>
      </c>
      <c r="P597">
        <v>14.903700000000001</v>
      </c>
      <c r="Q597">
        <v>171955</v>
      </c>
    </row>
    <row r="598" spans="1:17" x14ac:dyDescent="0.25">
      <c r="A598" t="s">
        <v>20</v>
      </c>
      <c r="B598">
        <v>30</v>
      </c>
      <c r="C598">
        <v>0.95</v>
      </c>
      <c r="D598">
        <v>2016</v>
      </c>
      <c r="E598" t="s">
        <v>29</v>
      </c>
      <c r="F598">
        <v>2016350</v>
      </c>
      <c r="G598">
        <v>2017098</v>
      </c>
      <c r="H598">
        <v>12091</v>
      </c>
      <c r="I598">
        <v>3524</v>
      </c>
      <c r="J598">
        <v>0</v>
      </c>
      <c r="K598">
        <v>627</v>
      </c>
      <c r="L598">
        <v>0</v>
      </c>
      <c r="M598">
        <v>75</v>
      </c>
      <c r="N598">
        <v>21.301220000000001</v>
      </c>
      <c r="O598">
        <v>7.1121949999999998</v>
      </c>
      <c r="P598">
        <v>17.343900000000001</v>
      </c>
      <c r="Q598">
        <v>158580</v>
      </c>
    </row>
    <row r="599" spans="1:17" x14ac:dyDescent="0.25">
      <c r="A599" t="s">
        <v>20</v>
      </c>
      <c r="B599">
        <v>30</v>
      </c>
      <c r="C599">
        <v>0.95</v>
      </c>
      <c r="D599">
        <v>2017</v>
      </c>
      <c r="E599" t="s">
        <v>29</v>
      </c>
      <c r="F599">
        <v>2017350</v>
      </c>
      <c r="G599">
        <v>2018106</v>
      </c>
      <c r="H599">
        <v>11522</v>
      </c>
      <c r="I599">
        <v>3481</v>
      </c>
      <c r="J599">
        <v>0</v>
      </c>
      <c r="K599">
        <v>597</v>
      </c>
      <c r="L599">
        <v>0</v>
      </c>
      <c r="M599">
        <v>75</v>
      </c>
      <c r="N599">
        <v>19.170369999999998</v>
      </c>
      <c r="O599">
        <v>6.7901239999999996</v>
      </c>
      <c r="P599">
        <v>15.72284</v>
      </c>
      <c r="Q599">
        <v>156659</v>
      </c>
    </row>
    <row r="600" spans="1:17" x14ac:dyDescent="0.25">
      <c r="A600" t="s">
        <v>20</v>
      </c>
      <c r="B600">
        <v>30</v>
      </c>
      <c r="C600">
        <v>0.95</v>
      </c>
      <c r="D600">
        <v>2018</v>
      </c>
      <c r="E600" t="s">
        <v>29</v>
      </c>
      <c r="F600">
        <v>2018350</v>
      </c>
      <c r="G600">
        <v>2019101</v>
      </c>
      <c r="H600">
        <v>3481</v>
      </c>
      <c r="I600">
        <v>1339</v>
      </c>
      <c r="J600">
        <v>0</v>
      </c>
      <c r="K600">
        <v>451</v>
      </c>
      <c r="L600">
        <v>0</v>
      </c>
      <c r="M600">
        <v>75</v>
      </c>
      <c r="N600">
        <v>21.861350000000002</v>
      </c>
      <c r="O600">
        <v>5.9588960000000002</v>
      </c>
      <c r="P600">
        <v>18.55706</v>
      </c>
      <c r="Q600">
        <v>60242</v>
      </c>
    </row>
    <row r="601" spans="1:17" x14ac:dyDescent="0.25">
      <c r="A601" t="s">
        <v>20</v>
      </c>
      <c r="B601">
        <v>30</v>
      </c>
      <c r="C601">
        <v>0.95</v>
      </c>
      <c r="D601">
        <v>2019</v>
      </c>
      <c r="E601" t="s">
        <v>29</v>
      </c>
      <c r="F601">
        <v>2019350</v>
      </c>
      <c r="G601">
        <v>2020092</v>
      </c>
      <c r="H601">
        <v>9299</v>
      </c>
      <c r="I601">
        <v>2072</v>
      </c>
      <c r="J601">
        <v>0</v>
      </c>
      <c r="K601">
        <v>492</v>
      </c>
      <c r="L601">
        <v>0</v>
      </c>
      <c r="M601">
        <v>75</v>
      </c>
      <c r="N601">
        <v>21.603069999999999</v>
      </c>
      <c r="O601">
        <v>8.5674829999999993</v>
      </c>
      <c r="P601">
        <v>16.814109999999999</v>
      </c>
      <c r="Q601">
        <v>93222</v>
      </c>
    </row>
    <row r="602" spans="1:17" x14ac:dyDescent="0.25">
      <c r="A602" t="s">
        <v>20</v>
      </c>
      <c r="B602">
        <v>31</v>
      </c>
      <c r="C602">
        <v>1.1599999999999999</v>
      </c>
      <c r="D602">
        <v>2000</v>
      </c>
      <c r="E602" t="s">
        <v>28</v>
      </c>
      <c r="F602">
        <v>2000350</v>
      </c>
      <c r="G602">
        <v>2001086</v>
      </c>
      <c r="H602">
        <v>12218</v>
      </c>
      <c r="I602">
        <v>2708</v>
      </c>
      <c r="J602">
        <v>0</v>
      </c>
      <c r="K602">
        <v>673</v>
      </c>
      <c r="L602">
        <v>0</v>
      </c>
      <c r="M602">
        <v>75</v>
      </c>
      <c r="N602">
        <v>20.80123</v>
      </c>
      <c r="O602">
        <v>9.990183</v>
      </c>
      <c r="P602">
        <v>14.542949999999999</v>
      </c>
      <c r="Q602">
        <v>105612</v>
      </c>
    </row>
    <row r="603" spans="1:17" x14ac:dyDescent="0.25">
      <c r="A603" t="s">
        <v>20</v>
      </c>
      <c r="B603">
        <v>31</v>
      </c>
      <c r="C603">
        <v>1.1599999999999999</v>
      </c>
      <c r="D603">
        <v>2001</v>
      </c>
      <c r="E603" t="s">
        <v>28</v>
      </c>
      <c r="F603">
        <v>2001350</v>
      </c>
      <c r="G603">
        <v>2002097</v>
      </c>
      <c r="H603">
        <v>11041</v>
      </c>
      <c r="I603">
        <v>2951</v>
      </c>
      <c r="J603">
        <v>0</v>
      </c>
      <c r="K603">
        <v>574</v>
      </c>
      <c r="L603">
        <v>0</v>
      </c>
      <c r="M603">
        <v>75</v>
      </c>
      <c r="N603">
        <v>20.403729999999999</v>
      </c>
      <c r="O603">
        <v>7.086957</v>
      </c>
      <c r="P603">
        <v>14.721120000000001</v>
      </c>
      <c r="Q603">
        <v>115092</v>
      </c>
    </row>
    <row r="604" spans="1:17" x14ac:dyDescent="0.25">
      <c r="A604" t="s">
        <v>20</v>
      </c>
      <c r="B604">
        <v>31</v>
      </c>
      <c r="C604">
        <v>1.1599999999999999</v>
      </c>
      <c r="D604">
        <v>2002</v>
      </c>
      <c r="E604" t="s">
        <v>28</v>
      </c>
      <c r="F604">
        <v>2002350</v>
      </c>
      <c r="G604">
        <v>2003101</v>
      </c>
      <c r="H604">
        <v>15531</v>
      </c>
      <c r="I604">
        <v>3973</v>
      </c>
      <c r="J604">
        <v>0</v>
      </c>
      <c r="K604">
        <v>760</v>
      </c>
      <c r="L604">
        <v>0</v>
      </c>
      <c r="M604">
        <v>75</v>
      </c>
      <c r="N604">
        <v>20.087810000000001</v>
      </c>
      <c r="O604">
        <v>7.5621929999999997</v>
      </c>
      <c r="P604">
        <v>14.48049</v>
      </c>
      <c r="Q604">
        <v>154947</v>
      </c>
    </row>
    <row r="605" spans="1:17" x14ac:dyDescent="0.25">
      <c r="A605" t="s">
        <v>20</v>
      </c>
      <c r="B605">
        <v>31</v>
      </c>
      <c r="C605">
        <v>1.1599999999999999</v>
      </c>
      <c r="D605">
        <v>2003</v>
      </c>
      <c r="E605" t="s">
        <v>28</v>
      </c>
      <c r="F605">
        <v>2003350</v>
      </c>
      <c r="G605">
        <v>2004099</v>
      </c>
      <c r="H605">
        <v>17242</v>
      </c>
      <c r="I605">
        <v>3001</v>
      </c>
      <c r="J605">
        <v>0</v>
      </c>
      <c r="K605">
        <v>769</v>
      </c>
      <c r="L605">
        <v>0</v>
      </c>
      <c r="M605">
        <v>75</v>
      </c>
      <c r="N605">
        <v>19.2773</v>
      </c>
      <c r="O605">
        <v>6.9533740000000002</v>
      </c>
      <c r="P605">
        <v>13.46748</v>
      </c>
      <c r="Q605">
        <v>117021</v>
      </c>
    </row>
    <row r="606" spans="1:17" x14ac:dyDescent="0.25">
      <c r="A606" t="s">
        <v>20</v>
      </c>
      <c r="B606">
        <v>31</v>
      </c>
      <c r="C606">
        <v>1.1599999999999999</v>
      </c>
      <c r="D606">
        <v>2004</v>
      </c>
      <c r="E606" t="s">
        <v>28</v>
      </c>
      <c r="F606">
        <v>2004350</v>
      </c>
      <c r="G606">
        <v>2005111</v>
      </c>
      <c r="H606">
        <v>5148</v>
      </c>
      <c r="I606">
        <v>1568</v>
      </c>
      <c r="J606">
        <v>0</v>
      </c>
      <c r="K606">
        <v>373</v>
      </c>
      <c r="L606">
        <v>0</v>
      </c>
      <c r="M606">
        <v>75</v>
      </c>
      <c r="N606">
        <v>20.385269999999998</v>
      </c>
      <c r="O606">
        <v>4.9190180000000003</v>
      </c>
      <c r="P606">
        <v>14.96687</v>
      </c>
      <c r="Q606">
        <v>61144</v>
      </c>
    </row>
    <row r="607" spans="1:17" x14ac:dyDescent="0.25">
      <c r="A607" t="s">
        <v>20</v>
      </c>
      <c r="B607">
        <v>31</v>
      </c>
      <c r="C607">
        <v>1.1599999999999999</v>
      </c>
      <c r="D607">
        <v>2005</v>
      </c>
      <c r="E607" t="s">
        <v>28</v>
      </c>
      <c r="F607">
        <v>2005350</v>
      </c>
      <c r="G607">
        <v>2006103</v>
      </c>
      <c r="H607">
        <v>13295</v>
      </c>
      <c r="I607">
        <v>3894</v>
      </c>
      <c r="J607">
        <v>0</v>
      </c>
      <c r="K607">
        <v>617</v>
      </c>
      <c r="L607">
        <v>0</v>
      </c>
      <c r="M607">
        <v>75</v>
      </c>
      <c r="N607">
        <v>19.98827</v>
      </c>
      <c r="O607">
        <v>7.4</v>
      </c>
      <c r="P607">
        <v>14.219749999999999</v>
      </c>
      <c r="Q607">
        <v>151876</v>
      </c>
    </row>
    <row r="608" spans="1:17" x14ac:dyDescent="0.25">
      <c r="A608" t="s">
        <v>20</v>
      </c>
      <c r="B608">
        <v>31</v>
      </c>
      <c r="C608">
        <v>1.1599999999999999</v>
      </c>
      <c r="D608">
        <v>2006</v>
      </c>
      <c r="E608" t="s">
        <v>28</v>
      </c>
      <c r="F608">
        <v>2006350</v>
      </c>
      <c r="G608">
        <v>2007104</v>
      </c>
      <c r="H608">
        <v>11867</v>
      </c>
      <c r="I608">
        <v>2693</v>
      </c>
      <c r="J608">
        <v>0</v>
      </c>
      <c r="K608">
        <v>668</v>
      </c>
      <c r="L608">
        <v>0</v>
      </c>
      <c r="M608">
        <v>75</v>
      </c>
      <c r="N608">
        <v>19.455279999999998</v>
      </c>
      <c r="O608">
        <v>6.839753</v>
      </c>
      <c r="P608">
        <v>14.40124</v>
      </c>
      <c r="Q608">
        <v>105029</v>
      </c>
    </row>
    <row r="609" spans="1:17" x14ac:dyDescent="0.25">
      <c r="A609" t="s">
        <v>20</v>
      </c>
      <c r="B609">
        <v>31</v>
      </c>
      <c r="C609">
        <v>1.1599999999999999</v>
      </c>
      <c r="D609">
        <v>2007</v>
      </c>
      <c r="E609" t="s">
        <v>28</v>
      </c>
      <c r="F609">
        <v>2007350</v>
      </c>
      <c r="G609">
        <v>2008097</v>
      </c>
      <c r="H609">
        <v>7956</v>
      </c>
      <c r="I609">
        <v>1250</v>
      </c>
      <c r="J609">
        <v>0</v>
      </c>
      <c r="K609">
        <v>653</v>
      </c>
      <c r="L609">
        <v>0</v>
      </c>
      <c r="M609">
        <v>75</v>
      </c>
      <c r="N609">
        <v>20.348469999999999</v>
      </c>
      <c r="O609">
        <v>6.8312869999999997</v>
      </c>
      <c r="P609">
        <v>14.97362</v>
      </c>
      <c r="Q609">
        <v>48736</v>
      </c>
    </row>
    <row r="610" spans="1:17" x14ac:dyDescent="0.25">
      <c r="A610" t="s">
        <v>20</v>
      </c>
      <c r="B610">
        <v>31</v>
      </c>
      <c r="C610">
        <v>1.1599999999999999</v>
      </c>
      <c r="D610">
        <v>2008</v>
      </c>
      <c r="E610" t="s">
        <v>28</v>
      </c>
      <c r="F610">
        <v>2008350</v>
      </c>
      <c r="G610">
        <v>2009101</v>
      </c>
      <c r="H610">
        <v>9477</v>
      </c>
      <c r="I610">
        <v>2869</v>
      </c>
      <c r="J610">
        <v>0</v>
      </c>
      <c r="K610">
        <v>486</v>
      </c>
      <c r="L610">
        <v>0</v>
      </c>
      <c r="M610">
        <v>75</v>
      </c>
      <c r="N610">
        <v>20.11111</v>
      </c>
      <c r="O610">
        <v>6.6296309999999998</v>
      </c>
      <c r="P610">
        <v>15.057399999999999</v>
      </c>
      <c r="Q610">
        <v>111896</v>
      </c>
    </row>
    <row r="611" spans="1:17" x14ac:dyDescent="0.25">
      <c r="A611" t="s">
        <v>20</v>
      </c>
      <c r="B611">
        <v>31</v>
      </c>
      <c r="C611">
        <v>1.1599999999999999</v>
      </c>
      <c r="D611">
        <v>2009</v>
      </c>
      <c r="E611" t="s">
        <v>28</v>
      </c>
      <c r="F611">
        <v>2009350</v>
      </c>
      <c r="G611">
        <v>2010100</v>
      </c>
      <c r="H611">
        <v>15684</v>
      </c>
      <c r="I611">
        <v>3776</v>
      </c>
      <c r="J611">
        <v>0</v>
      </c>
      <c r="K611">
        <v>974</v>
      </c>
      <c r="L611">
        <v>0</v>
      </c>
      <c r="M611">
        <v>75</v>
      </c>
      <c r="N611">
        <v>19.545059999999999</v>
      </c>
      <c r="O611">
        <v>8.233333</v>
      </c>
      <c r="P611">
        <v>14.42469</v>
      </c>
      <c r="Q611">
        <v>147250</v>
      </c>
    </row>
    <row r="612" spans="1:17" x14ac:dyDescent="0.25">
      <c r="A612" t="s">
        <v>20</v>
      </c>
      <c r="B612">
        <v>31</v>
      </c>
      <c r="C612">
        <v>1.1599999999999999</v>
      </c>
      <c r="D612">
        <v>2010</v>
      </c>
      <c r="E612" t="s">
        <v>29</v>
      </c>
      <c r="F612">
        <v>2010350</v>
      </c>
      <c r="G612">
        <v>2011098</v>
      </c>
      <c r="H612">
        <v>15824</v>
      </c>
      <c r="I612">
        <v>4648</v>
      </c>
      <c r="J612">
        <v>0</v>
      </c>
      <c r="K612">
        <v>847</v>
      </c>
      <c r="L612">
        <v>0</v>
      </c>
      <c r="M612">
        <v>75</v>
      </c>
      <c r="N612">
        <v>20.407360000000001</v>
      </c>
      <c r="O612">
        <v>8.5472400000000004</v>
      </c>
      <c r="P612">
        <v>14.89509</v>
      </c>
      <c r="Q612">
        <v>181284</v>
      </c>
    </row>
    <row r="613" spans="1:17" x14ac:dyDescent="0.25">
      <c r="A613" t="s">
        <v>20</v>
      </c>
      <c r="B613">
        <v>31</v>
      </c>
      <c r="C613">
        <v>1.1599999999999999</v>
      </c>
      <c r="D613">
        <v>2011</v>
      </c>
      <c r="E613" t="s">
        <v>29</v>
      </c>
      <c r="F613">
        <v>2011350</v>
      </c>
      <c r="G613">
        <v>2012110</v>
      </c>
      <c r="H613">
        <v>196</v>
      </c>
      <c r="I613">
        <v>34</v>
      </c>
      <c r="J613">
        <v>0</v>
      </c>
      <c r="K613">
        <v>318</v>
      </c>
      <c r="L613">
        <v>0</v>
      </c>
      <c r="M613">
        <v>75</v>
      </c>
      <c r="N613">
        <v>20.624839999999999</v>
      </c>
      <c r="O613">
        <v>4.639132</v>
      </c>
      <c r="P613">
        <v>16.714279999999999</v>
      </c>
      <c r="Q613">
        <v>1344</v>
      </c>
    </row>
    <row r="614" spans="1:17" x14ac:dyDescent="0.25">
      <c r="A614" t="s">
        <v>20</v>
      </c>
      <c r="B614">
        <v>31</v>
      </c>
      <c r="C614">
        <v>1.1599999999999999</v>
      </c>
      <c r="D614">
        <v>2012</v>
      </c>
      <c r="E614" t="s">
        <v>29</v>
      </c>
      <c r="F614">
        <v>2012350</v>
      </c>
      <c r="G614">
        <v>2013104</v>
      </c>
      <c r="H614">
        <v>17615</v>
      </c>
      <c r="I614">
        <v>4973</v>
      </c>
      <c r="J614">
        <v>0</v>
      </c>
      <c r="K614">
        <v>903</v>
      </c>
      <c r="L614">
        <v>0</v>
      </c>
      <c r="M614">
        <v>75</v>
      </c>
      <c r="N614">
        <v>18.982430000000001</v>
      </c>
      <c r="O614">
        <v>7.1206079999999998</v>
      </c>
      <c r="P614">
        <v>14.65151</v>
      </c>
      <c r="Q614">
        <v>193954</v>
      </c>
    </row>
    <row r="615" spans="1:17" x14ac:dyDescent="0.25">
      <c r="A615" t="s">
        <v>20</v>
      </c>
      <c r="B615">
        <v>31</v>
      </c>
      <c r="C615">
        <v>1.1599999999999999</v>
      </c>
      <c r="D615">
        <v>2013</v>
      </c>
      <c r="E615" t="s">
        <v>29</v>
      </c>
      <c r="F615">
        <v>2013350</v>
      </c>
      <c r="G615">
        <v>2014098</v>
      </c>
      <c r="H615">
        <v>10080</v>
      </c>
      <c r="I615">
        <v>3718</v>
      </c>
      <c r="J615">
        <v>0</v>
      </c>
      <c r="K615">
        <v>431</v>
      </c>
      <c r="L615">
        <v>0</v>
      </c>
      <c r="M615">
        <v>75</v>
      </c>
      <c r="N615">
        <v>20.58418</v>
      </c>
      <c r="O615">
        <v>8.0126580000000001</v>
      </c>
      <c r="P615">
        <v>16.458860000000001</v>
      </c>
      <c r="Q615">
        <v>145021</v>
      </c>
    </row>
    <row r="616" spans="1:17" x14ac:dyDescent="0.25">
      <c r="A616" t="s">
        <v>20</v>
      </c>
      <c r="B616">
        <v>31</v>
      </c>
      <c r="C616">
        <v>1.1599999999999999</v>
      </c>
      <c r="D616">
        <v>2014</v>
      </c>
      <c r="E616" t="s">
        <v>29</v>
      </c>
      <c r="F616">
        <v>2014350</v>
      </c>
      <c r="G616">
        <v>2015104</v>
      </c>
      <c r="H616">
        <v>3740</v>
      </c>
      <c r="I616">
        <v>1338</v>
      </c>
      <c r="J616">
        <v>0</v>
      </c>
      <c r="K616">
        <v>480</v>
      </c>
      <c r="L616">
        <v>0</v>
      </c>
      <c r="M616">
        <v>75</v>
      </c>
      <c r="N616">
        <v>21.38589</v>
      </c>
      <c r="O616">
        <v>6.2085900000000001</v>
      </c>
      <c r="P616">
        <v>16.893249999999998</v>
      </c>
      <c r="Q616">
        <v>52172</v>
      </c>
    </row>
    <row r="617" spans="1:17" x14ac:dyDescent="0.25">
      <c r="A617" t="s">
        <v>20</v>
      </c>
      <c r="B617">
        <v>31</v>
      </c>
      <c r="C617">
        <v>1.1599999999999999</v>
      </c>
      <c r="D617">
        <v>2015</v>
      </c>
      <c r="E617" t="s">
        <v>29</v>
      </c>
      <c r="F617">
        <v>2015350</v>
      </c>
      <c r="G617">
        <v>2016098</v>
      </c>
      <c r="H617">
        <v>15990</v>
      </c>
      <c r="I617">
        <v>3697</v>
      </c>
      <c r="J617">
        <v>0</v>
      </c>
      <c r="K617">
        <v>648</v>
      </c>
      <c r="L617">
        <v>0</v>
      </c>
      <c r="M617">
        <v>75</v>
      </c>
      <c r="N617">
        <v>19.661729999999999</v>
      </c>
      <c r="O617">
        <v>7.3925929999999997</v>
      </c>
      <c r="P617">
        <v>14.903700000000001</v>
      </c>
      <c r="Q617">
        <v>144184</v>
      </c>
    </row>
    <row r="618" spans="1:17" x14ac:dyDescent="0.25">
      <c r="A618" t="s">
        <v>20</v>
      </c>
      <c r="B618">
        <v>31</v>
      </c>
      <c r="C618">
        <v>1.1599999999999999</v>
      </c>
      <c r="D618">
        <v>2016</v>
      </c>
      <c r="E618" t="s">
        <v>29</v>
      </c>
      <c r="F618">
        <v>2016350</v>
      </c>
      <c r="G618">
        <v>2017098</v>
      </c>
      <c r="H618">
        <v>12014</v>
      </c>
      <c r="I618">
        <v>3516</v>
      </c>
      <c r="J618">
        <v>0</v>
      </c>
      <c r="K618">
        <v>627</v>
      </c>
      <c r="L618">
        <v>0</v>
      </c>
      <c r="M618">
        <v>75</v>
      </c>
      <c r="N618">
        <v>21.301220000000001</v>
      </c>
      <c r="O618">
        <v>7.1121949999999998</v>
      </c>
      <c r="P618">
        <v>17.343900000000001</v>
      </c>
      <c r="Q618">
        <v>137129</v>
      </c>
    </row>
    <row r="619" spans="1:17" x14ac:dyDescent="0.25">
      <c r="A619" t="s">
        <v>20</v>
      </c>
      <c r="B619">
        <v>31</v>
      </c>
      <c r="C619">
        <v>1.1599999999999999</v>
      </c>
      <c r="D619">
        <v>2017</v>
      </c>
      <c r="E619" t="s">
        <v>29</v>
      </c>
      <c r="F619">
        <v>2017350</v>
      </c>
      <c r="G619">
        <v>2018106</v>
      </c>
      <c r="H619">
        <v>10977</v>
      </c>
      <c r="I619">
        <v>3225</v>
      </c>
      <c r="J619">
        <v>0</v>
      </c>
      <c r="K619">
        <v>597</v>
      </c>
      <c r="L619">
        <v>0</v>
      </c>
      <c r="M619">
        <v>75</v>
      </c>
      <c r="N619">
        <v>19.170369999999998</v>
      </c>
      <c r="O619">
        <v>6.7901239999999996</v>
      </c>
      <c r="P619">
        <v>15.72284</v>
      </c>
      <c r="Q619">
        <v>125780</v>
      </c>
    </row>
    <row r="620" spans="1:17" x14ac:dyDescent="0.25">
      <c r="A620" t="s">
        <v>20</v>
      </c>
      <c r="B620">
        <v>31</v>
      </c>
      <c r="C620">
        <v>1.1599999999999999</v>
      </c>
      <c r="D620">
        <v>2018</v>
      </c>
      <c r="E620" t="s">
        <v>29</v>
      </c>
      <c r="F620">
        <v>2018350</v>
      </c>
      <c r="G620">
        <v>2019101</v>
      </c>
      <c r="H620">
        <v>3365</v>
      </c>
      <c r="I620">
        <v>1295</v>
      </c>
      <c r="J620">
        <v>0</v>
      </c>
      <c r="K620">
        <v>451</v>
      </c>
      <c r="L620">
        <v>0</v>
      </c>
      <c r="M620">
        <v>75</v>
      </c>
      <c r="N620">
        <v>21.861350000000002</v>
      </c>
      <c r="O620">
        <v>5.9588960000000002</v>
      </c>
      <c r="P620">
        <v>18.55706</v>
      </c>
      <c r="Q620">
        <v>50518</v>
      </c>
    </row>
    <row r="621" spans="1:17" x14ac:dyDescent="0.25">
      <c r="A621" t="s">
        <v>20</v>
      </c>
      <c r="B621">
        <v>31</v>
      </c>
      <c r="C621">
        <v>1.1599999999999999</v>
      </c>
      <c r="D621">
        <v>2019</v>
      </c>
      <c r="E621" t="s">
        <v>29</v>
      </c>
      <c r="F621">
        <v>2019350</v>
      </c>
      <c r="G621">
        <v>2020092</v>
      </c>
      <c r="H621">
        <v>9064</v>
      </c>
      <c r="I621">
        <v>2015</v>
      </c>
      <c r="J621">
        <v>0</v>
      </c>
      <c r="K621">
        <v>492</v>
      </c>
      <c r="L621">
        <v>0</v>
      </c>
      <c r="M621">
        <v>75</v>
      </c>
      <c r="N621">
        <v>21.603069999999999</v>
      </c>
      <c r="O621">
        <v>8.5674829999999993</v>
      </c>
      <c r="P621">
        <v>16.814109999999999</v>
      </c>
      <c r="Q621">
        <v>78581</v>
      </c>
    </row>
    <row r="622" spans="1:17" x14ac:dyDescent="0.25">
      <c r="A622" t="s">
        <v>20</v>
      </c>
      <c r="B622">
        <v>32</v>
      </c>
      <c r="C622">
        <v>1.1200000000000001</v>
      </c>
      <c r="D622">
        <v>2000</v>
      </c>
      <c r="E622" t="s">
        <v>28</v>
      </c>
      <c r="F622">
        <v>2000318</v>
      </c>
      <c r="G622">
        <v>2001063</v>
      </c>
      <c r="H622">
        <v>13313</v>
      </c>
      <c r="I622">
        <v>2134</v>
      </c>
      <c r="J622">
        <v>0</v>
      </c>
      <c r="K622">
        <v>673</v>
      </c>
      <c r="L622">
        <v>0</v>
      </c>
      <c r="M622">
        <v>125</v>
      </c>
      <c r="N622">
        <v>20.097460000000002</v>
      </c>
      <c r="O622">
        <v>9.6918360000000003</v>
      </c>
      <c r="P622">
        <v>13.24949</v>
      </c>
      <c r="Q622">
        <v>87494</v>
      </c>
    </row>
    <row r="623" spans="1:17" x14ac:dyDescent="0.25">
      <c r="A623" t="s">
        <v>20</v>
      </c>
      <c r="B623">
        <v>32</v>
      </c>
      <c r="C623">
        <v>1.1200000000000001</v>
      </c>
      <c r="D623">
        <v>2001</v>
      </c>
      <c r="E623" t="s">
        <v>28</v>
      </c>
      <c r="F623">
        <v>2001318</v>
      </c>
      <c r="G623">
        <v>2002078</v>
      </c>
      <c r="H623">
        <v>11175</v>
      </c>
      <c r="I623">
        <v>1920</v>
      </c>
      <c r="J623">
        <v>0</v>
      </c>
      <c r="K623">
        <v>574</v>
      </c>
      <c r="L623">
        <v>0</v>
      </c>
      <c r="M623">
        <v>125</v>
      </c>
      <c r="N623">
        <v>19.72052</v>
      </c>
      <c r="O623">
        <v>6.5943589999999999</v>
      </c>
      <c r="P623">
        <v>13.583080000000001</v>
      </c>
      <c r="Q623">
        <v>78704</v>
      </c>
    </row>
    <row r="624" spans="1:17" x14ac:dyDescent="0.25">
      <c r="A624" t="s">
        <v>20</v>
      </c>
      <c r="B624">
        <v>32</v>
      </c>
      <c r="C624">
        <v>1.1200000000000001</v>
      </c>
      <c r="D624">
        <v>2002</v>
      </c>
      <c r="E624" t="s">
        <v>28</v>
      </c>
      <c r="F624">
        <v>2002318</v>
      </c>
      <c r="G624">
        <v>2003075</v>
      </c>
      <c r="H624">
        <v>18028</v>
      </c>
      <c r="I624">
        <v>3117</v>
      </c>
      <c r="J624">
        <v>0</v>
      </c>
      <c r="K624">
        <v>760</v>
      </c>
      <c r="L624">
        <v>0</v>
      </c>
      <c r="M624">
        <v>125</v>
      </c>
      <c r="N624">
        <v>19.403079999999999</v>
      </c>
      <c r="O624">
        <v>7.5405129999999998</v>
      </c>
      <c r="P624">
        <v>13.13846</v>
      </c>
      <c r="Q624">
        <v>127797</v>
      </c>
    </row>
    <row r="625" spans="1:17" x14ac:dyDescent="0.25">
      <c r="A625" t="s">
        <v>20</v>
      </c>
      <c r="B625">
        <v>32</v>
      </c>
      <c r="C625">
        <v>1.1200000000000001</v>
      </c>
      <c r="D625">
        <v>2003</v>
      </c>
      <c r="E625" t="s">
        <v>28</v>
      </c>
      <c r="F625">
        <v>2003318</v>
      </c>
      <c r="G625">
        <v>2004077</v>
      </c>
      <c r="H625">
        <v>18399</v>
      </c>
      <c r="I625">
        <v>2894</v>
      </c>
      <c r="J625">
        <v>0</v>
      </c>
      <c r="K625">
        <v>769</v>
      </c>
      <c r="L625">
        <v>0</v>
      </c>
      <c r="M625">
        <v>125</v>
      </c>
      <c r="N625">
        <v>18.655609999999999</v>
      </c>
      <c r="O625">
        <v>6.9454099999999999</v>
      </c>
      <c r="P625">
        <v>12.36684</v>
      </c>
      <c r="Q625">
        <v>118647</v>
      </c>
    </row>
    <row r="626" spans="1:17" x14ac:dyDescent="0.25">
      <c r="A626" t="s">
        <v>20</v>
      </c>
      <c r="B626">
        <v>32</v>
      </c>
      <c r="C626">
        <v>1.1200000000000001</v>
      </c>
      <c r="D626">
        <v>2004</v>
      </c>
      <c r="E626" t="s">
        <v>28</v>
      </c>
      <c r="F626">
        <v>2004318</v>
      </c>
      <c r="G626">
        <v>2005090</v>
      </c>
      <c r="H626">
        <v>7129</v>
      </c>
      <c r="I626">
        <v>1953</v>
      </c>
      <c r="J626">
        <v>0</v>
      </c>
      <c r="K626">
        <v>373</v>
      </c>
      <c r="L626">
        <v>0</v>
      </c>
      <c r="M626">
        <v>125</v>
      </c>
      <c r="N626">
        <v>19.832820000000002</v>
      </c>
      <c r="O626">
        <v>4.8523059999999996</v>
      </c>
      <c r="P626">
        <v>13.669230000000001</v>
      </c>
      <c r="Q626">
        <v>80072</v>
      </c>
    </row>
    <row r="627" spans="1:17" x14ac:dyDescent="0.25">
      <c r="A627" t="s">
        <v>20</v>
      </c>
      <c r="B627">
        <v>32</v>
      </c>
      <c r="C627">
        <v>1.1200000000000001</v>
      </c>
      <c r="D627">
        <v>2005</v>
      </c>
      <c r="E627" t="s">
        <v>28</v>
      </c>
      <c r="F627">
        <v>2005318</v>
      </c>
      <c r="G627">
        <v>2006087</v>
      </c>
      <c r="H627">
        <v>16408</v>
      </c>
      <c r="I627">
        <v>3922</v>
      </c>
      <c r="J627">
        <v>0</v>
      </c>
      <c r="K627">
        <v>617</v>
      </c>
      <c r="L627">
        <v>0</v>
      </c>
      <c r="M627">
        <v>125</v>
      </c>
      <c r="N627">
        <v>19.298459999999999</v>
      </c>
      <c r="O627">
        <v>6.8297439999999998</v>
      </c>
      <c r="P627">
        <v>13.242570000000001</v>
      </c>
      <c r="Q627">
        <v>160800</v>
      </c>
    </row>
    <row r="628" spans="1:17" x14ac:dyDescent="0.25">
      <c r="A628" t="s">
        <v>20</v>
      </c>
      <c r="B628">
        <v>32</v>
      </c>
      <c r="C628">
        <v>1.1200000000000001</v>
      </c>
      <c r="D628">
        <v>2006</v>
      </c>
      <c r="E628" t="s">
        <v>28</v>
      </c>
      <c r="F628">
        <v>2006318</v>
      </c>
      <c r="G628">
        <v>2007082</v>
      </c>
      <c r="H628">
        <v>15631</v>
      </c>
      <c r="I628">
        <v>3091</v>
      </c>
      <c r="J628">
        <v>0</v>
      </c>
      <c r="K628">
        <v>668</v>
      </c>
      <c r="L628">
        <v>0</v>
      </c>
      <c r="M628">
        <v>125</v>
      </c>
      <c r="N628">
        <v>18.831119999999999</v>
      </c>
      <c r="O628">
        <v>6.6000030000000001</v>
      </c>
      <c r="P628">
        <v>13.14898</v>
      </c>
      <c r="Q628">
        <v>126731</v>
      </c>
    </row>
    <row r="629" spans="1:17" x14ac:dyDescent="0.25">
      <c r="A629" t="s">
        <v>20</v>
      </c>
      <c r="B629">
        <v>32</v>
      </c>
      <c r="C629">
        <v>1.1200000000000001</v>
      </c>
      <c r="D629">
        <v>2007</v>
      </c>
      <c r="E629" t="s">
        <v>28</v>
      </c>
      <c r="F629">
        <v>2007318</v>
      </c>
      <c r="G629">
        <v>2008075</v>
      </c>
      <c r="H629">
        <v>10251</v>
      </c>
      <c r="I629">
        <v>2063</v>
      </c>
      <c r="J629">
        <v>0</v>
      </c>
      <c r="K629">
        <v>653</v>
      </c>
      <c r="L629">
        <v>0</v>
      </c>
      <c r="M629">
        <v>125</v>
      </c>
      <c r="N629">
        <v>19.780950000000001</v>
      </c>
      <c r="O629">
        <v>6.3571429999999998</v>
      </c>
      <c r="P629">
        <v>13.970370000000001</v>
      </c>
      <c r="Q629">
        <v>84571</v>
      </c>
    </row>
    <row r="630" spans="1:17" x14ac:dyDescent="0.25">
      <c r="A630" t="s">
        <v>20</v>
      </c>
      <c r="B630">
        <v>32</v>
      </c>
      <c r="C630">
        <v>1.1200000000000001</v>
      </c>
      <c r="D630">
        <v>2008</v>
      </c>
      <c r="E630" t="s">
        <v>28</v>
      </c>
      <c r="F630">
        <v>2008318</v>
      </c>
      <c r="G630">
        <v>2009083</v>
      </c>
      <c r="H630">
        <v>12168</v>
      </c>
      <c r="I630">
        <v>3075</v>
      </c>
      <c r="J630">
        <v>0</v>
      </c>
      <c r="K630">
        <v>486</v>
      </c>
      <c r="L630">
        <v>0</v>
      </c>
      <c r="M630">
        <v>125</v>
      </c>
      <c r="N630">
        <v>19.095410000000001</v>
      </c>
      <c r="O630">
        <v>6.0163270000000004</v>
      </c>
      <c r="P630">
        <v>13.770910000000001</v>
      </c>
      <c r="Q630">
        <v>126076</v>
      </c>
    </row>
    <row r="631" spans="1:17" x14ac:dyDescent="0.25">
      <c r="A631" t="s">
        <v>20</v>
      </c>
      <c r="B631">
        <v>32</v>
      </c>
      <c r="C631">
        <v>1.1200000000000001</v>
      </c>
      <c r="D631">
        <v>2009</v>
      </c>
      <c r="E631" t="s">
        <v>29</v>
      </c>
      <c r="F631">
        <v>2009318</v>
      </c>
      <c r="G631">
        <v>2010077</v>
      </c>
      <c r="H631">
        <v>14310</v>
      </c>
      <c r="I631">
        <v>2874</v>
      </c>
      <c r="J631">
        <v>0</v>
      </c>
      <c r="K631">
        <v>974</v>
      </c>
      <c r="L631">
        <v>0</v>
      </c>
      <c r="M631">
        <v>125</v>
      </c>
      <c r="N631">
        <v>18.825410000000002</v>
      </c>
      <c r="O631">
        <v>7.7135119999999997</v>
      </c>
      <c r="P631">
        <v>13.38757</v>
      </c>
      <c r="Q631">
        <v>117821</v>
      </c>
    </row>
    <row r="632" spans="1:17" x14ac:dyDescent="0.25">
      <c r="A632" t="s">
        <v>20</v>
      </c>
      <c r="B632">
        <v>32</v>
      </c>
      <c r="C632">
        <v>1.1200000000000001</v>
      </c>
      <c r="D632">
        <v>2010</v>
      </c>
      <c r="E632" t="s">
        <v>29</v>
      </c>
      <c r="F632">
        <v>2010318</v>
      </c>
      <c r="G632">
        <v>2011077</v>
      </c>
      <c r="H632">
        <v>15950</v>
      </c>
      <c r="I632">
        <v>4153</v>
      </c>
      <c r="J632">
        <v>0</v>
      </c>
      <c r="K632">
        <v>847</v>
      </c>
      <c r="L632">
        <v>0</v>
      </c>
      <c r="M632">
        <v>125</v>
      </c>
      <c r="N632">
        <v>19.43505</v>
      </c>
      <c r="O632">
        <v>8.3381450000000008</v>
      </c>
      <c r="P632">
        <v>13.40258</v>
      </c>
      <c r="Q632">
        <v>170280</v>
      </c>
    </row>
    <row r="633" spans="1:17" x14ac:dyDescent="0.25">
      <c r="A633" t="s">
        <v>20</v>
      </c>
      <c r="B633">
        <v>32</v>
      </c>
      <c r="C633">
        <v>1.1200000000000001</v>
      </c>
      <c r="D633">
        <v>2011</v>
      </c>
      <c r="E633" t="s">
        <v>29</v>
      </c>
      <c r="F633">
        <v>2011318</v>
      </c>
      <c r="G633">
        <v>2012090</v>
      </c>
      <c r="H633">
        <v>976</v>
      </c>
      <c r="I633">
        <v>283</v>
      </c>
      <c r="J633">
        <v>0</v>
      </c>
      <c r="K633">
        <v>318</v>
      </c>
      <c r="L633">
        <v>0</v>
      </c>
      <c r="M633">
        <v>125</v>
      </c>
      <c r="N633">
        <v>19.870920000000002</v>
      </c>
      <c r="O633">
        <v>4.7183679999999999</v>
      </c>
      <c r="P633">
        <v>15.17449</v>
      </c>
      <c r="Q633">
        <v>11596</v>
      </c>
    </row>
    <row r="634" spans="1:17" x14ac:dyDescent="0.25">
      <c r="A634" t="s">
        <v>20</v>
      </c>
      <c r="B634">
        <v>32</v>
      </c>
      <c r="C634">
        <v>1.1200000000000001</v>
      </c>
      <c r="D634">
        <v>2012</v>
      </c>
      <c r="E634" t="s">
        <v>29</v>
      </c>
      <c r="F634">
        <v>2012318</v>
      </c>
      <c r="G634">
        <v>2013084</v>
      </c>
      <c r="H634">
        <v>19492</v>
      </c>
      <c r="I634">
        <v>4576</v>
      </c>
      <c r="J634">
        <v>0</v>
      </c>
      <c r="K634">
        <v>903</v>
      </c>
      <c r="L634">
        <v>0</v>
      </c>
      <c r="M634">
        <v>125</v>
      </c>
      <c r="N634">
        <v>18.426909999999999</v>
      </c>
      <c r="O634">
        <v>7.0380739999999999</v>
      </c>
      <c r="P634">
        <v>13.40659</v>
      </c>
      <c r="Q634">
        <v>187607</v>
      </c>
    </row>
    <row r="635" spans="1:17" x14ac:dyDescent="0.25">
      <c r="A635" t="s">
        <v>20</v>
      </c>
      <c r="B635">
        <v>32</v>
      </c>
      <c r="C635">
        <v>1.1200000000000001</v>
      </c>
      <c r="D635">
        <v>2013</v>
      </c>
      <c r="E635" t="s">
        <v>29</v>
      </c>
      <c r="F635">
        <v>2013318</v>
      </c>
      <c r="G635">
        <v>2014087</v>
      </c>
      <c r="H635">
        <v>10489</v>
      </c>
      <c r="I635">
        <v>3382</v>
      </c>
      <c r="J635">
        <v>0</v>
      </c>
      <c r="K635">
        <v>431</v>
      </c>
      <c r="L635">
        <v>0</v>
      </c>
      <c r="M635">
        <v>125</v>
      </c>
      <c r="N635">
        <v>20.58418</v>
      </c>
      <c r="O635">
        <v>8.0126580000000001</v>
      </c>
      <c r="P635">
        <v>16.458860000000001</v>
      </c>
      <c r="Q635">
        <v>138673</v>
      </c>
    </row>
    <row r="636" spans="1:17" x14ac:dyDescent="0.25">
      <c r="A636" t="s">
        <v>20</v>
      </c>
      <c r="B636">
        <v>32</v>
      </c>
      <c r="C636">
        <v>1.1200000000000001</v>
      </c>
      <c r="D636">
        <v>2014</v>
      </c>
      <c r="E636" t="s">
        <v>29</v>
      </c>
      <c r="F636">
        <v>2014318</v>
      </c>
      <c r="G636">
        <v>2015088</v>
      </c>
      <c r="H636">
        <v>9452</v>
      </c>
      <c r="I636">
        <v>3184</v>
      </c>
      <c r="J636">
        <v>0</v>
      </c>
      <c r="K636">
        <v>480</v>
      </c>
      <c r="L636">
        <v>0</v>
      </c>
      <c r="M636">
        <v>125</v>
      </c>
      <c r="N636">
        <v>20.625</v>
      </c>
      <c r="O636">
        <v>6.3561230000000002</v>
      </c>
      <c r="P636">
        <v>15.343360000000001</v>
      </c>
      <c r="Q636">
        <v>130533</v>
      </c>
    </row>
    <row r="637" spans="1:17" x14ac:dyDescent="0.25">
      <c r="A637" t="s">
        <v>20</v>
      </c>
      <c r="B637">
        <v>32</v>
      </c>
      <c r="C637">
        <v>1.1200000000000001</v>
      </c>
      <c r="D637">
        <v>2015</v>
      </c>
      <c r="E637" t="s">
        <v>29</v>
      </c>
      <c r="F637">
        <v>2015318</v>
      </c>
      <c r="G637">
        <v>2016071</v>
      </c>
      <c r="H637">
        <v>12691</v>
      </c>
      <c r="I637">
        <v>2965</v>
      </c>
      <c r="J637">
        <v>0</v>
      </c>
      <c r="K637">
        <v>648</v>
      </c>
      <c r="L637">
        <v>0</v>
      </c>
      <c r="M637">
        <v>125</v>
      </c>
      <c r="N637">
        <v>19.584689999999998</v>
      </c>
      <c r="O637">
        <v>6.8147989999999998</v>
      </c>
      <c r="P637">
        <v>14.183160000000001</v>
      </c>
      <c r="Q637">
        <v>121554</v>
      </c>
    </row>
    <row r="638" spans="1:17" x14ac:dyDescent="0.25">
      <c r="A638" t="s">
        <v>20</v>
      </c>
      <c r="B638">
        <v>32</v>
      </c>
      <c r="C638">
        <v>1.1200000000000001</v>
      </c>
      <c r="D638">
        <v>2016</v>
      </c>
      <c r="E638" t="s">
        <v>29</v>
      </c>
      <c r="F638">
        <v>2016318</v>
      </c>
      <c r="G638">
        <v>2017072</v>
      </c>
      <c r="H638">
        <v>13311</v>
      </c>
      <c r="I638">
        <v>4719</v>
      </c>
      <c r="J638">
        <v>0</v>
      </c>
      <c r="K638">
        <v>627</v>
      </c>
      <c r="L638">
        <v>0</v>
      </c>
      <c r="M638">
        <v>125</v>
      </c>
      <c r="N638">
        <v>20.542639999999999</v>
      </c>
      <c r="O638">
        <v>7.2238569999999998</v>
      </c>
      <c r="P638">
        <v>15.76498</v>
      </c>
      <c r="Q638">
        <v>193477</v>
      </c>
    </row>
    <row r="639" spans="1:17" x14ac:dyDescent="0.25">
      <c r="A639" t="s">
        <v>20</v>
      </c>
      <c r="B639">
        <v>32</v>
      </c>
      <c r="C639">
        <v>1.1200000000000001</v>
      </c>
      <c r="D639">
        <v>2017</v>
      </c>
      <c r="E639" t="s">
        <v>29</v>
      </c>
      <c r="F639">
        <v>2017318</v>
      </c>
      <c r="G639">
        <v>2018087</v>
      </c>
      <c r="H639">
        <v>15772</v>
      </c>
      <c r="I639">
        <v>3653</v>
      </c>
      <c r="J639">
        <v>0</v>
      </c>
      <c r="K639">
        <v>597</v>
      </c>
      <c r="L639">
        <v>0</v>
      </c>
      <c r="M639">
        <v>125</v>
      </c>
      <c r="N639">
        <v>18.730250000000002</v>
      </c>
      <c r="O639">
        <v>6.1405130000000003</v>
      </c>
      <c r="P639">
        <v>14.65743</v>
      </c>
      <c r="Q639">
        <v>149780</v>
      </c>
    </row>
    <row r="640" spans="1:17" x14ac:dyDescent="0.25">
      <c r="A640" t="s">
        <v>20</v>
      </c>
      <c r="B640">
        <v>32</v>
      </c>
      <c r="C640">
        <v>1.1200000000000001</v>
      </c>
      <c r="D640">
        <v>2018</v>
      </c>
      <c r="E640" t="s">
        <v>29</v>
      </c>
      <c r="F640">
        <v>2018318</v>
      </c>
      <c r="G640">
        <v>2019077</v>
      </c>
      <c r="H640">
        <v>7924</v>
      </c>
      <c r="I640">
        <v>2298</v>
      </c>
      <c r="J640">
        <v>0</v>
      </c>
      <c r="K640">
        <v>451</v>
      </c>
      <c r="L640">
        <v>0</v>
      </c>
      <c r="M640">
        <v>125</v>
      </c>
      <c r="N640">
        <v>21.101019999999998</v>
      </c>
      <c r="O640">
        <v>6.0091840000000003</v>
      </c>
      <c r="P640">
        <v>16.898980000000002</v>
      </c>
      <c r="Q640">
        <v>94229</v>
      </c>
    </row>
    <row r="641" spans="1:17" x14ac:dyDescent="0.25">
      <c r="A641" t="s">
        <v>20</v>
      </c>
      <c r="B641">
        <v>32</v>
      </c>
      <c r="C641">
        <v>1.1200000000000001</v>
      </c>
      <c r="D641">
        <v>2019</v>
      </c>
      <c r="E641" t="s">
        <v>29</v>
      </c>
      <c r="F641">
        <v>2019318</v>
      </c>
      <c r="G641">
        <v>2020066</v>
      </c>
      <c r="H641">
        <v>9675</v>
      </c>
      <c r="I641">
        <v>2393</v>
      </c>
      <c r="J641">
        <v>0</v>
      </c>
      <c r="K641">
        <v>492</v>
      </c>
      <c r="L641">
        <v>0</v>
      </c>
      <c r="M641">
        <v>125</v>
      </c>
      <c r="N641">
        <v>20.947649999999999</v>
      </c>
      <c r="O641">
        <v>8.4602070000000005</v>
      </c>
      <c r="P641">
        <v>15.47278</v>
      </c>
      <c r="Q641">
        <v>98108</v>
      </c>
    </row>
    <row r="642" spans="1:17" x14ac:dyDescent="0.25">
      <c r="A642" t="s">
        <v>20</v>
      </c>
      <c r="B642">
        <v>33</v>
      </c>
      <c r="C642">
        <v>1.5</v>
      </c>
      <c r="D642">
        <v>2000</v>
      </c>
      <c r="E642" t="s">
        <v>28</v>
      </c>
      <c r="F642">
        <v>2000333</v>
      </c>
      <c r="G642">
        <v>2001076</v>
      </c>
      <c r="H642">
        <v>13672</v>
      </c>
      <c r="I642">
        <v>2482</v>
      </c>
      <c r="J642">
        <v>0</v>
      </c>
      <c r="K642">
        <v>673</v>
      </c>
      <c r="L642">
        <v>0</v>
      </c>
      <c r="M642">
        <v>125</v>
      </c>
      <c r="N642">
        <v>20.317039999999999</v>
      </c>
      <c r="O642">
        <v>9.6983519999999999</v>
      </c>
      <c r="P642">
        <v>13.77472</v>
      </c>
      <c r="Q642">
        <v>91834</v>
      </c>
    </row>
    <row r="643" spans="1:17" x14ac:dyDescent="0.25">
      <c r="A643" t="s">
        <v>20</v>
      </c>
      <c r="B643">
        <v>33</v>
      </c>
      <c r="C643">
        <v>1.5</v>
      </c>
      <c r="D643">
        <v>2001</v>
      </c>
      <c r="E643" t="s">
        <v>28</v>
      </c>
      <c r="F643">
        <v>2001333</v>
      </c>
      <c r="G643">
        <v>2002085</v>
      </c>
      <c r="H643">
        <v>10985</v>
      </c>
      <c r="I643">
        <v>2382</v>
      </c>
      <c r="J643">
        <v>0</v>
      </c>
      <c r="K643">
        <v>574</v>
      </c>
      <c r="L643">
        <v>0</v>
      </c>
      <c r="M643">
        <v>125</v>
      </c>
      <c r="N643">
        <v>19.920670000000001</v>
      </c>
      <c r="O643">
        <v>6.8726269999999996</v>
      </c>
      <c r="P643">
        <v>13.962009999999999</v>
      </c>
      <c r="Q643">
        <v>88145</v>
      </c>
    </row>
    <row r="644" spans="1:17" x14ac:dyDescent="0.25">
      <c r="A644" t="s">
        <v>20</v>
      </c>
      <c r="B644">
        <v>33</v>
      </c>
      <c r="C644">
        <v>1.5</v>
      </c>
      <c r="D644">
        <v>2002</v>
      </c>
      <c r="E644" t="s">
        <v>28</v>
      </c>
      <c r="F644">
        <v>2002333</v>
      </c>
      <c r="G644">
        <v>2003087</v>
      </c>
      <c r="H644">
        <v>17365</v>
      </c>
      <c r="I644">
        <v>3366</v>
      </c>
      <c r="J644">
        <v>0</v>
      </c>
      <c r="K644">
        <v>760</v>
      </c>
      <c r="L644">
        <v>0</v>
      </c>
      <c r="M644">
        <v>125</v>
      </c>
      <c r="N644">
        <v>19.712779999999999</v>
      </c>
      <c r="O644">
        <v>7.5266659999999996</v>
      </c>
      <c r="P644">
        <v>13.720560000000001</v>
      </c>
      <c r="Q644">
        <v>124559</v>
      </c>
    </row>
    <row r="645" spans="1:17" x14ac:dyDescent="0.25">
      <c r="A645" t="s">
        <v>20</v>
      </c>
      <c r="B645">
        <v>33</v>
      </c>
      <c r="C645">
        <v>1.5</v>
      </c>
      <c r="D645">
        <v>2003</v>
      </c>
      <c r="E645" t="s">
        <v>28</v>
      </c>
      <c r="F645">
        <v>2003333</v>
      </c>
      <c r="G645">
        <v>2004085</v>
      </c>
      <c r="H645">
        <v>19666</v>
      </c>
      <c r="I645">
        <v>3237</v>
      </c>
      <c r="J645">
        <v>0</v>
      </c>
      <c r="K645">
        <v>769</v>
      </c>
      <c r="L645">
        <v>0</v>
      </c>
      <c r="M645">
        <v>125</v>
      </c>
      <c r="N645">
        <v>18.935199999999998</v>
      </c>
      <c r="O645">
        <v>6.8916209999999998</v>
      </c>
      <c r="P645">
        <v>12.841900000000001</v>
      </c>
      <c r="Q645">
        <v>119773</v>
      </c>
    </row>
    <row r="646" spans="1:17" x14ac:dyDescent="0.25">
      <c r="A646" t="s">
        <v>20</v>
      </c>
      <c r="B646">
        <v>33</v>
      </c>
      <c r="C646">
        <v>1.5</v>
      </c>
      <c r="D646">
        <v>2004</v>
      </c>
      <c r="E646" t="s">
        <v>28</v>
      </c>
      <c r="F646">
        <v>2004333</v>
      </c>
      <c r="G646">
        <v>2005101</v>
      </c>
      <c r="H646">
        <v>6934</v>
      </c>
      <c r="I646">
        <v>2177</v>
      </c>
      <c r="J646">
        <v>0</v>
      </c>
      <c r="K646">
        <v>373</v>
      </c>
      <c r="L646">
        <v>0</v>
      </c>
      <c r="M646">
        <v>125</v>
      </c>
      <c r="N646">
        <v>19.949169999999999</v>
      </c>
      <c r="O646">
        <v>4.891159</v>
      </c>
      <c r="P646">
        <v>14.12265</v>
      </c>
      <c r="Q646">
        <v>80538</v>
      </c>
    </row>
    <row r="647" spans="1:17" x14ac:dyDescent="0.25">
      <c r="A647" t="s">
        <v>20</v>
      </c>
      <c r="B647">
        <v>33</v>
      </c>
      <c r="C647">
        <v>1.5</v>
      </c>
      <c r="D647">
        <v>2005</v>
      </c>
      <c r="E647" t="s">
        <v>28</v>
      </c>
      <c r="F647">
        <v>2005333</v>
      </c>
      <c r="G647">
        <v>2006096</v>
      </c>
      <c r="H647">
        <v>15178</v>
      </c>
      <c r="I647">
        <v>4034</v>
      </c>
      <c r="J647">
        <v>0</v>
      </c>
      <c r="K647">
        <v>617</v>
      </c>
      <c r="L647">
        <v>0</v>
      </c>
      <c r="M647">
        <v>125</v>
      </c>
      <c r="N647">
        <v>19.522780000000001</v>
      </c>
      <c r="O647">
        <v>6.9105549999999996</v>
      </c>
      <c r="P647">
        <v>13.64945</v>
      </c>
      <c r="Q647">
        <v>149257</v>
      </c>
    </row>
    <row r="648" spans="1:17" x14ac:dyDescent="0.25">
      <c r="A648" t="s">
        <v>20</v>
      </c>
      <c r="B648">
        <v>33</v>
      </c>
      <c r="C648">
        <v>1.5</v>
      </c>
      <c r="D648">
        <v>2006</v>
      </c>
      <c r="E648" t="s">
        <v>28</v>
      </c>
      <c r="F648">
        <v>2006333</v>
      </c>
      <c r="G648">
        <v>2007093</v>
      </c>
      <c r="H648">
        <v>14139</v>
      </c>
      <c r="I648">
        <v>2879</v>
      </c>
      <c r="J648">
        <v>0</v>
      </c>
      <c r="K648">
        <v>668</v>
      </c>
      <c r="L648">
        <v>0</v>
      </c>
      <c r="M648">
        <v>125</v>
      </c>
      <c r="N648">
        <v>18.939450000000001</v>
      </c>
      <c r="O648">
        <v>6.4522240000000002</v>
      </c>
      <c r="P648">
        <v>13.705550000000001</v>
      </c>
      <c r="Q648">
        <v>106528</v>
      </c>
    </row>
    <row r="649" spans="1:17" x14ac:dyDescent="0.25">
      <c r="A649" t="s">
        <v>20</v>
      </c>
      <c r="B649">
        <v>33</v>
      </c>
      <c r="C649">
        <v>1.5</v>
      </c>
      <c r="D649">
        <v>2007</v>
      </c>
      <c r="E649" t="s">
        <v>28</v>
      </c>
      <c r="F649">
        <v>2007333</v>
      </c>
      <c r="G649">
        <v>2008087</v>
      </c>
      <c r="H649">
        <v>9978</v>
      </c>
      <c r="I649">
        <v>1633</v>
      </c>
      <c r="J649">
        <v>0</v>
      </c>
      <c r="K649">
        <v>653</v>
      </c>
      <c r="L649">
        <v>0</v>
      </c>
      <c r="M649">
        <v>125</v>
      </c>
      <c r="N649">
        <v>19.936109999999999</v>
      </c>
      <c r="O649">
        <v>6.5027780000000002</v>
      </c>
      <c r="P649">
        <v>14.216670000000001</v>
      </c>
      <c r="Q649">
        <v>60427</v>
      </c>
    </row>
    <row r="650" spans="1:17" x14ac:dyDescent="0.25">
      <c r="A650" t="s">
        <v>20</v>
      </c>
      <c r="B650">
        <v>33</v>
      </c>
      <c r="C650">
        <v>1.5</v>
      </c>
      <c r="D650">
        <v>2008</v>
      </c>
      <c r="E650" t="s">
        <v>28</v>
      </c>
      <c r="F650">
        <v>2008333</v>
      </c>
      <c r="G650">
        <v>2009092</v>
      </c>
      <c r="H650">
        <v>11373</v>
      </c>
      <c r="I650">
        <v>3326</v>
      </c>
      <c r="J650">
        <v>0</v>
      </c>
      <c r="K650">
        <v>486</v>
      </c>
      <c r="L650">
        <v>0</v>
      </c>
      <c r="M650">
        <v>125</v>
      </c>
      <c r="N650">
        <v>19.47654</v>
      </c>
      <c r="O650">
        <v>6.3150839999999997</v>
      </c>
      <c r="P650">
        <v>14.240780000000001</v>
      </c>
      <c r="Q650">
        <v>123073</v>
      </c>
    </row>
    <row r="651" spans="1:17" x14ac:dyDescent="0.25">
      <c r="A651" t="s">
        <v>20</v>
      </c>
      <c r="B651">
        <v>33</v>
      </c>
      <c r="C651">
        <v>1.5</v>
      </c>
      <c r="D651">
        <v>2009</v>
      </c>
      <c r="E651" t="s">
        <v>28</v>
      </c>
      <c r="F651">
        <v>2009333</v>
      </c>
      <c r="G651">
        <v>2010089</v>
      </c>
      <c r="H651">
        <v>15250</v>
      </c>
      <c r="I651">
        <v>2981</v>
      </c>
      <c r="J651">
        <v>0</v>
      </c>
      <c r="K651">
        <v>974</v>
      </c>
      <c r="L651">
        <v>0</v>
      </c>
      <c r="M651">
        <v>125</v>
      </c>
      <c r="N651">
        <v>18.92445</v>
      </c>
      <c r="O651">
        <v>7.768332</v>
      </c>
      <c r="P651">
        <v>13.588889999999999</v>
      </c>
      <c r="Q651">
        <v>110309</v>
      </c>
    </row>
    <row r="652" spans="1:17" x14ac:dyDescent="0.25">
      <c r="A652" t="s">
        <v>20</v>
      </c>
      <c r="B652">
        <v>33</v>
      </c>
      <c r="C652">
        <v>1.5</v>
      </c>
      <c r="D652">
        <v>2010</v>
      </c>
      <c r="E652" t="s">
        <v>28</v>
      </c>
      <c r="F652">
        <v>2010333</v>
      </c>
      <c r="G652">
        <v>2011088</v>
      </c>
      <c r="H652">
        <v>17116</v>
      </c>
      <c r="I652">
        <v>3653</v>
      </c>
      <c r="J652">
        <v>0</v>
      </c>
      <c r="K652">
        <v>847</v>
      </c>
      <c r="L652">
        <v>0</v>
      </c>
      <c r="M652">
        <v>125</v>
      </c>
      <c r="N652">
        <v>20.036519999999999</v>
      </c>
      <c r="O652">
        <v>8.5522480000000005</v>
      </c>
      <c r="P652">
        <v>14.138769999999999</v>
      </c>
      <c r="Q652">
        <v>135152</v>
      </c>
    </row>
    <row r="653" spans="1:17" x14ac:dyDescent="0.25">
      <c r="A653" t="s">
        <v>20</v>
      </c>
      <c r="B653">
        <v>33</v>
      </c>
      <c r="C653">
        <v>1.5</v>
      </c>
      <c r="D653">
        <v>2011</v>
      </c>
      <c r="E653" t="s">
        <v>29</v>
      </c>
      <c r="F653">
        <v>2011333</v>
      </c>
      <c r="G653">
        <v>2012100</v>
      </c>
      <c r="H653">
        <v>361</v>
      </c>
      <c r="I653">
        <v>88</v>
      </c>
      <c r="J653">
        <v>0</v>
      </c>
      <c r="K653">
        <v>318</v>
      </c>
      <c r="L653">
        <v>0</v>
      </c>
      <c r="M653">
        <v>125</v>
      </c>
      <c r="N653">
        <v>20.06833</v>
      </c>
      <c r="O653">
        <v>4.5911119999999999</v>
      </c>
      <c r="P653">
        <v>15.75278</v>
      </c>
      <c r="Q653">
        <v>3269</v>
      </c>
    </row>
    <row r="654" spans="1:17" x14ac:dyDescent="0.25">
      <c r="A654" t="s">
        <v>20</v>
      </c>
      <c r="B654">
        <v>33</v>
      </c>
      <c r="C654">
        <v>1.5</v>
      </c>
      <c r="D654">
        <v>2012</v>
      </c>
      <c r="E654" t="s">
        <v>29</v>
      </c>
      <c r="F654">
        <v>2012333</v>
      </c>
      <c r="G654">
        <v>2013091</v>
      </c>
      <c r="H654">
        <v>18287</v>
      </c>
      <c r="I654">
        <v>4245</v>
      </c>
      <c r="J654">
        <v>0</v>
      </c>
      <c r="K654">
        <v>903</v>
      </c>
      <c r="L654">
        <v>0</v>
      </c>
      <c r="M654">
        <v>125</v>
      </c>
      <c r="N654">
        <v>18.7118</v>
      </c>
      <c r="O654">
        <v>7.127529</v>
      </c>
      <c r="P654">
        <v>13.97752</v>
      </c>
      <c r="Q654">
        <v>157065</v>
      </c>
    </row>
    <row r="655" spans="1:17" x14ac:dyDescent="0.25">
      <c r="A655" t="s">
        <v>20</v>
      </c>
      <c r="B655">
        <v>33</v>
      </c>
      <c r="C655">
        <v>1.5</v>
      </c>
      <c r="D655">
        <v>2013</v>
      </c>
      <c r="E655" t="s">
        <v>29</v>
      </c>
      <c r="F655">
        <v>2013333</v>
      </c>
      <c r="G655">
        <v>2014093</v>
      </c>
      <c r="H655">
        <v>10588</v>
      </c>
      <c r="I655">
        <v>3796</v>
      </c>
      <c r="J655">
        <v>0</v>
      </c>
      <c r="K655">
        <v>431</v>
      </c>
      <c r="L655">
        <v>0</v>
      </c>
      <c r="M655">
        <v>125</v>
      </c>
      <c r="N655">
        <v>20.58418</v>
      </c>
      <c r="O655">
        <v>8.0126580000000001</v>
      </c>
      <c r="P655">
        <v>16.458860000000001</v>
      </c>
      <c r="Q655">
        <v>140446</v>
      </c>
    </row>
    <row r="656" spans="1:17" x14ac:dyDescent="0.25">
      <c r="A656" t="s">
        <v>20</v>
      </c>
      <c r="B656">
        <v>33</v>
      </c>
      <c r="C656">
        <v>1.5</v>
      </c>
      <c r="D656">
        <v>2014</v>
      </c>
      <c r="E656" t="s">
        <v>29</v>
      </c>
      <c r="F656">
        <v>2014333</v>
      </c>
      <c r="G656">
        <v>2015094</v>
      </c>
      <c r="H656">
        <v>7431</v>
      </c>
      <c r="I656">
        <v>2471</v>
      </c>
      <c r="J656">
        <v>0</v>
      </c>
      <c r="K656">
        <v>480</v>
      </c>
      <c r="L656">
        <v>0</v>
      </c>
      <c r="M656">
        <v>125</v>
      </c>
      <c r="N656">
        <v>20.728179999999998</v>
      </c>
      <c r="O656">
        <v>5.9823209999999998</v>
      </c>
      <c r="P656">
        <v>15.956899999999999</v>
      </c>
      <c r="Q656">
        <v>91410</v>
      </c>
    </row>
    <row r="657" spans="1:17" x14ac:dyDescent="0.25">
      <c r="A657" t="s">
        <v>20</v>
      </c>
      <c r="B657">
        <v>33</v>
      </c>
      <c r="C657">
        <v>1.5</v>
      </c>
      <c r="D657">
        <v>2015</v>
      </c>
      <c r="E657" t="s">
        <v>29</v>
      </c>
      <c r="F657">
        <v>2015333</v>
      </c>
      <c r="G657">
        <v>2016086</v>
      </c>
      <c r="H657">
        <v>13144</v>
      </c>
      <c r="I657">
        <v>3271</v>
      </c>
      <c r="J657">
        <v>0</v>
      </c>
      <c r="K657">
        <v>648</v>
      </c>
      <c r="L657">
        <v>0</v>
      </c>
      <c r="M657">
        <v>125</v>
      </c>
      <c r="N657">
        <v>19.621670000000002</v>
      </c>
      <c r="O657">
        <v>7.1494470000000003</v>
      </c>
      <c r="P657">
        <v>14.338889999999999</v>
      </c>
      <c r="Q657">
        <v>121010</v>
      </c>
    </row>
    <row r="658" spans="1:17" x14ac:dyDescent="0.25">
      <c r="A658" t="s">
        <v>20</v>
      </c>
      <c r="B658">
        <v>33</v>
      </c>
      <c r="C658">
        <v>1.5</v>
      </c>
      <c r="D658">
        <v>2016</v>
      </c>
      <c r="E658" t="s">
        <v>29</v>
      </c>
      <c r="F658">
        <v>2016333</v>
      </c>
      <c r="G658">
        <v>2017089</v>
      </c>
      <c r="H658">
        <v>13803</v>
      </c>
      <c r="I658">
        <v>4803</v>
      </c>
      <c r="J658">
        <v>0</v>
      </c>
      <c r="K658">
        <v>627</v>
      </c>
      <c r="L658">
        <v>0</v>
      </c>
      <c r="M658">
        <v>125</v>
      </c>
      <c r="N658">
        <v>20.85934</v>
      </c>
      <c r="O658">
        <v>7.1593390000000001</v>
      </c>
      <c r="P658">
        <v>16.436820000000001</v>
      </c>
      <c r="Q658">
        <v>177707</v>
      </c>
    </row>
    <row r="659" spans="1:17" x14ac:dyDescent="0.25">
      <c r="A659" t="s">
        <v>20</v>
      </c>
      <c r="B659">
        <v>33</v>
      </c>
      <c r="C659">
        <v>1.5</v>
      </c>
      <c r="D659">
        <v>2017</v>
      </c>
      <c r="E659" t="s">
        <v>29</v>
      </c>
      <c r="F659">
        <v>2017333</v>
      </c>
      <c r="G659">
        <v>2018095</v>
      </c>
      <c r="H659">
        <v>14187</v>
      </c>
      <c r="I659">
        <v>3793</v>
      </c>
      <c r="J659">
        <v>0</v>
      </c>
      <c r="K659">
        <v>597</v>
      </c>
      <c r="L659">
        <v>0</v>
      </c>
      <c r="M659">
        <v>125</v>
      </c>
      <c r="N659">
        <v>18.79045</v>
      </c>
      <c r="O659">
        <v>6.4174150000000001</v>
      </c>
      <c r="P659">
        <v>15.093819999999999</v>
      </c>
      <c r="Q659">
        <v>140355</v>
      </c>
    </row>
    <row r="660" spans="1:17" x14ac:dyDescent="0.25">
      <c r="A660" t="s">
        <v>20</v>
      </c>
      <c r="B660">
        <v>33</v>
      </c>
      <c r="C660">
        <v>1.5</v>
      </c>
      <c r="D660">
        <v>2018</v>
      </c>
      <c r="E660" t="s">
        <v>29</v>
      </c>
      <c r="F660">
        <v>2018333</v>
      </c>
      <c r="G660">
        <v>2019089</v>
      </c>
      <c r="H660">
        <v>5075</v>
      </c>
      <c r="I660">
        <v>1363</v>
      </c>
      <c r="J660">
        <v>0</v>
      </c>
      <c r="K660">
        <v>451</v>
      </c>
      <c r="L660">
        <v>0</v>
      </c>
      <c r="M660">
        <v>125</v>
      </c>
      <c r="N660">
        <v>21.47167</v>
      </c>
      <c r="O660">
        <v>5.863334</v>
      </c>
      <c r="P660">
        <v>17.65944</v>
      </c>
      <c r="Q660">
        <v>50415</v>
      </c>
    </row>
    <row r="661" spans="1:17" x14ac:dyDescent="0.25">
      <c r="A661" t="s">
        <v>20</v>
      </c>
      <c r="B661">
        <v>33</v>
      </c>
      <c r="C661">
        <v>1.5</v>
      </c>
      <c r="D661">
        <v>2019</v>
      </c>
      <c r="E661" t="s">
        <v>29</v>
      </c>
      <c r="F661">
        <v>2019333</v>
      </c>
      <c r="G661">
        <v>2020076</v>
      </c>
      <c r="H661">
        <v>8379</v>
      </c>
      <c r="I661">
        <v>1856</v>
      </c>
      <c r="J661">
        <v>0</v>
      </c>
      <c r="K661">
        <v>492</v>
      </c>
      <c r="L661">
        <v>0</v>
      </c>
      <c r="M661">
        <v>125</v>
      </c>
      <c r="N661">
        <v>21.1663</v>
      </c>
      <c r="O661">
        <v>8.4215450000000001</v>
      </c>
      <c r="P661">
        <v>15.91602</v>
      </c>
      <c r="Q661">
        <v>68661</v>
      </c>
    </row>
    <row r="662" spans="1:17" x14ac:dyDescent="0.25">
      <c r="A662" t="s">
        <v>20</v>
      </c>
      <c r="B662">
        <v>34</v>
      </c>
      <c r="C662">
        <v>1.47</v>
      </c>
      <c r="D662">
        <v>2000</v>
      </c>
      <c r="E662" t="s">
        <v>28</v>
      </c>
      <c r="F662">
        <v>2000333</v>
      </c>
      <c r="G662">
        <v>2001076</v>
      </c>
      <c r="H662">
        <v>14389</v>
      </c>
      <c r="I662">
        <v>2481</v>
      </c>
      <c r="J662">
        <v>0</v>
      </c>
      <c r="K662">
        <v>673</v>
      </c>
      <c r="L662">
        <v>0</v>
      </c>
      <c r="M662">
        <v>100</v>
      </c>
      <c r="N662">
        <v>20.317039999999999</v>
      </c>
      <c r="O662">
        <v>9.6983519999999999</v>
      </c>
      <c r="P662">
        <v>13.77472</v>
      </c>
      <c r="Q662">
        <v>91797</v>
      </c>
    </row>
    <row r="663" spans="1:17" x14ac:dyDescent="0.25">
      <c r="A663" t="s">
        <v>20</v>
      </c>
      <c r="B663">
        <v>34</v>
      </c>
      <c r="C663">
        <v>1.47</v>
      </c>
      <c r="D663">
        <v>2001</v>
      </c>
      <c r="E663" t="s">
        <v>28</v>
      </c>
      <c r="F663">
        <v>2001333</v>
      </c>
      <c r="G663">
        <v>2002085</v>
      </c>
      <c r="H663">
        <v>11382</v>
      </c>
      <c r="I663">
        <v>2470</v>
      </c>
      <c r="J663">
        <v>0</v>
      </c>
      <c r="K663">
        <v>574</v>
      </c>
      <c r="L663">
        <v>0</v>
      </c>
      <c r="M663">
        <v>100</v>
      </c>
      <c r="N663">
        <v>19.920670000000001</v>
      </c>
      <c r="O663">
        <v>6.8726269999999996</v>
      </c>
      <c r="P663">
        <v>13.962009999999999</v>
      </c>
      <c r="Q663">
        <v>91396</v>
      </c>
    </row>
    <row r="664" spans="1:17" x14ac:dyDescent="0.25">
      <c r="A664" t="s">
        <v>20</v>
      </c>
      <c r="B664">
        <v>34</v>
      </c>
      <c r="C664">
        <v>1.47</v>
      </c>
      <c r="D664">
        <v>2002</v>
      </c>
      <c r="E664" t="s">
        <v>28</v>
      </c>
      <c r="F664">
        <v>2002333</v>
      </c>
      <c r="G664">
        <v>2003087</v>
      </c>
      <c r="H664">
        <v>18123</v>
      </c>
      <c r="I664">
        <v>3367</v>
      </c>
      <c r="J664">
        <v>0</v>
      </c>
      <c r="K664">
        <v>760</v>
      </c>
      <c r="L664">
        <v>0</v>
      </c>
      <c r="M664">
        <v>100</v>
      </c>
      <c r="N664">
        <v>19.712779999999999</v>
      </c>
      <c r="O664">
        <v>7.5266659999999996</v>
      </c>
      <c r="P664">
        <v>13.720560000000001</v>
      </c>
      <c r="Q664">
        <v>124585</v>
      </c>
    </row>
    <row r="665" spans="1:17" x14ac:dyDescent="0.25">
      <c r="A665" t="s">
        <v>20</v>
      </c>
      <c r="B665">
        <v>34</v>
      </c>
      <c r="C665">
        <v>1.47</v>
      </c>
      <c r="D665">
        <v>2003</v>
      </c>
      <c r="E665" t="s">
        <v>28</v>
      </c>
      <c r="F665">
        <v>2003333</v>
      </c>
      <c r="G665">
        <v>2004085</v>
      </c>
      <c r="H665">
        <v>19708</v>
      </c>
      <c r="I665">
        <v>3239</v>
      </c>
      <c r="J665">
        <v>0</v>
      </c>
      <c r="K665">
        <v>769</v>
      </c>
      <c r="L665">
        <v>0</v>
      </c>
      <c r="M665">
        <v>100</v>
      </c>
      <c r="N665">
        <v>18.935199999999998</v>
      </c>
      <c r="O665">
        <v>6.8916209999999998</v>
      </c>
      <c r="P665">
        <v>12.841900000000001</v>
      </c>
      <c r="Q665">
        <v>119839</v>
      </c>
    </row>
    <row r="666" spans="1:17" x14ac:dyDescent="0.25">
      <c r="A666" t="s">
        <v>20</v>
      </c>
      <c r="B666">
        <v>34</v>
      </c>
      <c r="C666">
        <v>1.47</v>
      </c>
      <c r="D666">
        <v>2004</v>
      </c>
      <c r="E666" t="s">
        <v>28</v>
      </c>
      <c r="F666">
        <v>2004333</v>
      </c>
      <c r="G666">
        <v>2005101</v>
      </c>
      <c r="H666">
        <v>7388</v>
      </c>
      <c r="I666">
        <v>2308</v>
      </c>
      <c r="J666">
        <v>0</v>
      </c>
      <c r="K666">
        <v>373</v>
      </c>
      <c r="L666">
        <v>0</v>
      </c>
      <c r="M666">
        <v>100</v>
      </c>
      <c r="N666">
        <v>19.949169999999999</v>
      </c>
      <c r="O666">
        <v>4.891159</v>
      </c>
      <c r="P666">
        <v>14.12265</v>
      </c>
      <c r="Q666">
        <v>85391</v>
      </c>
    </row>
    <row r="667" spans="1:17" x14ac:dyDescent="0.25">
      <c r="A667" t="s">
        <v>20</v>
      </c>
      <c r="B667">
        <v>34</v>
      </c>
      <c r="C667">
        <v>1.47</v>
      </c>
      <c r="D667">
        <v>2005</v>
      </c>
      <c r="E667" t="s">
        <v>28</v>
      </c>
      <c r="F667">
        <v>2005333</v>
      </c>
      <c r="G667">
        <v>2006096</v>
      </c>
      <c r="H667">
        <v>15374</v>
      </c>
      <c r="I667">
        <v>4034</v>
      </c>
      <c r="J667">
        <v>0</v>
      </c>
      <c r="K667">
        <v>617</v>
      </c>
      <c r="L667">
        <v>0</v>
      </c>
      <c r="M667">
        <v>100</v>
      </c>
      <c r="N667">
        <v>19.522780000000001</v>
      </c>
      <c r="O667">
        <v>6.9105549999999996</v>
      </c>
      <c r="P667">
        <v>13.64945</v>
      </c>
      <c r="Q667">
        <v>149265</v>
      </c>
    </row>
    <row r="668" spans="1:17" x14ac:dyDescent="0.25">
      <c r="A668" t="s">
        <v>20</v>
      </c>
      <c r="B668">
        <v>34</v>
      </c>
      <c r="C668">
        <v>1.47</v>
      </c>
      <c r="D668">
        <v>2006</v>
      </c>
      <c r="E668" t="s">
        <v>28</v>
      </c>
      <c r="F668">
        <v>2006333</v>
      </c>
      <c r="G668">
        <v>2007093</v>
      </c>
      <c r="H668">
        <v>14621</v>
      </c>
      <c r="I668">
        <v>3030</v>
      </c>
      <c r="J668">
        <v>0</v>
      </c>
      <c r="K668">
        <v>668</v>
      </c>
      <c r="L668">
        <v>0</v>
      </c>
      <c r="M668">
        <v>100</v>
      </c>
      <c r="N668">
        <v>18.939450000000001</v>
      </c>
      <c r="O668">
        <v>6.4522240000000002</v>
      </c>
      <c r="P668">
        <v>13.705550000000001</v>
      </c>
      <c r="Q668">
        <v>112111</v>
      </c>
    </row>
    <row r="669" spans="1:17" x14ac:dyDescent="0.25">
      <c r="A669" t="s">
        <v>20</v>
      </c>
      <c r="B669">
        <v>34</v>
      </c>
      <c r="C669">
        <v>1.47</v>
      </c>
      <c r="D669">
        <v>2007</v>
      </c>
      <c r="E669" t="s">
        <v>28</v>
      </c>
      <c r="F669">
        <v>2007333</v>
      </c>
      <c r="G669">
        <v>2008087</v>
      </c>
      <c r="H669">
        <v>10227</v>
      </c>
      <c r="I669">
        <v>1672</v>
      </c>
      <c r="J669">
        <v>0</v>
      </c>
      <c r="K669">
        <v>653</v>
      </c>
      <c r="L669">
        <v>0</v>
      </c>
      <c r="M669">
        <v>100</v>
      </c>
      <c r="N669">
        <v>19.936109999999999</v>
      </c>
      <c r="O669">
        <v>6.5027780000000002</v>
      </c>
      <c r="P669">
        <v>14.216670000000001</v>
      </c>
      <c r="Q669">
        <v>61861</v>
      </c>
    </row>
    <row r="670" spans="1:17" x14ac:dyDescent="0.25">
      <c r="A670" t="s">
        <v>20</v>
      </c>
      <c r="B670">
        <v>34</v>
      </c>
      <c r="C670">
        <v>1.47</v>
      </c>
      <c r="D670">
        <v>2008</v>
      </c>
      <c r="E670" t="s">
        <v>28</v>
      </c>
      <c r="F670">
        <v>2008333</v>
      </c>
      <c r="G670">
        <v>2009092</v>
      </c>
      <c r="H670">
        <v>11583</v>
      </c>
      <c r="I670">
        <v>3375</v>
      </c>
      <c r="J670">
        <v>0</v>
      </c>
      <c r="K670">
        <v>486</v>
      </c>
      <c r="L670">
        <v>0</v>
      </c>
      <c r="M670">
        <v>100</v>
      </c>
      <c r="N670">
        <v>19.47654</v>
      </c>
      <c r="O670">
        <v>6.3150839999999997</v>
      </c>
      <c r="P670">
        <v>14.240780000000001</v>
      </c>
      <c r="Q670">
        <v>124866</v>
      </c>
    </row>
    <row r="671" spans="1:17" x14ac:dyDescent="0.25">
      <c r="A671" t="s">
        <v>20</v>
      </c>
      <c r="B671">
        <v>34</v>
      </c>
      <c r="C671">
        <v>1.47</v>
      </c>
      <c r="D671">
        <v>2009</v>
      </c>
      <c r="E671" t="s">
        <v>29</v>
      </c>
      <c r="F671">
        <v>2009333</v>
      </c>
      <c r="G671">
        <v>2010089</v>
      </c>
      <c r="H671">
        <v>16051</v>
      </c>
      <c r="I671">
        <v>3746</v>
      </c>
      <c r="J671">
        <v>0</v>
      </c>
      <c r="K671">
        <v>974</v>
      </c>
      <c r="L671">
        <v>0</v>
      </c>
      <c r="M671">
        <v>100</v>
      </c>
      <c r="N671">
        <v>18.92445</v>
      </c>
      <c r="O671">
        <v>7.768332</v>
      </c>
      <c r="P671">
        <v>13.588889999999999</v>
      </c>
      <c r="Q671">
        <v>138609</v>
      </c>
    </row>
    <row r="672" spans="1:17" x14ac:dyDescent="0.25">
      <c r="A672" t="s">
        <v>20</v>
      </c>
      <c r="B672">
        <v>34</v>
      </c>
      <c r="C672">
        <v>1.47</v>
      </c>
      <c r="D672">
        <v>2010</v>
      </c>
      <c r="E672" t="s">
        <v>29</v>
      </c>
      <c r="F672">
        <v>2010333</v>
      </c>
      <c r="G672">
        <v>2011088</v>
      </c>
      <c r="H672">
        <v>17809</v>
      </c>
      <c r="I672">
        <v>4560</v>
      </c>
      <c r="J672">
        <v>0</v>
      </c>
      <c r="K672">
        <v>847</v>
      </c>
      <c r="L672">
        <v>0</v>
      </c>
      <c r="M672">
        <v>100</v>
      </c>
      <c r="N672">
        <v>20.036519999999999</v>
      </c>
      <c r="O672">
        <v>8.5522480000000005</v>
      </c>
      <c r="P672">
        <v>14.138769999999999</v>
      </c>
      <c r="Q672">
        <v>168720</v>
      </c>
    </row>
    <row r="673" spans="1:17" x14ac:dyDescent="0.25">
      <c r="A673" t="s">
        <v>20</v>
      </c>
      <c r="B673">
        <v>34</v>
      </c>
      <c r="C673">
        <v>1.47</v>
      </c>
      <c r="D673">
        <v>2011</v>
      </c>
      <c r="E673" t="s">
        <v>29</v>
      </c>
      <c r="F673">
        <v>2011333</v>
      </c>
      <c r="G673">
        <v>2012100</v>
      </c>
      <c r="H673">
        <v>483</v>
      </c>
      <c r="I673">
        <v>118</v>
      </c>
      <c r="J673">
        <v>0</v>
      </c>
      <c r="K673">
        <v>318</v>
      </c>
      <c r="L673">
        <v>0</v>
      </c>
      <c r="M673">
        <v>100</v>
      </c>
      <c r="N673">
        <v>20.06833</v>
      </c>
      <c r="O673">
        <v>4.5911119999999999</v>
      </c>
      <c r="P673">
        <v>15.75278</v>
      </c>
      <c r="Q673">
        <v>4381</v>
      </c>
    </row>
    <row r="674" spans="1:17" x14ac:dyDescent="0.25">
      <c r="A674" t="s">
        <v>20</v>
      </c>
      <c r="B674">
        <v>34</v>
      </c>
      <c r="C674">
        <v>1.47</v>
      </c>
      <c r="D674">
        <v>2012</v>
      </c>
      <c r="E674" t="s">
        <v>29</v>
      </c>
      <c r="F674">
        <v>2012333</v>
      </c>
      <c r="G674">
        <v>2013091</v>
      </c>
      <c r="H674">
        <v>18872</v>
      </c>
      <c r="I674">
        <v>4245</v>
      </c>
      <c r="J674">
        <v>0</v>
      </c>
      <c r="K674">
        <v>903</v>
      </c>
      <c r="L674">
        <v>0</v>
      </c>
      <c r="M674">
        <v>100</v>
      </c>
      <c r="N674">
        <v>18.7118</v>
      </c>
      <c r="O674">
        <v>7.127529</v>
      </c>
      <c r="P674">
        <v>13.97752</v>
      </c>
      <c r="Q674">
        <v>157065</v>
      </c>
    </row>
    <row r="675" spans="1:17" x14ac:dyDescent="0.25">
      <c r="A675" t="s">
        <v>20</v>
      </c>
      <c r="B675">
        <v>34</v>
      </c>
      <c r="C675">
        <v>1.47</v>
      </c>
      <c r="D675">
        <v>2013</v>
      </c>
      <c r="E675" t="s">
        <v>29</v>
      </c>
      <c r="F675">
        <v>2013333</v>
      </c>
      <c r="G675">
        <v>2014093</v>
      </c>
      <c r="H675">
        <v>10930</v>
      </c>
      <c r="I675">
        <v>3891</v>
      </c>
      <c r="J675">
        <v>0</v>
      </c>
      <c r="K675">
        <v>431</v>
      </c>
      <c r="L675">
        <v>0</v>
      </c>
      <c r="M675">
        <v>100</v>
      </c>
      <c r="N675">
        <v>20.58418</v>
      </c>
      <c r="O675">
        <v>8.0126580000000001</v>
      </c>
      <c r="P675">
        <v>16.458860000000001</v>
      </c>
      <c r="Q675">
        <v>143957</v>
      </c>
    </row>
    <row r="676" spans="1:17" x14ac:dyDescent="0.25">
      <c r="A676" t="s">
        <v>20</v>
      </c>
      <c r="B676">
        <v>34</v>
      </c>
      <c r="C676">
        <v>1.47</v>
      </c>
      <c r="D676">
        <v>2014</v>
      </c>
      <c r="E676" t="s">
        <v>29</v>
      </c>
      <c r="F676">
        <v>2014333</v>
      </c>
      <c r="G676">
        <v>2015094</v>
      </c>
      <c r="H676">
        <v>8312</v>
      </c>
      <c r="I676">
        <v>2740</v>
      </c>
      <c r="J676">
        <v>0</v>
      </c>
      <c r="K676">
        <v>480</v>
      </c>
      <c r="L676">
        <v>0</v>
      </c>
      <c r="M676">
        <v>100</v>
      </c>
      <c r="N676">
        <v>20.728179999999998</v>
      </c>
      <c r="O676">
        <v>5.9823209999999998</v>
      </c>
      <c r="P676">
        <v>15.956899999999999</v>
      </c>
      <c r="Q676">
        <v>101387</v>
      </c>
    </row>
    <row r="677" spans="1:17" x14ac:dyDescent="0.25">
      <c r="A677" t="s">
        <v>20</v>
      </c>
      <c r="B677">
        <v>34</v>
      </c>
      <c r="C677">
        <v>1.47</v>
      </c>
      <c r="D677">
        <v>2015</v>
      </c>
      <c r="E677" t="s">
        <v>29</v>
      </c>
      <c r="F677">
        <v>2015333</v>
      </c>
      <c r="G677">
        <v>2016086</v>
      </c>
      <c r="H677">
        <v>13615</v>
      </c>
      <c r="I677">
        <v>3407</v>
      </c>
      <c r="J677">
        <v>0</v>
      </c>
      <c r="K677">
        <v>648</v>
      </c>
      <c r="L677">
        <v>0</v>
      </c>
      <c r="M677">
        <v>100</v>
      </c>
      <c r="N677">
        <v>19.621670000000002</v>
      </c>
      <c r="O677">
        <v>7.1494470000000003</v>
      </c>
      <c r="P677">
        <v>14.338889999999999</v>
      </c>
      <c r="Q677">
        <v>126071</v>
      </c>
    </row>
    <row r="678" spans="1:17" x14ac:dyDescent="0.25">
      <c r="A678" t="s">
        <v>20</v>
      </c>
      <c r="B678">
        <v>34</v>
      </c>
      <c r="C678">
        <v>1.47</v>
      </c>
      <c r="D678">
        <v>2016</v>
      </c>
      <c r="E678" t="s">
        <v>29</v>
      </c>
      <c r="F678">
        <v>2016333</v>
      </c>
      <c r="G678">
        <v>2017089</v>
      </c>
      <c r="H678">
        <v>14190</v>
      </c>
      <c r="I678">
        <v>4958</v>
      </c>
      <c r="J678">
        <v>0</v>
      </c>
      <c r="K678">
        <v>627</v>
      </c>
      <c r="L678">
        <v>0</v>
      </c>
      <c r="M678">
        <v>100</v>
      </c>
      <c r="N678">
        <v>20.85934</v>
      </c>
      <c r="O678">
        <v>7.1593390000000001</v>
      </c>
      <c r="P678">
        <v>16.436820000000001</v>
      </c>
      <c r="Q678">
        <v>183437</v>
      </c>
    </row>
    <row r="679" spans="1:17" x14ac:dyDescent="0.25">
      <c r="A679" t="s">
        <v>20</v>
      </c>
      <c r="B679">
        <v>34</v>
      </c>
      <c r="C679">
        <v>1.47</v>
      </c>
      <c r="D679">
        <v>2017</v>
      </c>
      <c r="E679" t="s">
        <v>29</v>
      </c>
      <c r="F679">
        <v>2017333</v>
      </c>
      <c r="G679">
        <v>2018095</v>
      </c>
      <c r="H679">
        <v>14675</v>
      </c>
      <c r="I679">
        <v>3891</v>
      </c>
      <c r="J679">
        <v>0</v>
      </c>
      <c r="K679">
        <v>597</v>
      </c>
      <c r="L679">
        <v>0</v>
      </c>
      <c r="M679">
        <v>100</v>
      </c>
      <c r="N679">
        <v>18.79045</v>
      </c>
      <c r="O679">
        <v>6.4174150000000001</v>
      </c>
      <c r="P679">
        <v>15.093819999999999</v>
      </c>
      <c r="Q679">
        <v>143979</v>
      </c>
    </row>
    <row r="680" spans="1:17" x14ac:dyDescent="0.25">
      <c r="A680" t="s">
        <v>20</v>
      </c>
      <c r="B680">
        <v>34</v>
      </c>
      <c r="C680">
        <v>1.47</v>
      </c>
      <c r="D680">
        <v>2018</v>
      </c>
      <c r="E680" t="s">
        <v>29</v>
      </c>
      <c r="F680">
        <v>2018333</v>
      </c>
      <c r="G680">
        <v>2019089</v>
      </c>
      <c r="H680">
        <v>5336</v>
      </c>
      <c r="I680">
        <v>1446</v>
      </c>
      <c r="J680">
        <v>0</v>
      </c>
      <c r="K680">
        <v>451</v>
      </c>
      <c r="L680">
        <v>0</v>
      </c>
      <c r="M680">
        <v>100</v>
      </c>
      <c r="N680">
        <v>21.47167</v>
      </c>
      <c r="O680">
        <v>5.863334</v>
      </c>
      <c r="P680">
        <v>17.65944</v>
      </c>
      <c r="Q680">
        <v>53489</v>
      </c>
    </row>
    <row r="681" spans="1:17" x14ac:dyDescent="0.25">
      <c r="A681" t="s">
        <v>20</v>
      </c>
      <c r="B681">
        <v>34</v>
      </c>
      <c r="C681">
        <v>1.47</v>
      </c>
      <c r="D681">
        <v>2019</v>
      </c>
      <c r="E681" t="s">
        <v>29</v>
      </c>
      <c r="F681">
        <v>2019333</v>
      </c>
      <c r="G681">
        <v>2020076</v>
      </c>
      <c r="H681">
        <v>8500</v>
      </c>
      <c r="I681">
        <v>1870</v>
      </c>
      <c r="J681">
        <v>0</v>
      </c>
      <c r="K681">
        <v>492</v>
      </c>
      <c r="L681">
        <v>0</v>
      </c>
      <c r="M681">
        <v>100</v>
      </c>
      <c r="N681">
        <v>21.1663</v>
      </c>
      <c r="O681">
        <v>8.4215450000000001</v>
      </c>
      <c r="P681">
        <v>15.91602</v>
      </c>
      <c r="Q681">
        <v>69192</v>
      </c>
    </row>
    <row r="682" spans="1:17" x14ac:dyDescent="0.25">
      <c r="A682" t="s">
        <v>20</v>
      </c>
      <c r="B682">
        <v>35</v>
      </c>
      <c r="C682">
        <v>0.91</v>
      </c>
      <c r="D682">
        <v>2000</v>
      </c>
      <c r="E682" t="s">
        <v>28</v>
      </c>
      <c r="F682">
        <v>2000333</v>
      </c>
      <c r="G682">
        <v>2001076</v>
      </c>
      <c r="H682">
        <v>14278</v>
      </c>
      <c r="I682">
        <v>2482</v>
      </c>
      <c r="J682">
        <v>0</v>
      </c>
      <c r="K682">
        <v>673</v>
      </c>
      <c r="L682">
        <v>0</v>
      </c>
      <c r="M682">
        <v>125</v>
      </c>
      <c r="N682">
        <v>20.317039999999999</v>
      </c>
      <c r="O682">
        <v>9.6983519999999999</v>
      </c>
      <c r="P682">
        <v>13.77472</v>
      </c>
      <c r="Q682">
        <v>106726</v>
      </c>
    </row>
    <row r="683" spans="1:17" x14ac:dyDescent="0.25">
      <c r="A683" t="s">
        <v>20</v>
      </c>
      <c r="B683">
        <v>35</v>
      </c>
      <c r="C683">
        <v>0.91</v>
      </c>
      <c r="D683">
        <v>2001</v>
      </c>
      <c r="E683" t="s">
        <v>28</v>
      </c>
      <c r="F683">
        <v>2001333</v>
      </c>
      <c r="G683">
        <v>2002085</v>
      </c>
      <c r="H683">
        <v>11415</v>
      </c>
      <c r="I683">
        <v>2482</v>
      </c>
      <c r="J683">
        <v>0</v>
      </c>
      <c r="K683">
        <v>574</v>
      </c>
      <c r="L683">
        <v>0</v>
      </c>
      <c r="M683">
        <v>125</v>
      </c>
      <c r="N683">
        <v>19.920670000000001</v>
      </c>
      <c r="O683">
        <v>6.8726269999999996</v>
      </c>
      <c r="P683">
        <v>13.962009999999999</v>
      </c>
      <c r="Q683">
        <v>106704</v>
      </c>
    </row>
    <row r="684" spans="1:17" x14ac:dyDescent="0.25">
      <c r="A684" t="s">
        <v>20</v>
      </c>
      <c r="B684">
        <v>35</v>
      </c>
      <c r="C684">
        <v>0.91</v>
      </c>
      <c r="D684">
        <v>2002</v>
      </c>
      <c r="E684" t="s">
        <v>28</v>
      </c>
      <c r="F684">
        <v>2002333</v>
      </c>
      <c r="G684">
        <v>2003087</v>
      </c>
      <c r="H684">
        <v>18027</v>
      </c>
      <c r="I684">
        <v>3367</v>
      </c>
      <c r="J684">
        <v>0</v>
      </c>
      <c r="K684">
        <v>760</v>
      </c>
      <c r="L684">
        <v>0</v>
      </c>
      <c r="M684">
        <v>125</v>
      </c>
      <c r="N684">
        <v>19.712779999999999</v>
      </c>
      <c r="O684">
        <v>7.5266659999999996</v>
      </c>
      <c r="P684">
        <v>13.720560000000001</v>
      </c>
      <c r="Q684">
        <v>144796</v>
      </c>
    </row>
    <row r="685" spans="1:17" x14ac:dyDescent="0.25">
      <c r="A685" t="s">
        <v>20</v>
      </c>
      <c r="B685">
        <v>35</v>
      </c>
      <c r="C685">
        <v>0.91</v>
      </c>
      <c r="D685">
        <v>2003</v>
      </c>
      <c r="E685" t="s">
        <v>28</v>
      </c>
      <c r="F685">
        <v>2003333</v>
      </c>
      <c r="G685">
        <v>2004085</v>
      </c>
      <c r="H685">
        <v>19739</v>
      </c>
      <c r="I685">
        <v>3248</v>
      </c>
      <c r="J685">
        <v>0</v>
      </c>
      <c r="K685">
        <v>769</v>
      </c>
      <c r="L685">
        <v>0</v>
      </c>
      <c r="M685">
        <v>125</v>
      </c>
      <c r="N685">
        <v>18.935199999999998</v>
      </c>
      <c r="O685">
        <v>6.8916209999999998</v>
      </c>
      <c r="P685">
        <v>12.841900000000001</v>
      </c>
      <c r="Q685">
        <v>139681</v>
      </c>
    </row>
    <row r="686" spans="1:17" x14ac:dyDescent="0.25">
      <c r="A686" t="s">
        <v>20</v>
      </c>
      <c r="B686">
        <v>35</v>
      </c>
      <c r="C686">
        <v>0.91</v>
      </c>
      <c r="D686">
        <v>2004</v>
      </c>
      <c r="E686" t="s">
        <v>28</v>
      </c>
      <c r="F686">
        <v>2004333</v>
      </c>
      <c r="G686">
        <v>2005101</v>
      </c>
      <c r="H686">
        <v>7359</v>
      </c>
      <c r="I686">
        <v>2298</v>
      </c>
      <c r="J686">
        <v>0</v>
      </c>
      <c r="K686">
        <v>373</v>
      </c>
      <c r="L686">
        <v>0</v>
      </c>
      <c r="M686">
        <v>125</v>
      </c>
      <c r="N686">
        <v>19.949169999999999</v>
      </c>
      <c r="O686">
        <v>4.891159</v>
      </c>
      <c r="P686">
        <v>14.12265</v>
      </c>
      <c r="Q686">
        <v>98808</v>
      </c>
    </row>
    <row r="687" spans="1:17" x14ac:dyDescent="0.25">
      <c r="A687" t="s">
        <v>20</v>
      </c>
      <c r="B687">
        <v>35</v>
      </c>
      <c r="C687">
        <v>0.91</v>
      </c>
      <c r="D687">
        <v>2005</v>
      </c>
      <c r="E687" t="s">
        <v>28</v>
      </c>
      <c r="F687">
        <v>2005333</v>
      </c>
      <c r="G687">
        <v>2006096</v>
      </c>
      <c r="H687">
        <v>15370</v>
      </c>
      <c r="I687">
        <v>4035</v>
      </c>
      <c r="J687">
        <v>0</v>
      </c>
      <c r="K687">
        <v>617</v>
      </c>
      <c r="L687">
        <v>0</v>
      </c>
      <c r="M687">
        <v>125</v>
      </c>
      <c r="N687">
        <v>19.522780000000001</v>
      </c>
      <c r="O687">
        <v>6.9105549999999996</v>
      </c>
      <c r="P687">
        <v>13.64945</v>
      </c>
      <c r="Q687">
        <v>173509</v>
      </c>
    </row>
    <row r="688" spans="1:17" x14ac:dyDescent="0.25">
      <c r="A688" t="s">
        <v>20</v>
      </c>
      <c r="B688">
        <v>35</v>
      </c>
      <c r="C688">
        <v>0.91</v>
      </c>
      <c r="D688">
        <v>2006</v>
      </c>
      <c r="E688" t="s">
        <v>28</v>
      </c>
      <c r="F688">
        <v>2006333</v>
      </c>
      <c r="G688">
        <v>2007093</v>
      </c>
      <c r="H688">
        <v>14653</v>
      </c>
      <c r="I688">
        <v>3037</v>
      </c>
      <c r="J688">
        <v>0</v>
      </c>
      <c r="K688">
        <v>668</v>
      </c>
      <c r="L688">
        <v>0</v>
      </c>
      <c r="M688">
        <v>125</v>
      </c>
      <c r="N688">
        <v>18.939450000000001</v>
      </c>
      <c r="O688">
        <v>6.4522240000000002</v>
      </c>
      <c r="P688">
        <v>13.705550000000001</v>
      </c>
      <c r="Q688">
        <v>130583</v>
      </c>
    </row>
    <row r="689" spans="1:17" x14ac:dyDescent="0.25">
      <c r="A689" t="s">
        <v>20</v>
      </c>
      <c r="B689">
        <v>35</v>
      </c>
      <c r="C689">
        <v>0.91</v>
      </c>
      <c r="D689">
        <v>2007</v>
      </c>
      <c r="E689" t="s">
        <v>28</v>
      </c>
      <c r="F689">
        <v>2007333</v>
      </c>
      <c r="G689">
        <v>2008087</v>
      </c>
      <c r="H689">
        <v>10217</v>
      </c>
      <c r="I689">
        <v>1672</v>
      </c>
      <c r="J689">
        <v>0</v>
      </c>
      <c r="K689">
        <v>653</v>
      </c>
      <c r="L689">
        <v>0</v>
      </c>
      <c r="M689">
        <v>125</v>
      </c>
      <c r="N689">
        <v>19.936109999999999</v>
      </c>
      <c r="O689">
        <v>6.5027780000000002</v>
      </c>
      <c r="P689">
        <v>14.216670000000001</v>
      </c>
      <c r="Q689">
        <v>71882</v>
      </c>
    </row>
    <row r="690" spans="1:17" x14ac:dyDescent="0.25">
      <c r="A690" t="s">
        <v>20</v>
      </c>
      <c r="B690">
        <v>35</v>
      </c>
      <c r="C690">
        <v>0.91</v>
      </c>
      <c r="D690">
        <v>2008</v>
      </c>
      <c r="E690" t="s">
        <v>28</v>
      </c>
      <c r="F690">
        <v>2008333</v>
      </c>
      <c r="G690">
        <v>2009092</v>
      </c>
      <c r="H690">
        <v>11550</v>
      </c>
      <c r="I690">
        <v>3366</v>
      </c>
      <c r="J690">
        <v>0</v>
      </c>
      <c r="K690">
        <v>486</v>
      </c>
      <c r="L690">
        <v>0</v>
      </c>
      <c r="M690">
        <v>125</v>
      </c>
      <c r="N690">
        <v>19.47654</v>
      </c>
      <c r="O690">
        <v>6.3150839999999997</v>
      </c>
      <c r="P690">
        <v>14.240780000000001</v>
      </c>
      <c r="Q690">
        <v>144736</v>
      </c>
    </row>
    <row r="691" spans="1:17" x14ac:dyDescent="0.25">
      <c r="A691" t="s">
        <v>20</v>
      </c>
      <c r="B691">
        <v>35</v>
      </c>
      <c r="C691">
        <v>0.91</v>
      </c>
      <c r="D691">
        <v>2009</v>
      </c>
      <c r="E691" t="s">
        <v>29</v>
      </c>
      <c r="F691">
        <v>2009333</v>
      </c>
      <c r="G691">
        <v>2010089</v>
      </c>
      <c r="H691">
        <v>15976</v>
      </c>
      <c r="I691">
        <v>3746</v>
      </c>
      <c r="J691">
        <v>0</v>
      </c>
      <c r="K691">
        <v>974</v>
      </c>
      <c r="L691">
        <v>0</v>
      </c>
      <c r="M691">
        <v>125</v>
      </c>
      <c r="N691">
        <v>18.92445</v>
      </c>
      <c r="O691">
        <v>7.768332</v>
      </c>
      <c r="P691">
        <v>13.588889999999999</v>
      </c>
      <c r="Q691">
        <v>161080</v>
      </c>
    </row>
    <row r="692" spans="1:17" x14ac:dyDescent="0.25">
      <c r="A692" t="s">
        <v>20</v>
      </c>
      <c r="B692">
        <v>35</v>
      </c>
      <c r="C692">
        <v>0.91</v>
      </c>
      <c r="D692">
        <v>2010</v>
      </c>
      <c r="E692" t="s">
        <v>29</v>
      </c>
      <c r="F692">
        <v>2010333</v>
      </c>
      <c r="G692">
        <v>2011088</v>
      </c>
      <c r="H692">
        <v>17689</v>
      </c>
      <c r="I692">
        <v>4565</v>
      </c>
      <c r="J692">
        <v>0</v>
      </c>
      <c r="K692">
        <v>847</v>
      </c>
      <c r="L692">
        <v>0</v>
      </c>
      <c r="M692">
        <v>125</v>
      </c>
      <c r="N692">
        <v>20.036519999999999</v>
      </c>
      <c r="O692">
        <v>8.5522480000000005</v>
      </c>
      <c r="P692">
        <v>14.138769999999999</v>
      </c>
      <c r="Q692">
        <v>196286</v>
      </c>
    </row>
    <row r="693" spans="1:17" x14ac:dyDescent="0.25">
      <c r="A693" t="s">
        <v>20</v>
      </c>
      <c r="B693">
        <v>35</v>
      </c>
      <c r="C693">
        <v>0.91</v>
      </c>
      <c r="D693">
        <v>2011</v>
      </c>
      <c r="E693" t="s">
        <v>29</v>
      </c>
      <c r="F693">
        <v>2011333</v>
      </c>
      <c r="G693">
        <v>2012100</v>
      </c>
      <c r="H693">
        <v>519</v>
      </c>
      <c r="I693">
        <v>130</v>
      </c>
      <c r="J693">
        <v>0</v>
      </c>
      <c r="K693">
        <v>318</v>
      </c>
      <c r="L693">
        <v>0</v>
      </c>
      <c r="M693">
        <v>125</v>
      </c>
      <c r="N693">
        <v>20.06833</v>
      </c>
      <c r="O693">
        <v>4.5911119999999999</v>
      </c>
      <c r="P693">
        <v>15.75278</v>
      </c>
      <c r="Q693">
        <v>5591</v>
      </c>
    </row>
    <row r="694" spans="1:17" x14ac:dyDescent="0.25">
      <c r="A694" t="s">
        <v>20</v>
      </c>
      <c r="B694">
        <v>35</v>
      </c>
      <c r="C694">
        <v>0.91</v>
      </c>
      <c r="D694">
        <v>2012</v>
      </c>
      <c r="E694" t="s">
        <v>29</v>
      </c>
      <c r="F694">
        <v>2012333</v>
      </c>
      <c r="G694">
        <v>2013091</v>
      </c>
      <c r="H694">
        <v>18751</v>
      </c>
      <c r="I694">
        <v>4245</v>
      </c>
      <c r="J694">
        <v>0</v>
      </c>
      <c r="K694">
        <v>903</v>
      </c>
      <c r="L694">
        <v>0</v>
      </c>
      <c r="M694">
        <v>125</v>
      </c>
      <c r="N694">
        <v>18.7118</v>
      </c>
      <c r="O694">
        <v>7.127529</v>
      </c>
      <c r="P694">
        <v>13.97752</v>
      </c>
      <c r="Q694">
        <v>182535</v>
      </c>
    </row>
    <row r="695" spans="1:17" x14ac:dyDescent="0.25">
      <c r="A695" t="s">
        <v>20</v>
      </c>
      <c r="B695">
        <v>35</v>
      </c>
      <c r="C695">
        <v>0.91</v>
      </c>
      <c r="D695">
        <v>2013</v>
      </c>
      <c r="E695" t="s">
        <v>29</v>
      </c>
      <c r="F695">
        <v>2013333</v>
      </c>
      <c r="G695">
        <v>2014093</v>
      </c>
      <c r="H695">
        <v>10902</v>
      </c>
      <c r="I695">
        <v>3891</v>
      </c>
      <c r="J695">
        <v>0</v>
      </c>
      <c r="K695">
        <v>431</v>
      </c>
      <c r="L695">
        <v>0</v>
      </c>
      <c r="M695">
        <v>125</v>
      </c>
      <c r="N695">
        <v>20.58418</v>
      </c>
      <c r="O695">
        <v>8.0126580000000001</v>
      </c>
      <c r="P695">
        <v>16.458860000000001</v>
      </c>
      <c r="Q695">
        <v>167309</v>
      </c>
    </row>
    <row r="696" spans="1:17" x14ac:dyDescent="0.25">
      <c r="A696" t="s">
        <v>20</v>
      </c>
      <c r="B696">
        <v>35</v>
      </c>
      <c r="C696">
        <v>0.91</v>
      </c>
      <c r="D696">
        <v>2014</v>
      </c>
      <c r="E696" t="s">
        <v>29</v>
      </c>
      <c r="F696">
        <v>2014333</v>
      </c>
      <c r="G696">
        <v>2015094</v>
      </c>
      <c r="H696">
        <v>8313</v>
      </c>
      <c r="I696">
        <v>2743</v>
      </c>
      <c r="J696">
        <v>0</v>
      </c>
      <c r="K696">
        <v>480</v>
      </c>
      <c r="L696">
        <v>0</v>
      </c>
      <c r="M696">
        <v>125</v>
      </c>
      <c r="N696">
        <v>20.728179999999998</v>
      </c>
      <c r="O696">
        <v>5.9823209999999998</v>
      </c>
      <c r="P696">
        <v>15.956899999999999</v>
      </c>
      <c r="Q696">
        <v>117952</v>
      </c>
    </row>
    <row r="697" spans="1:17" x14ac:dyDescent="0.25">
      <c r="A697" t="s">
        <v>20</v>
      </c>
      <c r="B697">
        <v>35</v>
      </c>
      <c r="C697">
        <v>0.91</v>
      </c>
      <c r="D697">
        <v>2015</v>
      </c>
      <c r="E697" t="s">
        <v>29</v>
      </c>
      <c r="F697">
        <v>2015333</v>
      </c>
      <c r="G697">
        <v>2016086</v>
      </c>
      <c r="H697">
        <v>13614</v>
      </c>
      <c r="I697">
        <v>3409</v>
      </c>
      <c r="J697">
        <v>0</v>
      </c>
      <c r="K697">
        <v>648</v>
      </c>
      <c r="L697">
        <v>0</v>
      </c>
      <c r="M697">
        <v>125</v>
      </c>
      <c r="N697">
        <v>19.621670000000002</v>
      </c>
      <c r="O697">
        <v>7.1494470000000003</v>
      </c>
      <c r="P697">
        <v>14.338889999999999</v>
      </c>
      <c r="Q697">
        <v>146572</v>
      </c>
    </row>
    <row r="698" spans="1:17" x14ac:dyDescent="0.25">
      <c r="A698" t="s">
        <v>20</v>
      </c>
      <c r="B698">
        <v>35</v>
      </c>
      <c r="C698">
        <v>0.91</v>
      </c>
      <c r="D698">
        <v>2016</v>
      </c>
      <c r="E698" t="s">
        <v>29</v>
      </c>
      <c r="F698">
        <v>2016333</v>
      </c>
      <c r="G698">
        <v>2017089</v>
      </c>
      <c r="H698">
        <v>14182</v>
      </c>
      <c r="I698">
        <v>4954</v>
      </c>
      <c r="J698">
        <v>0</v>
      </c>
      <c r="K698">
        <v>627</v>
      </c>
      <c r="L698">
        <v>0</v>
      </c>
      <c r="M698">
        <v>125</v>
      </c>
      <c r="N698">
        <v>20.85934</v>
      </c>
      <c r="O698">
        <v>7.1593390000000001</v>
      </c>
      <c r="P698">
        <v>16.436820000000001</v>
      </c>
      <c r="Q698">
        <v>213011</v>
      </c>
    </row>
    <row r="699" spans="1:17" x14ac:dyDescent="0.25">
      <c r="A699" t="s">
        <v>20</v>
      </c>
      <c r="B699">
        <v>35</v>
      </c>
      <c r="C699">
        <v>0.91</v>
      </c>
      <c r="D699">
        <v>2017</v>
      </c>
      <c r="E699" t="s">
        <v>29</v>
      </c>
      <c r="F699">
        <v>2017333</v>
      </c>
      <c r="G699">
        <v>2018095</v>
      </c>
      <c r="H699">
        <v>14641</v>
      </c>
      <c r="I699">
        <v>3888</v>
      </c>
      <c r="J699">
        <v>0</v>
      </c>
      <c r="K699">
        <v>597</v>
      </c>
      <c r="L699">
        <v>0</v>
      </c>
      <c r="M699">
        <v>125</v>
      </c>
      <c r="N699">
        <v>18.79045</v>
      </c>
      <c r="O699">
        <v>6.4174150000000001</v>
      </c>
      <c r="P699">
        <v>15.093819999999999</v>
      </c>
      <c r="Q699">
        <v>167187</v>
      </c>
    </row>
    <row r="700" spans="1:17" x14ac:dyDescent="0.25">
      <c r="A700" t="s">
        <v>20</v>
      </c>
      <c r="B700">
        <v>35</v>
      </c>
      <c r="C700">
        <v>0.91</v>
      </c>
      <c r="D700">
        <v>2018</v>
      </c>
      <c r="E700" t="s">
        <v>29</v>
      </c>
      <c r="F700">
        <v>2018333</v>
      </c>
      <c r="G700">
        <v>2019089</v>
      </c>
      <c r="H700">
        <v>5326</v>
      </c>
      <c r="I700">
        <v>1443</v>
      </c>
      <c r="J700">
        <v>0</v>
      </c>
      <c r="K700">
        <v>451</v>
      </c>
      <c r="L700">
        <v>0</v>
      </c>
      <c r="M700">
        <v>125</v>
      </c>
      <c r="N700">
        <v>21.47167</v>
      </c>
      <c r="O700">
        <v>5.863334</v>
      </c>
      <c r="P700">
        <v>17.65944</v>
      </c>
      <c r="Q700">
        <v>62031</v>
      </c>
    </row>
    <row r="701" spans="1:17" x14ac:dyDescent="0.25">
      <c r="A701" t="s">
        <v>20</v>
      </c>
      <c r="B701">
        <v>35</v>
      </c>
      <c r="C701">
        <v>0.91</v>
      </c>
      <c r="D701">
        <v>2019</v>
      </c>
      <c r="E701" t="s">
        <v>29</v>
      </c>
      <c r="F701">
        <v>2019333</v>
      </c>
      <c r="G701">
        <v>2020076</v>
      </c>
      <c r="H701">
        <v>8511</v>
      </c>
      <c r="I701">
        <v>1874</v>
      </c>
      <c r="J701">
        <v>0</v>
      </c>
      <c r="K701">
        <v>492</v>
      </c>
      <c r="L701">
        <v>0</v>
      </c>
      <c r="M701">
        <v>125</v>
      </c>
      <c r="N701">
        <v>21.1663</v>
      </c>
      <c r="O701">
        <v>8.4215450000000001</v>
      </c>
      <c r="P701">
        <v>15.91602</v>
      </c>
      <c r="Q701">
        <v>80598</v>
      </c>
    </row>
    <row r="702" spans="1:17" x14ac:dyDescent="0.25">
      <c r="A702" t="s">
        <v>20</v>
      </c>
      <c r="B702">
        <v>36</v>
      </c>
      <c r="C702">
        <v>1.34</v>
      </c>
      <c r="D702">
        <v>2000</v>
      </c>
      <c r="E702" t="s">
        <v>28</v>
      </c>
      <c r="F702">
        <v>2000318</v>
      </c>
      <c r="G702">
        <v>2001063</v>
      </c>
      <c r="H702">
        <v>12952</v>
      </c>
      <c r="I702">
        <v>2124</v>
      </c>
      <c r="J702">
        <v>0</v>
      </c>
      <c r="K702">
        <v>673</v>
      </c>
      <c r="L702">
        <v>0</v>
      </c>
      <c r="M702">
        <v>75</v>
      </c>
      <c r="N702">
        <v>20.097460000000002</v>
      </c>
      <c r="O702">
        <v>9.6918360000000003</v>
      </c>
      <c r="P702">
        <v>13.24949</v>
      </c>
      <c r="Q702">
        <v>80699</v>
      </c>
    </row>
    <row r="703" spans="1:17" x14ac:dyDescent="0.25">
      <c r="A703" t="s">
        <v>20</v>
      </c>
      <c r="B703">
        <v>36</v>
      </c>
      <c r="C703">
        <v>1.34</v>
      </c>
      <c r="D703">
        <v>2001</v>
      </c>
      <c r="E703" t="s">
        <v>28</v>
      </c>
      <c r="F703">
        <v>2001318</v>
      </c>
      <c r="G703">
        <v>2002078</v>
      </c>
      <c r="H703">
        <v>10253</v>
      </c>
      <c r="I703">
        <v>1711</v>
      </c>
      <c r="J703">
        <v>0</v>
      </c>
      <c r="K703">
        <v>574</v>
      </c>
      <c r="L703">
        <v>0</v>
      </c>
      <c r="M703">
        <v>75</v>
      </c>
      <c r="N703">
        <v>19.72052</v>
      </c>
      <c r="O703">
        <v>6.5943589999999999</v>
      </c>
      <c r="P703">
        <v>13.583080000000001</v>
      </c>
      <c r="Q703">
        <v>65037</v>
      </c>
    </row>
    <row r="704" spans="1:17" x14ac:dyDescent="0.25">
      <c r="A704" t="s">
        <v>20</v>
      </c>
      <c r="B704">
        <v>36</v>
      </c>
      <c r="C704">
        <v>1.34</v>
      </c>
      <c r="D704">
        <v>2002</v>
      </c>
      <c r="E704" t="s">
        <v>28</v>
      </c>
      <c r="F704">
        <v>2002318</v>
      </c>
      <c r="G704">
        <v>2003075</v>
      </c>
      <c r="H704">
        <v>17557</v>
      </c>
      <c r="I704">
        <v>3117</v>
      </c>
      <c r="J704">
        <v>0</v>
      </c>
      <c r="K704">
        <v>760</v>
      </c>
      <c r="L704">
        <v>0</v>
      </c>
      <c r="M704">
        <v>75</v>
      </c>
      <c r="N704">
        <v>19.403079999999999</v>
      </c>
      <c r="O704">
        <v>7.5405129999999998</v>
      </c>
      <c r="P704">
        <v>13.13846</v>
      </c>
      <c r="Q704">
        <v>118446</v>
      </c>
    </row>
    <row r="705" spans="1:17" x14ac:dyDescent="0.25">
      <c r="A705" t="s">
        <v>20</v>
      </c>
      <c r="B705">
        <v>36</v>
      </c>
      <c r="C705">
        <v>1.34</v>
      </c>
      <c r="D705">
        <v>2003</v>
      </c>
      <c r="E705" t="s">
        <v>28</v>
      </c>
      <c r="F705">
        <v>2003318</v>
      </c>
      <c r="G705">
        <v>2004077</v>
      </c>
      <c r="H705">
        <v>18390</v>
      </c>
      <c r="I705">
        <v>2892</v>
      </c>
      <c r="J705">
        <v>0</v>
      </c>
      <c r="K705">
        <v>769</v>
      </c>
      <c r="L705">
        <v>0</v>
      </c>
      <c r="M705">
        <v>75</v>
      </c>
      <c r="N705">
        <v>18.655609999999999</v>
      </c>
      <c r="O705">
        <v>6.9454099999999999</v>
      </c>
      <c r="P705">
        <v>12.36684</v>
      </c>
      <c r="Q705">
        <v>109907</v>
      </c>
    </row>
    <row r="706" spans="1:17" x14ac:dyDescent="0.25">
      <c r="A706" t="s">
        <v>20</v>
      </c>
      <c r="B706">
        <v>36</v>
      </c>
      <c r="C706">
        <v>1.34</v>
      </c>
      <c r="D706">
        <v>2004</v>
      </c>
      <c r="E706" t="s">
        <v>28</v>
      </c>
      <c r="F706">
        <v>2004318</v>
      </c>
      <c r="G706">
        <v>2005090</v>
      </c>
      <c r="H706">
        <v>6366</v>
      </c>
      <c r="I706">
        <v>1749</v>
      </c>
      <c r="J706">
        <v>0</v>
      </c>
      <c r="K706">
        <v>373</v>
      </c>
      <c r="L706">
        <v>0</v>
      </c>
      <c r="M706">
        <v>75</v>
      </c>
      <c r="N706">
        <v>19.832820000000002</v>
      </c>
      <c r="O706">
        <v>4.8523059999999996</v>
      </c>
      <c r="P706">
        <v>13.669230000000001</v>
      </c>
      <c r="Q706">
        <v>66463</v>
      </c>
    </row>
    <row r="707" spans="1:17" x14ac:dyDescent="0.25">
      <c r="A707" t="s">
        <v>20</v>
      </c>
      <c r="B707">
        <v>36</v>
      </c>
      <c r="C707">
        <v>1.34</v>
      </c>
      <c r="D707">
        <v>2005</v>
      </c>
      <c r="E707" t="s">
        <v>28</v>
      </c>
      <c r="F707">
        <v>2005318</v>
      </c>
      <c r="G707">
        <v>2006087</v>
      </c>
      <c r="H707">
        <v>16243</v>
      </c>
      <c r="I707">
        <v>3895</v>
      </c>
      <c r="J707">
        <v>0</v>
      </c>
      <c r="K707">
        <v>617</v>
      </c>
      <c r="L707">
        <v>0</v>
      </c>
      <c r="M707">
        <v>75</v>
      </c>
      <c r="N707">
        <v>19.298459999999999</v>
      </c>
      <c r="O707">
        <v>6.8297439999999998</v>
      </c>
      <c r="P707">
        <v>13.242570000000001</v>
      </c>
      <c r="Q707">
        <v>148023</v>
      </c>
    </row>
    <row r="708" spans="1:17" x14ac:dyDescent="0.25">
      <c r="A708" t="s">
        <v>20</v>
      </c>
      <c r="B708">
        <v>36</v>
      </c>
      <c r="C708">
        <v>1.34</v>
      </c>
      <c r="D708">
        <v>2006</v>
      </c>
      <c r="E708" t="s">
        <v>28</v>
      </c>
      <c r="F708">
        <v>2006318</v>
      </c>
      <c r="G708">
        <v>2007082</v>
      </c>
      <c r="H708">
        <v>15217</v>
      </c>
      <c r="I708">
        <v>2976</v>
      </c>
      <c r="J708">
        <v>0</v>
      </c>
      <c r="K708">
        <v>668</v>
      </c>
      <c r="L708">
        <v>0</v>
      </c>
      <c r="M708">
        <v>75</v>
      </c>
      <c r="N708">
        <v>18.831119999999999</v>
      </c>
      <c r="O708">
        <v>6.6000030000000001</v>
      </c>
      <c r="P708">
        <v>13.14898</v>
      </c>
      <c r="Q708">
        <v>113090</v>
      </c>
    </row>
    <row r="709" spans="1:17" x14ac:dyDescent="0.25">
      <c r="A709" t="s">
        <v>20</v>
      </c>
      <c r="B709">
        <v>36</v>
      </c>
      <c r="C709">
        <v>1.34</v>
      </c>
      <c r="D709">
        <v>2007</v>
      </c>
      <c r="E709" t="s">
        <v>28</v>
      </c>
      <c r="F709">
        <v>2007318</v>
      </c>
      <c r="G709">
        <v>2008075</v>
      </c>
      <c r="H709">
        <v>9954</v>
      </c>
      <c r="I709">
        <v>2019</v>
      </c>
      <c r="J709">
        <v>0</v>
      </c>
      <c r="K709">
        <v>653</v>
      </c>
      <c r="L709">
        <v>0</v>
      </c>
      <c r="M709">
        <v>75</v>
      </c>
      <c r="N709">
        <v>19.780950000000001</v>
      </c>
      <c r="O709">
        <v>6.3571429999999998</v>
      </c>
      <c r="P709">
        <v>13.970370000000001</v>
      </c>
      <c r="Q709">
        <v>76711</v>
      </c>
    </row>
    <row r="710" spans="1:17" x14ac:dyDescent="0.25">
      <c r="A710" t="s">
        <v>20</v>
      </c>
      <c r="B710">
        <v>36</v>
      </c>
      <c r="C710">
        <v>1.34</v>
      </c>
      <c r="D710">
        <v>2008</v>
      </c>
      <c r="E710" t="s">
        <v>28</v>
      </c>
      <c r="F710">
        <v>2008318</v>
      </c>
      <c r="G710">
        <v>2009083</v>
      </c>
      <c r="H710">
        <v>11977</v>
      </c>
      <c r="I710">
        <v>3042</v>
      </c>
      <c r="J710">
        <v>0</v>
      </c>
      <c r="K710">
        <v>486</v>
      </c>
      <c r="L710">
        <v>0</v>
      </c>
      <c r="M710">
        <v>75</v>
      </c>
      <c r="N710">
        <v>19.095410000000001</v>
      </c>
      <c r="O710">
        <v>6.0163270000000004</v>
      </c>
      <c r="P710">
        <v>13.770910000000001</v>
      </c>
      <c r="Q710">
        <v>115596</v>
      </c>
    </row>
    <row r="711" spans="1:17" x14ac:dyDescent="0.25">
      <c r="A711" t="s">
        <v>20</v>
      </c>
      <c r="B711">
        <v>36</v>
      </c>
      <c r="C711">
        <v>1.34</v>
      </c>
      <c r="D711">
        <v>2009</v>
      </c>
      <c r="E711" t="s">
        <v>28</v>
      </c>
      <c r="F711">
        <v>2009318</v>
      </c>
      <c r="G711">
        <v>2010077</v>
      </c>
      <c r="H711">
        <v>13811</v>
      </c>
      <c r="I711">
        <v>2302</v>
      </c>
      <c r="J711">
        <v>0</v>
      </c>
      <c r="K711">
        <v>974</v>
      </c>
      <c r="L711">
        <v>0</v>
      </c>
      <c r="M711">
        <v>75</v>
      </c>
      <c r="N711">
        <v>18.847280000000001</v>
      </c>
      <c r="O711">
        <v>7.7239120000000003</v>
      </c>
      <c r="P711">
        <v>13.456519999999999</v>
      </c>
      <c r="Q711">
        <v>87476</v>
      </c>
    </row>
    <row r="712" spans="1:17" x14ac:dyDescent="0.25">
      <c r="A712" t="s">
        <v>20</v>
      </c>
      <c r="B712">
        <v>36</v>
      </c>
      <c r="C712">
        <v>1.34</v>
      </c>
      <c r="D712">
        <v>2010</v>
      </c>
      <c r="E712" t="s">
        <v>29</v>
      </c>
      <c r="F712">
        <v>2010318</v>
      </c>
      <c r="G712">
        <v>2011077</v>
      </c>
      <c r="H712">
        <v>15323</v>
      </c>
      <c r="I712">
        <v>4154</v>
      </c>
      <c r="J712">
        <v>0</v>
      </c>
      <c r="K712">
        <v>847</v>
      </c>
      <c r="L712">
        <v>0</v>
      </c>
      <c r="M712">
        <v>75</v>
      </c>
      <c r="N712">
        <v>19.43505</v>
      </c>
      <c r="O712">
        <v>8.3381450000000008</v>
      </c>
      <c r="P712">
        <v>13.40258</v>
      </c>
      <c r="Q712">
        <v>157838</v>
      </c>
    </row>
    <row r="713" spans="1:17" x14ac:dyDescent="0.25">
      <c r="A713" t="s">
        <v>20</v>
      </c>
      <c r="B713">
        <v>36</v>
      </c>
      <c r="C713">
        <v>1.34</v>
      </c>
      <c r="D713">
        <v>2011</v>
      </c>
      <c r="E713" t="s">
        <v>29</v>
      </c>
      <c r="F713">
        <v>2011318</v>
      </c>
      <c r="G713">
        <v>2012090</v>
      </c>
      <c r="H713">
        <v>814</v>
      </c>
      <c r="I713">
        <v>230</v>
      </c>
      <c r="J713">
        <v>0</v>
      </c>
      <c r="K713">
        <v>318</v>
      </c>
      <c r="L713">
        <v>0</v>
      </c>
      <c r="M713">
        <v>75</v>
      </c>
      <c r="N713">
        <v>19.870920000000002</v>
      </c>
      <c r="O713">
        <v>4.7183679999999999</v>
      </c>
      <c r="P713">
        <v>15.17449</v>
      </c>
      <c r="Q713">
        <v>8747</v>
      </c>
    </row>
    <row r="714" spans="1:17" x14ac:dyDescent="0.25">
      <c r="A714" t="s">
        <v>20</v>
      </c>
      <c r="B714">
        <v>36</v>
      </c>
      <c r="C714">
        <v>1.34</v>
      </c>
      <c r="D714">
        <v>2012</v>
      </c>
      <c r="E714" t="s">
        <v>29</v>
      </c>
      <c r="F714">
        <v>2012318</v>
      </c>
      <c r="G714">
        <v>2013084</v>
      </c>
      <c r="H714">
        <v>19105</v>
      </c>
      <c r="I714">
        <v>4574</v>
      </c>
      <c r="J714">
        <v>0</v>
      </c>
      <c r="K714">
        <v>903</v>
      </c>
      <c r="L714">
        <v>0</v>
      </c>
      <c r="M714">
        <v>75</v>
      </c>
      <c r="N714">
        <v>18.426909999999999</v>
      </c>
      <c r="O714">
        <v>7.0380739999999999</v>
      </c>
      <c r="P714">
        <v>13.40659</v>
      </c>
      <c r="Q714">
        <v>173806</v>
      </c>
    </row>
    <row r="715" spans="1:17" x14ac:dyDescent="0.25">
      <c r="A715" t="s">
        <v>20</v>
      </c>
      <c r="B715">
        <v>36</v>
      </c>
      <c r="C715">
        <v>1.34</v>
      </c>
      <c r="D715">
        <v>2013</v>
      </c>
      <c r="E715" t="s">
        <v>29</v>
      </c>
      <c r="F715">
        <v>2013318</v>
      </c>
      <c r="G715">
        <v>2014088</v>
      </c>
      <c r="H715">
        <v>10233</v>
      </c>
      <c r="I715">
        <v>3188</v>
      </c>
      <c r="J715">
        <v>0</v>
      </c>
      <c r="K715">
        <v>431</v>
      </c>
      <c r="L715">
        <v>0</v>
      </c>
      <c r="M715">
        <v>75</v>
      </c>
      <c r="N715">
        <v>20.551570000000002</v>
      </c>
      <c r="O715">
        <v>8.0050319999999999</v>
      </c>
      <c r="P715">
        <v>16.370439999999999</v>
      </c>
      <c r="Q715">
        <v>121154</v>
      </c>
    </row>
    <row r="716" spans="1:17" x14ac:dyDescent="0.25">
      <c r="A716" t="s">
        <v>20</v>
      </c>
      <c r="B716">
        <v>36</v>
      </c>
      <c r="C716">
        <v>1.34</v>
      </c>
      <c r="D716">
        <v>2014</v>
      </c>
      <c r="E716" t="s">
        <v>29</v>
      </c>
      <c r="F716">
        <v>2014318</v>
      </c>
      <c r="G716">
        <v>2015088</v>
      </c>
      <c r="H716">
        <v>8728</v>
      </c>
      <c r="I716">
        <v>2961</v>
      </c>
      <c r="J716">
        <v>0</v>
      </c>
      <c r="K716">
        <v>480</v>
      </c>
      <c r="L716">
        <v>0</v>
      </c>
      <c r="M716">
        <v>75</v>
      </c>
      <c r="N716">
        <v>20.625</v>
      </c>
      <c r="O716">
        <v>6.3561230000000002</v>
      </c>
      <c r="P716">
        <v>15.343360000000001</v>
      </c>
      <c r="Q716">
        <v>112513</v>
      </c>
    </row>
    <row r="717" spans="1:17" x14ac:dyDescent="0.25">
      <c r="A717" t="s">
        <v>20</v>
      </c>
      <c r="B717">
        <v>36</v>
      </c>
      <c r="C717">
        <v>1.34</v>
      </c>
      <c r="D717">
        <v>2015</v>
      </c>
      <c r="E717" t="s">
        <v>29</v>
      </c>
      <c r="F717">
        <v>2015318</v>
      </c>
      <c r="G717">
        <v>2016071</v>
      </c>
      <c r="H717">
        <v>11517</v>
      </c>
      <c r="I717">
        <v>2710</v>
      </c>
      <c r="J717">
        <v>0</v>
      </c>
      <c r="K717">
        <v>648</v>
      </c>
      <c r="L717">
        <v>0</v>
      </c>
      <c r="M717">
        <v>75</v>
      </c>
      <c r="N717">
        <v>19.584689999999998</v>
      </c>
      <c r="O717">
        <v>6.8147989999999998</v>
      </c>
      <c r="P717">
        <v>14.183160000000001</v>
      </c>
      <c r="Q717">
        <v>102989</v>
      </c>
    </row>
    <row r="718" spans="1:17" x14ac:dyDescent="0.25">
      <c r="A718" t="s">
        <v>20</v>
      </c>
      <c r="B718">
        <v>36</v>
      </c>
      <c r="C718">
        <v>1.34</v>
      </c>
      <c r="D718">
        <v>2016</v>
      </c>
      <c r="E718" t="s">
        <v>29</v>
      </c>
      <c r="F718">
        <v>2016318</v>
      </c>
      <c r="G718">
        <v>2017072</v>
      </c>
      <c r="H718">
        <v>13069</v>
      </c>
      <c r="I718">
        <v>4706</v>
      </c>
      <c r="J718">
        <v>0</v>
      </c>
      <c r="K718">
        <v>627</v>
      </c>
      <c r="L718">
        <v>0</v>
      </c>
      <c r="M718">
        <v>75</v>
      </c>
      <c r="N718">
        <v>20.542639999999999</v>
      </c>
      <c r="O718">
        <v>7.2238569999999998</v>
      </c>
      <c r="P718">
        <v>15.76498</v>
      </c>
      <c r="Q718">
        <v>178845</v>
      </c>
    </row>
    <row r="719" spans="1:17" x14ac:dyDescent="0.25">
      <c r="A719" t="s">
        <v>20</v>
      </c>
      <c r="B719">
        <v>36</v>
      </c>
      <c r="C719">
        <v>1.34</v>
      </c>
      <c r="D719">
        <v>2017</v>
      </c>
      <c r="E719" t="s">
        <v>29</v>
      </c>
      <c r="F719">
        <v>2017318</v>
      </c>
      <c r="G719">
        <v>2018087</v>
      </c>
      <c r="H719">
        <v>15582</v>
      </c>
      <c r="I719">
        <v>3595</v>
      </c>
      <c r="J719">
        <v>0</v>
      </c>
      <c r="K719">
        <v>597</v>
      </c>
      <c r="L719">
        <v>0</v>
      </c>
      <c r="M719">
        <v>75</v>
      </c>
      <c r="N719">
        <v>18.730250000000002</v>
      </c>
      <c r="O719">
        <v>6.1405130000000003</v>
      </c>
      <c r="P719">
        <v>14.65743</v>
      </c>
      <c r="Q719">
        <v>136608</v>
      </c>
    </row>
    <row r="720" spans="1:17" x14ac:dyDescent="0.25">
      <c r="A720" t="s">
        <v>20</v>
      </c>
      <c r="B720">
        <v>36</v>
      </c>
      <c r="C720">
        <v>1.34</v>
      </c>
      <c r="D720">
        <v>2018</v>
      </c>
      <c r="E720" t="s">
        <v>29</v>
      </c>
      <c r="F720">
        <v>2018318</v>
      </c>
      <c r="G720">
        <v>2019077</v>
      </c>
      <c r="H720">
        <v>7549</v>
      </c>
      <c r="I720">
        <v>2184</v>
      </c>
      <c r="J720">
        <v>0</v>
      </c>
      <c r="K720">
        <v>451</v>
      </c>
      <c r="L720">
        <v>0</v>
      </c>
      <c r="M720">
        <v>75</v>
      </c>
      <c r="N720">
        <v>21.101019999999998</v>
      </c>
      <c r="O720">
        <v>6.0091840000000003</v>
      </c>
      <c r="P720">
        <v>16.898980000000002</v>
      </c>
      <c r="Q720">
        <v>83007</v>
      </c>
    </row>
    <row r="721" spans="1:17" x14ac:dyDescent="0.25">
      <c r="A721" t="s">
        <v>20</v>
      </c>
      <c r="B721">
        <v>36</v>
      </c>
      <c r="C721">
        <v>1.34</v>
      </c>
      <c r="D721">
        <v>2019</v>
      </c>
      <c r="E721" t="s">
        <v>29</v>
      </c>
      <c r="F721">
        <v>2019318</v>
      </c>
      <c r="G721">
        <v>2020066</v>
      </c>
      <c r="H721">
        <v>9598</v>
      </c>
      <c r="I721">
        <v>2376</v>
      </c>
      <c r="J721">
        <v>0</v>
      </c>
      <c r="K721">
        <v>492</v>
      </c>
      <c r="L721">
        <v>0</v>
      </c>
      <c r="M721">
        <v>75</v>
      </c>
      <c r="N721">
        <v>20.947649999999999</v>
      </c>
      <c r="O721">
        <v>8.4602070000000005</v>
      </c>
      <c r="P721">
        <v>15.47278</v>
      </c>
      <c r="Q721">
        <v>90307</v>
      </c>
    </row>
    <row r="722" spans="1:17" x14ac:dyDescent="0.25">
      <c r="A722" t="s">
        <v>20</v>
      </c>
      <c r="B722">
        <v>37</v>
      </c>
      <c r="C722">
        <v>0.89</v>
      </c>
      <c r="D722">
        <v>2000</v>
      </c>
      <c r="E722" t="s">
        <v>28</v>
      </c>
      <c r="F722">
        <v>2000333</v>
      </c>
      <c r="G722">
        <v>2001076</v>
      </c>
      <c r="H722">
        <v>14143</v>
      </c>
      <c r="I722">
        <v>2480</v>
      </c>
      <c r="J722">
        <v>0</v>
      </c>
      <c r="K722">
        <v>673</v>
      </c>
      <c r="L722">
        <v>0</v>
      </c>
      <c r="M722">
        <v>75</v>
      </c>
      <c r="N722">
        <v>20.317039999999999</v>
      </c>
      <c r="O722">
        <v>9.6983519999999999</v>
      </c>
      <c r="P722">
        <v>13.77472</v>
      </c>
      <c r="Q722">
        <v>109104</v>
      </c>
    </row>
    <row r="723" spans="1:17" x14ac:dyDescent="0.25">
      <c r="A723" t="s">
        <v>20</v>
      </c>
      <c r="B723">
        <v>37</v>
      </c>
      <c r="C723">
        <v>0.89</v>
      </c>
      <c r="D723">
        <v>2001</v>
      </c>
      <c r="E723" t="s">
        <v>28</v>
      </c>
      <c r="F723">
        <v>2001333</v>
      </c>
      <c r="G723">
        <v>2002085</v>
      </c>
      <c r="H723">
        <v>11103</v>
      </c>
      <c r="I723">
        <v>2402</v>
      </c>
      <c r="J723">
        <v>0</v>
      </c>
      <c r="K723">
        <v>574</v>
      </c>
      <c r="L723">
        <v>0</v>
      </c>
      <c r="M723">
        <v>75</v>
      </c>
      <c r="N723">
        <v>19.920670000000001</v>
      </c>
      <c r="O723">
        <v>6.8726269999999996</v>
      </c>
      <c r="P723">
        <v>13.962009999999999</v>
      </c>
      <c r="Q723">
        <v>105680</v>
      </c>
    </row>
    <row r="724" spans="1:17" x14ac:dyDescent="0.25">
      <c r="A724" t="s">
        <v>20</v>
      </c>
      <c r="B724">
        <v>37</v>
      </c>
      <c r="C724">
        <v>0.89</v>
      </c>
      <c r="D724">
        <v>2002</v>
      </c>
      <c r="E724" t="s">
        <v>28</v>
      </c>
      <c r="F724">
        <v>2002333</v>
      </c>
      <c r="G724">
        <v>2003087</v>
      </c>
      <c r="H724">
        <v>17834</v>
      </c>
      <c r="I724">
        <v>3366</v>
      </c>
      <c r="J724">
        <v>0</v>
      </c>
      <c r="K724">
        <v>760</v>
      </c>
      <c r="L724">
        <v>0</v>
      </c>
      <c r="M724">
        <v>75</v>
      </c>
      <c r="N724">
        <v>19.712779999999999</v>
      </c>
      <c r="O724">
        <v>7.5266659999999996</v>
      </c>
      <c r="P724">
        <v>13.720560000000001</v>
      </c>
      <c r="Q724">
        <v>148124</v>
      </c>
    </row>
    <row r="725" spans="1:17" x14ac:dyDescent="0.25">
      <c r="A725" t="s">
        <v>20</v>
      </c>
      <c r="B725">
        <v>37</v>
      </c>
      <c r="C725">
        <v>0.89</v>
      </c>
      <c r="D725">
        <v>2003</v>
      </c>
      <c r="E725" t="s">
        <v>28</v>
      </c>
      <c r="F725">
        <v>2003333</v>
      </c>
      <c r="G725">
        <v>2004085</v>
      </c>
      <c r="H725">
        <v>19548</v>
      </c>
      <c r="I725">
        <v>3202</v>
      </c>
      <c r="J725">
        <v>0</v>
      </c>
      <c r="K725">
        <v>769</v>
      </c>
      <c r="L725">
        <v>0</v>
      </c>
      <c r="M725">
        <v>75</v>
      </c>
      <c r="N725">
        <v>18.935199999999998</v>
      </c>
      <c r="O725">
        <v>6.8916209999999998</v>
      </c>
      <c r="P725">
        <v>12.841900000000001</v>
      </c>
      <c r="Q725">
        <v>140898</v>
      </c>
    </row>
    <row r="726" spans="1:17" x14ac:dyDescent="0.25">
      <c r="A726" t="s">
        <v>20</v>
      </c>
      <c r="B726">
        <v>37</v>
      </c>
      <c r="C726">
        <v>0.89</v>
      </c>
      <c r="D726">
        <v>2004</v>
      </c>
      <c r="E726" t="s">
        <v>28</v>
      </c>
      <c r="F726">
        <v>2004333</v>
      </c>
      <c r="G726">
        <v>2005101</v>
      </c>
      <c r="H726">
        <v>7106</v>
      </c>
      <c r="I726">
        <v>2225</v>
      </c>
      <c r="J726">
        <v>0</v>
      </c>
      <c r="K726">
        <v>373</v>
      </c>
      <c r="L726">
        <v>0</v>
      </c>
      <c r="M726">
        <v>75</v>
      </c>
      <c r="N726">
        <v>19.949169999999999</v>
      </c>
      <c r="O726">
        <v>4.891159</v>
      </c>
      <c r="P726">
        <v>14.12265</v>
      </c>
      <c r="Q726">
        <v>97911</v>
      </c>
    </row>
    <row r="727" spans="1:17" x14ac:dyDescent="0.25">
      <c r="A727" t="s">
        <v>20</v>
      </c>
      <c r="B727">
        <v>37</v>
      </c>
      <c r="C727">
        <v>0.89</v>
      </c>
      <c r="D727">
        <v>2005</v>
      </c>
      <c r="E727" t="s">
        <v>28</v>
      </c>
      <c r="F727">
        <v>2005333</v>
      </c>
      <c r="G727">
        <v>2006096</v>
      </c>
      <c r="H727">
        <v>15256</v>
      </c>
      <c r="I727">
        <v>4032</v>
      </c>
      <c r="J727">
        <v>0</v>
      </c>
      <c r="K727">
        <v>617</v>
      </c>
      <c r="L727">
        <v>0</v>
      </c>
      <c r="M727">
        <v>75</v>
      </c>
      <c r="N727">
        <v>19.522780000000001</v>
      </c>
      <c r="O727">
        <v>6.9105549999999996</v>
      </c>
      <c r="P727">
        <v>13.64945</v>
      </c>
      <c r="Q727">
        <v>177400</v>
      </c>
    </row>
    <row r="728" spans="1:17" x14ac:dyDescent="0.25">
      <c r="A728" t="s">
        <v>20</v>
      </c>
      <c r="B728">
        <v>37</v>
      </c>
      <c r="C728">
        <v>0.89</v>
      </c>
      <c r="D728">
        <v>2006</v>
      </c>
      <c r="E728" t="s">
        <v>28</v>
      </c>
      <c r="F728">
        <v>2006333</v>
      </c>
      <c r="G728">
        <v>2007093</v>
      </c>
      <c r="H728">
        <v>14248</v>
      </c>
      <c r="I728">
        <v>2925</v>
      </c>
      <c r="J728">
        <v>0</v>
      </c>
      <c r="K728">
        <v>668</v>
      </c>
      <c r="L728">
        <v>0</v>
      </c>
      <c r="M728">
        <v>75</v>
      </c>
      <c r="N728">
        <v>18.939450000000001</v>
      </c>
      <c r="O728">
        <v>6.4522240000000002</v>
      </c>
      <c r="P728">
        <v>13.705550000000001</v>
      </c>
      <c r="Q728">
        <v>128686</v>
      </c>
    </row>
    <row r="729" spans="1:17" x14ac:dyDescent="0.25">
      <c r="A729" t="s">
        <v>20</v>
      </c>
      <c r="B729">
        <v>37</v>
      </c>
      <c r="C729">
        <v>0.89</v>
      </c>
      <c r="D729">
        <v>2007</v>
      </c>
      <c r="E729" t="s">
        <v>28</v>
      </c>
      <c r="F729">
        <v>2007333</v>
      </c>
      <c r="G729">
        <v>2008087</v>
      </c>
      <c r="H729">
        <v>10022</v>
      </c>
      <c r="I729">
        <v>1634</v>
      </c>
      <c r="J729">
        <v>0</v>
      </c>
      <c r="K729">
        <v>653</v>
      </c>
      <c r="L729">
        <v>0</v>
      </c>
      <c r="M729">
        <v>75</v>
      </c>
      <c r="N729">
        <v>19.936109999999999</v>
      </c>
      <c r="O729">
        <v>6.5027780000000002</v>
      </c>
      <c r="P729">
        <v>14.216670000000001</v>
      </c>
      <c r="Q729">
        <v>71911</v>
      </c>
    </row>
    <row r="730" spans="1:17" x14ac:dyDescent="0.25">
      <c r="A730" t="s">
        <v>20</v>
      </c>
      <c r="B730">
        <v>37</v>
      </c>
      <c r="C730">
        <v>0.89</v>
      </c>
      <c r="D730">
        <v>2008</v>
      </c>
      <c r="E730" t="s">
        <v>28</v>
      </c>
      <c r="F730">
        <v>2008333</v>
      </c>
      <c r="G730">
        <v>2009092</v>
      </c>
      <c r="H730">
        <v>11485</v>
      </c>
      <c r="I730">
        <v>3355</v>
      </c>
      <c r="J730">
        <v>0</v>
      </c>
      <c r="K730">
        <v>486</v>
      </c>
      <c r="L730">
        <v>0</v>
      </c>
      <c r="M730">
        <v>75</v>
      </c>
      <c r="N730">
        <v>19.47654</v>
      </c>
      <c r="O730">
        <v>6.3150839999999997</v>
      </c>
      <c r="P730">
        <v>14.240780000000001</v>
      </c>
      <c r="Q730">
        <v>147624</v>
      </c>
    </row>
    <row r="731" spans="1:17" x14ac:dyDescent="0.25">
      <c r="A731" t="s">
        <v>20</v>
      </c>
      <c r="B731">
        <v>37</v>
      </c>
      <c r="C731">
        <v>0.89</v>
      </c>
      <c r="D731">
        <v>2009</v>
      </c>
      <c r="E731" t="s">
        <v>28</v>
      </c>
      <c r="F731">
        <v>2009333</v>
      </c>
      <c r="G731">
        <v>2010089</v>
      </c>
      <c r="H731">
        <v>15747</v>
      </c>
      <c r="I731">
        <v>2983</v>
      </c>
      <c r="J731">
        <v>0</v>
      </c>
      <c r="K731">
        <v>974</v>
      </c>
      <c r="L731">
        <v>0</v>
      </c>
      <c r="M731">
        <v>75</v>
      </c>
      <c r="N731">
        <v>18.92445</v>
      </c>
      <c r="O731">
        <v>7.768332</v>
      </c>
      <c r="P731">
        <v>13.588889999999999</v>
      </c>
      <c r="Q731">
        <v>131269</v>
      </c>
    </row>
    <row r="732" spans="1:17" x14ac:dyDescent="0.25">
      <c r="A732" t="s">
        <v>20</v>
      </c>
      <c r="B732">
        <v>37</v>
      </c>
      <c r="C732">
        <v>0.89</v>
      </c>
      <c r="D732">
        <v>2010</v>
      </c>
      <c r="E732" t="s">
        <v>28</v>
      </c>
      <c r="F732">
        <v>2010333</v>
      </c>
      <c r="G732">
        <v>2011088</v>
      </c>
      <c r="H732">
        <v>17551</v>
      </c>
      <c r="I732">
        <v>3645</v>
      </c>
      <c r="J732">
        <v>0</v>
      </c>
      <c r="K732">
        <v>847</v>
      </c>
      <c r="L732">
        <v>0</v>
      </c>
      <c r="M732">
        <v>75</v>
      </c>
      <c r="N732">
        <v>20.036519999999999</v>
      </c>
      <c r="O732">
        <v>8.5522480000000005</v>
      </c>
      <c r="P732">
        <v>14.138769999999999</v>
      </c>
      <c r="Q732">
        <v>160361</v>
      </c>
    </row>
    <row r="733" spans="1:17" x14ac:dyDescent="0.25">
      <c r="A733" t="s">
        <v>20</v>
      </c>
      <c r="B733">
        <v>37</v>
      </c>
      <c r="C733">
        <v>0.89</v>
      </c>
      <c r="D733">
        <v>2011</v>
      </c>
      <c r="E733" t="s">
        <v>29</v>
      </c>
      <c r="F733">
        <v>2011333</v>
      </c>
      <c r="G733">
        <v>2012100</v>
      </c>
      <c r="H733">
        <v>400</v>
      </c>
      <c r="I733">
        <v>96</v>
      </c>
      <c r="J733">
        <v>0</v>
      </c>
      <c r="K733">
        <v>318</v>
      </c>
      <c r="L733">
        <v>0</v>
      </c>
      <c r="M733">
        <v>75</v>
      </c>
      <c r="N733">
        <v>20.06833</v>
      </c>
      <c r="O733">
        <v>4.5911119999999999</v>
      </c>
      <c r="P733">
        <v>15.75278</v>
      </c>
      <c r="Q733">
        <v>4239</v>
      </c>
    </row>
    <row r="734" spans="1:17" x14ac:dyDescent="0.25">
      <c r="A734" t="s">
        <v>20</v>
      </c>
      <c r="B734">
        <v>37</v>
      </c>
      <c r="C734">
        <v>0.89</v>
      </c>
      <c r="D734">
        <v>2012</v>
      </c>
      <c r="E734" t="s">
        <v>29</v>
      </c>
      <c r="F734">
        <v>2012333</v>
      </c>
      <c r="G734">
        <v>2013091</v>
      </c>
      <c r="H734">
        <v>18645</v>
      </c>
      <c r="I734">
        <v>4245</v>
      </c>
      <c r="J734">
        <v>0</v>
      </c>
      <c r="K734">
        <v>903</v>
      </c>
      <c r="L734">
        <v>0</v>
      </c>
      <c r="M734">
        <v>75</v>
      </c>
      <c r="N734">
        <v>18.7118</v>
      </c>
      <c r="O734">
        <v>7.127529</v>
      </c>
      <c r="P734">
        <v>13.97752</v>
      </c>
      <c r="Q734">
        <v>186780</v>
      </c>
    </row>
    <row r="735" spans="1:17" x14ac:dyDescent="0.25">
      <c r="A735" t="s">
        <v>20</v>
      </c>
      <c r="B735">
        <v>37</v>
      </c>
      <c r="C735">
        <v>0.89</v>
      </c>
      <c r="D735">
        <v>2013</v>
      </c>
      <c r="E735" t="s">
        <v>29</v>
      </c>
      <c r="F735">
        <v>2013333</v>
      </c>
      <c r="G735">
        <v>2014093</v>
      </c>
      <c r="H735">
        <v>10786</v>
      </c>
      <c r="I735">
        <v>3842</v>
      </c>
      <c r="J735">
        <v>0</v>
      </c>
      <c r="K735">
        <v>431</v>
      </c>
      <c r="L735">
        <v>0</v>
      </c>
      <c r="M735">
        <v>75</v>
      </c>
      <c r="N735">
        <v>20.58418</v>
      </c>
      <c r="O735">
        <v>8.0126580000000001</v>
      </c>
      <c r="P735">
        <v>16.458860000000001</v>
      </c>
      <c r="Q735">
        <v>169048</v>
      </c>
    </row>
    <row r="736" spans="1:17" x14ac:dyDescent="0.25">
      <c r="A736" t="s">
        <v>20</v>
      </c>
      <c r="B736">
        <v>37</v>
      </c>
      <c r="C736">
        <v>0.89</v>
      </c>
      <c r="D736">
        <v>2014</v>
      </c>
      <c r="E736" t="s">
        <v>29</v>
      </c>
      <c r="F736">
        <v>2014333</v>
      </c>
      <c r="G736">
        <v>2015094</v>
      </c>
      <c r="H736">
        <v>7790</v>
      </c>
      <c r="I736">
        <v>2573</v>
      </c>
      <c r="J736">
        <v>0</v>
      </c>
      <c r="K736">
        <v>480</v>
      </c>
      <c r="L736">
        <v>0</v>
      </c>
      <c r="M736">
        <v>75</v>
      </c>
      <c r="N736">
        <v>20.728179999999998</v>
      </c>
      <c r="O736">
        <v>5.9823209999999998</v>
      </c>
      <c r="P736">
        <v>15.956899999999999</v>
      </c>
      <c r="Q736">
        <v>113216</v>
      </c>
    </row>
    <row r="737" spans="1:17" x14ac:dyDescent="0.25">
      <c r="A737" t="s">
        <v>20</v>
      </c>
      <c r="B737">
        <v>37</v>
      </c>
      <c r="C737">
        <v>0.89</v>
      </c>
      <c r="D737">
        <v>2015</v>
      </c>
      <c r="E737" t="s">
        <v>29</v>
      </c>
      <c r="F737">
        <v>2015333</v>
      </c>
      <c r="G737">
        <v>2016086</v>
      </c>
      <c r="H737">
        <v>13321</v>
      </c>
      <c r="I737">
        <v>3323</v>
      </c>
      <c r="J737">
        <v>0</v>
      </c>
      <c r="K737">
        <v>648</v>
      </c>
      <c r="L737">
        <v>0</v>
      </c>
      <c r="M737">
        <v>75</v>
      </c>
      <c r="N737">
        <v>19.621670000000002</v>
      </c>
      <c r="O737">
        <v>7.1494470000000003</v>
      </c>
      <c r="P737">
        <v>14.338889999999999</v>
      </c>
      <c r="Q737">
        <v>146225</v>
      </c>
    </row>
    <row r="738" spans="1:17" x14ac:dyDescent="0.25">
      <c r="A738" t="s">
        <v>20</v>
      </c>
      <c r="B738">
        <v>37</v>
      </c>
      <c r="C738">
        <v>0.89</v>
      </c>
      <c r="D738">
        <v>2016</v>
      </c>
      <c r="E738" t="s">
        <v>29</v>
      </c>
      <c r="F738">
        <v>2016333</v>
      </c>
      <c r="G738">
        <v>2017089</v>
      </c>
      <c r="H738">
        <v>13970</v>
      </c>
      <c r="I738">
        <v>4872</v>
      </c>
      <c r="J738">
        <v>0</v>
      </c>
      <c r="K738">
        <v>627</v>
      </c>
      <c r="L738">
        <v>0</v>
      </c>
      <c r="M738">
        <v>75</v>
      </c>
      <c r="N738">
        <v>20.85934</v>
      </c>
      <c r="O738">
        <v>7.1593390000000001</v>
      </c>
      <c r="P738">
        <v>16.436820000000001</v>
      </c>
      <c r="Q738">
        <v>214355</v>
      </c>
    </row>
    <row r="739" spans="1:17" x14ac:dyDescent="0.25">
      <c r="A739" t="s">
        <v>20</v>
      </c>
      <c r="B739">
        <v>37</v>
      </c>
      <c r="C739">
        <v>0.89</v>
      </c>
      <c r="D739">
        <v>2017</v>
      </c>
      <c r="E739" t="s">
        <v>29</v>
      </c>
      <c r="F739">
        <v>2017333</v>
      </c>
      <c r="G739">
        <v>2018095</v>
      </c>
      <c r="H739">
        <v>14456</v>
      </c>
      <c r="I739">
        <v>3838</v>
      </c>
      <c r="J739">
        <v>0</v>
      </c>
      <c r="K739">
        <v>597</v>
      </c>
      <c r="L739">
        <v>0</v>
      </c>
      <c r="M739">
        <v>75</v>
      </c>
      <c r="N739">
        <v>18.79045</v>
      </c>
      <c r="O739">
        <v>6.4174150000000001</v>
      </c>
      <c r="P739">
        <v>15.093819999999999</v>
      </c>
      <c r="Q739">
        <v>168876</v>
      </c>
    </row>
    <row r="740" spans="1:17" x14ac:dyDescent="0.25">
      <c r="A740" t="s">
        <v>20</v>
      </c>
      <c r="B740">
        <v>37</v>
      </c>
      <c r="C740">
        <v>0.89</v>
      </c>
      <c r="D740">
        <v>2018</v>
      </c>
      <c r="E740" t="s">
        <v>29</v>
      </c>
      <c r="F740">
        <v>2018333</v>
      </c>
      <c r="G740">
        <v>2019089</v>
      </c>
      <c r="H740">
        <v>5143</v>
      </c>
      <c r="I740">
        <v>1384</v>
      </c>
      <c r="J740">
        <v>0</v>
      </c>
      <c r="K740">
        <v>451</v>
      </c>
      <c r="L740">
        <v>0</v>
      </c>
      <c r="M740">
        <v>75</v>
      </c>
      <c r="N740">
        <v>21.47167</v>
      </c>
      <c r="O740">
        <v>5.863334</v>
      </c>
      <c r="P740">
        <v>17.65944</v>
      </c>
      <c r="Q740">
        <v>60907</v>
      </c>
    </row>
    <row r="741" spans="1:17" x14ac:dyDescent="0.25">
      <c r="A741" t="s">
        <v>20</v>
      </c>
      <c r="B741">
        <v>37</v>
      </c>
      <c r="C741">
        <v>0.89</v>
      </c>
      <c r="D741">
        <v>2019</v>
      </c>
      <c r="E741" t="s">
        <v>29</v>
      </c>
      <c r="F741">
        <v>2019333</v>
      </c>
      <c r="G741">
        <v>2020076</v>
      </c>
      <c r="H741">
        <v>8437</v>
      </c>
      <c r="I741">
        <v>1857</v>
      </c>
      <c r="J741">
        <v>0</v>
      </c>
      <c r="K741">
        <v>492</v>
      </c>
      <c r="L741">
        <v>0</v>
      </c>
      <c r="M741">
        <v>75</v>
      </c>
      <c r="N741">
        <v>21.1663</v>
      </c>
      <c r="O741">
        <v>8.4215450000000001</v>
      </c>
      <c r="P741">
        <v>15.91602</v>
      </c>
      <c r="Q741">
        <v>81706</v>
      </c>
    </row>
    <row r="742" spans="1:17" x14ac:dyDescent="0.25">
      <c r="A742" t="s">
        <v>20</v>
      </c>
      <c r="B742">
        <v>38</v>
      </c>
      <c r="C742">
        <v>0.64</v>
      </c>
      <c r="D742">
        <v>2000</v>
      </c>
      <c r="E742" t="s">
        <v>28</v>
      </c>
      <c r="F742">
        <v>2000318</v>
      </c>
      <c r="G742">
        <v>2001063</v>
      </c>
      <c r="H742">
        <v>12941</v>
      </c>
      <c r="I742">
        <v>2124</v>
      </c>
      <c r="J742">
        <v>0</v>
      </c>
      <c r="K742">
        <v>673</v>
      </c>
      <c r="L742">
        <v>0</v>
      </c>
      <c r="M742">
        <v>100</v>
      </c>
      <c r="N742">
        <v>20.097460000000002</v>
      </c>
      <c r="O742">
        <v>9.6918360000000003</v>
      </c>
      <c r="P742">
        <v>13.24949</v>
      </c>
      <c r="Q742">
        <v>78594</v>
      </c>
    </row>
    <row r="743" spans="1:17" x14ac:dyDescent="0.25">
      <c r="A743" t="s">
        <v>20</v>
      </c>
      <c r="B743">
        <v>38</v>
      </c>
      <c r="C743">
        <v>0.64</v>
      </c>
      <c r="D743">
        <v>2001</v>
      </c>
      <c r="E743" t="s">
        <v>28</v>
      </c>
      <c r="F743">
        <v>2001318</v>
      </c>
      <c r="G743">
        <v>2002078</v>
      </c>
      <c r="H743">
        <v>10348</v>
      </c>
      <c r="I743">
        <v>1731</v>
      </c>
      <c r="J743">
        <v>0</v>
      </c>
      <c r="K743">
        <v>574</v>
      </c>
      <c r="L743">
        <v>0</v>
      </c>
      <c r="M743">
        <v>100</v>
      </c>
      <c r="N743">
        <v>19.72052</v>
      </c>
      <c r="O743">
        <v>6.5943589999999999</v>
      </c>
      <c r="P743">
        <v>13.583080000000001</v>
      </c>
      <c r="Q743">
        <v>64029</v>
      </c>
    </row>
    <row r="744" spans="1:17" x14ac:dyDescent="0.25">
      <c r="A744" t="s">
        <v>20</v>
      </c>
      <c r="B744">
        <v>38</v>
      </c>
      <c r="C744">
        <v>0.64</v>
      </c>
      <c r="D744">
        <v>2002</v>
      </c>
      <c r="E744" t="s">
        <v>28</v>
      </c>
      <c r="F744">
        <v>2002318</v>
      </c>
      <c r="G744">
        <v>2003075</v>
      </c>
      <c r="H744">
        <v>17551</v>
      </c>
      <c r="I744">
        <v>3117</v>
      </c>
      <c r="J744">
        <v>0</v>
      </c>
      <c r="K744">
        <v>760</v>
      </c>
      <c r="L744">
        <v>0</v>
      </c>
      <c r="M744">
        <v>100</v>
      </c>
      <c r="N744">
        <v>19.403079999999999</v>
      </c>
      <c r="O744">
        <v>7.5405129999999998</v>
      </c>
      <c r="P744">
        <v>13.13846</v>
      </c>
      <c r="Q744">
        <v>115329</v>
      </c>
    </row>
    <row r="745" spans="1:17" x14ac:dyDescent="0.25">
      <c r="A745" t="s">
        <v>20</v>
      </c>
      <c r="B745">
        <v>38</v>
      </c>
      <c r="C745">
        <v>0.64</v>
      </c>
      <c r="D745">
        <v>2003</v>
      </c>
      <c r="E745" t="s">
        <v>28</v>
      </c>
      <c r="F745">
        <v>2003318</v>
      </c>
      <c r="G745">
        <v>2004077</v>
      </c>
      <c r="H745">
        <v>18390</v>
      </c>
      <c r="I745">
        <v>2892</v>
      </c>
      <c r="J745">
        <v>0</v>
      </c>
      <c r="K745">
        <v>769</v>
      </c>
      <c r="L745">
        <v>0</v>
      </c>
      <c r="M745">
        <v>100</v>
      </c>
      <c r="N745">
        <v>18.655609999999999</v>
      </c>
      <c r="O745">
        <v>6.9454099999999999</v>
      </c>
      <c r="P745">
        <v>12.36684</v>
      </c>
      <c r="Q745">
        <v>107013</v>
      </c>
    </row>
    <row r="746" spans="1:17" x14ac:dyDescent="0.25">
      <c r="A746" t="s">
        <v>20</v>
      </c>
      <c r="B746">
        <v>38</v>
      </c>
      <c r="C746">
        <v>0.64</v>
      </c>
      <c r="D746">
        <v>2004</v>
      </c>
      <c r="E746" t="s">
        <v>28</v>
      </c>
      <c r="F746">
        <v>2004318</v>
      </c>
      <c r="G746">
        <v>2005090</v>
      </c>
      <c r="H746">
        <v>6393</v>
      </c>
      <c r="I746">
        <v>1759</v>
      </c>
      <c r="J746">
        <v>0</v>
      </c>
      <c r="K746">
        <v>373</v>
      </c>
      <c r="L746">
        <v>0</v>
      </c>
      <c r="M746">
        <v>100</v>
      </c>
      <c r="N746">
        <v>19.832820000000002</v>
      </c>
      <c r="O746">
        <v>4.8523059999999996</v>
      </c>
      <c r="P746">
        <v>13.669230000000001</v>
      </c>
      <c r="Q746">
        <v>65072</v>
      </c>
    </row>
    <row r="747" spans="1:17" x14ac:dyDescent="0.25">
      <c r="A747" t="s">
        <v>20</v>
      </c>
      <c r="B747">
        <v>38</v>
      </c>
      <c r="C747">
        <v>0.64</v>
      </c>
      <c r="D747">
        <v>2005</v>
      </c>
      <c r="E747" t="s">
        <v>28</v>
      </c>
      <c r="F747">
        <v>2005318</v>
      </c>
      <c r="G747">
        <v>2006087</v>
      </c>
      <c r="H747">
        <v>16243</v>
      </c>
      <c r="I747">
        <v>3897</v>
      </c>
      <c r="J747">
        <v>0</v>
      </c>
      <c r="K747">
        <v>617</v>
      </c>
      <c r="L747">
        <v>0</v>
      </c>
      <c r="M747">
        <v>100</v>
      </c>
      <c r="N747">
        <v>19.298459999999999</v>
      </c>
      <c r="O747">
        <v>6.8297439999999998</v>
      </c>
      <c r="P747">
        <v>13.242570000000001</v>
      </c>
      <c r="Q747">
        <v>144180</v>
      </c>
    </row>
    <row r="748" spans="1:17" x14ac:dyDescent="0.25">
      <c r="A748" t="s">
        <v>20</v>
      </c>
      <c r="B748">
        <v>38</v>
      </c>
      <c r="C748">
        <v>0.64</v>
      </c>
      <c r="D748">
        <v>2006</v>
      </c>
      <c r="E748" t="s">
        <v>28</v>
      </c>
      <c r="F748">
        <v>2006318</v>
      </c>
      <c r="G748">
        <v>2007082</v>
      </c>
      <c r="H748">
        <v>15219</v>
      </c>
      <c r="I748">
        <v>2977</v>
      </c>
      <c r="J748">
        <v>0</v>
      </c>
      <c r="K748">
        <v>668</v>
      </c>
      <c r="L748">
        <v>0</v>
      </c>
      <c r="M748">
        <v>100</v>
      </c>
      <c r="N748">
        <v>18.831119999999999</v>
      </c>
      <c r="O748">
        <v>6.6000030000000001</v>
      </c>
      <c r="P748">
        <v>13.14898</v>
      </c>
      <c r="Q748">
        <v>110146</v>
      </c>
    </row>
    <row r="749" spans="1:17" x14ac:dyDescent="0.25">
      <c r="A749" t="s">
        <v>20</v>
      </c>
      <c r="B749">
        <v>38</v>
      </c>
      <c r="C749">
        <v>0.64</v>
      </c>
      <c r="D749">
        <v>2007</v>
      </c>
      <c r="E749" t="s">
        <v>28</v>
      </c>
      <c r="F749">
        <v>2007318</v>
      </c>
      <c r="G749">
        <v>2008075</v>
      </c>
      <c r="H749">
        <v>10041</v>
      </c>
      <c r="I749">
        <v>2032</v>
      </c>
      <c r="J749">
        <v>0</v>
      </c>
      <c r="K749">
        <v>653</v>
      </c>
      <c r="L749">
        <v>0</v>
      </c>
      <c r="M749">
        <v>100</v>
      </c>
      <c r="N749">
        <v>19.780950000000001</v>
      </c>
      <c r="O749">
        <v>6.3571429999999998</v>
      </c>
      <c r="P749">
        <v>13.970370000000001</v>
      </c>
      <c r="Q749">
        <v>75170</v>
      </c>
    </row>
    <row r="750" spans="1:17" x14ac:dyDescent="0.25">
      <c r="A750" t="s">
        <v>20</v>
      </c>
      <c r="B750">
        <v>38</v>
      </c>
      <c r="C750">
        <v>0.64</v>
      </c>
      <c r="D750">
        <v>2008</v>
      </c>
      <c r="E750" t="s">
        <v>29</v>
      </c>
      <c r="F750">
        <v>2008318</v>
      </c>
      <c r="G750">
        <v>2009083</v>
      </c>
      <c r="H750">
        <v>11965</v>
      </c>
      <c r="I750">
        <v>3798</v>
      </c>
      <c r="J750">
        <v>0</v>
      </c>
      <c r="K750">
        <v>486</v>
      </c>
      <c r="L750">
        <v>0</v>
      </c>
      <c r="M750">
        <v>100</v>
      </c>
      <c r="N750">
        <v>19.095410000000001</v>
      </c>
      <c r="O750">
        <v>6.0163270000000004</v>
      </c>
      <c r="P750">
        <v>13.770910000000001</v>
      </c>
      <c r="Q750">
        <v>140536</v>
      </c>
    </row>
    <row r="751" spans="1:17" x14ac:dyDescent="0.25">
      <c r="A751" t="s">
        <v>20</v>
      </c>
      <c r="B751">
        <v>38</v>
      </c>
      <c r="C751">
        <v>0.64</v>
      </c>
      <c r="D751">
        <v>2009</v>
      </c>
      <c r="E751" t="s">
        <v>29</v>
      </c>
      <c r="F751">
        <v>2009318</v>
      </c>
      <c r="G751">
        <v>2010077</v>
      </c>
      <c r="H751">
        <v>13792</v>
      </c>
      <c r="I751">
        <v>2880</v>
      </c>
      <c r="J751">
        <v>0</v>
      </c>
      <c r="K751">
        <v>974</v>
      </c>
      <c r="L751">
        <v>0</v>
      </c>
      <c r="M751">
        <v>100</v>
      </c>
      <c r="N751">
        <v>18.825410000000002</v>
      </c>
      <c r="O751">
        <v>7.7135119999999997</v>
      </c>
      <c r="P751">
        <v>13.38757</v>
      </c>
      <c r="Q751">
        <v>106568</v>
      </c>
    </row>
    <row r="752" spans="1:17" x14ac:dyDescent="0.25">
      <c r="A752" t="s">
        <v>20</v>
      </c>
      <c r="B752">
        <v>38</v>
      </c>
      <c r="C752">
        <v>0.64</v>
      </c>
      <c r="D752">
        <v>2010</v>
      </c>
      <c r="E752" t="s">
        <v>29</v>
      </c>
      <c r="F752">
        <v>2010318</v>
      </c>
      <c r="G752">
        <v>2011077</v>
      </c>
      <c r="H752">
        <v>15234</v>
      </c>
      <c r="I752">
        <v>4154</v>
      </c>
      <c r="J752">
        <v>0</v>
      </c>
      <c r="K752">
        <v>847</v>
      </c>
      <c r="L752">
        <v>0</v>
      </c>
      <c r="M752">
        <v>100</v>
      </c>
      <c r="N752">
        <v>19.43505</v>
      </c>
      <c r="O752">
        <v>8.3381450000000008</v>
      </c>
      <c r="P752">
        <v>13.40258</v>
      </c>
      <c r="Q752">
        <v>153688</v>
      </c>
    </row>
    <row r="753" spans="1:17" x14ac:dyDescent="0.25">
      <c r="A753" t="s">
        <v>20</v>
      </c>
      <c r="B753">
        <v>38</v>
      </c>
      <c r="C753">
        <v>0.64</v>
      </c>
      <c r="D753">
        <v>2011</v>
      </c>
      <c r="E753" t="s">
        <v>29</v>
      </c>
      <c r="F753">
        <v>2011318</v>
      </c>
      <c r="G753">
        <v>2012090</v>
      </c>
      <c r="H753">
        <v>826</v>
      </c>
      <c r="I753">
        <v>236</v>
      </c>
      <c r="J753">
        <v>0</v>
      </c>
      <c r="K753">
        <v>318</v>
      </c>
      <c r="L753">
        <v>0</v>
      </c>
      <c r="M753">
        <v>100</v>
      </c>
      <c r="N753">
        <v>19.870920000000002</v>
      </c>
      <c r="O753">
        <v>4.7183679999999999</v>
      </c>
      <c r="P753">
        <v>15.17449</v>
      </c>
      <c r="Q753">
        <v>8719</v>
      </c>
    </row>
    <row r="754" spans="1:17" x14ac:dyDescent="0.25">
      <c r="A754" t="s">
        <v>20</v>
      </c>
      <c r="B754">
        <v>38</v>
      </c>
      <c r="C754">
        <v>0.64</v>
      </c>
      <c r="D754">
        <v>2012</v>
      </c>
      <c r="E754" t="s">
        <v>29</v>
      </c>
      <c r="F754">
        <v>2012318</v>
      </c>
      <c r="G754">
        <v>2013084</v>
      </c>
      <c r="H754">
        <v>19077</v>
      </c>
      <c r="I754">
        <v>4576</v>
      </c>
      <c r="J754">
        <v>0</v>
      </c>
      <c r="K754">
        <v>903</v>
      </c>
      <c r="L754">
        <v>0</v>
      </c>
      <c r="M754">
        <v>100</v>
      </c>
      <c r="N754">
        <v>18.426909999999999</v>
      </c>
      <c r="O754">
        <v>7.0380739999999999</v>
      </c>
      <c r="P754">
        <v>13.40659</v>
      </c>
      <c r="Q754">
        <v>169305</v>
      </c>
    </row>
    <row r="755" spans="1:17" x14ac:dyDescent="0.25">
      <c r="A755" t="s">
        <v>20</v>
      </c>
      <c r="B755">
        <v>38</v>
      </c>
      <c r="C755">
        <v>0.64</v>
      </c>
      <c r="D755">
        <v>2013</v>
      </c>
      <c r="E755" t="s">
        <v>29</v>
      </c>
      <c r="F755">
        <v>2013318</v>
      </c>
      <c r="G755">
        <v>2014087</v>
      </c>
      <c r="H755">
        <v>10222</v>
      </c>
      <c r="I755">
        <v>3227</v>
      </c>
      <c r="J755">
        <v>0</v>
      </c>
      <c r="K755">
        <v>431</v>
      </c>
      <c r="L755">
        <v>0</v>
      </c>
      <c r="M755">
        <v>100</v>
      </c>
      <c r="N755">
        <v>20.58418</v>
      </c>
      <c r="O755">
        <v>8.0126580000000001</v>
      </c>
      <c r="P755">
        <v>16.458860000000001</v>
      </c>
      <c r="Q755">
        <v>119395</v>
      </c>
    </row>
    <row r="756" spans="1:17" x14ac:dyDescent="0.25">
      <c r="A756" t="s">
        <v>20</v>
      </c>
      <c r="B756">
        <v>38</v>
      </c>
      <c r="C756">
        <v>0.64</v>
      </c>
      <c r="D756">
        <v>2014</v>
      </c>
      <c r="E756" t="s">
        <v>29</v>
      </c>
      <c r="F756">
        <v>2014318</v>
      </c>
      <c r="G756">
        <v>2015088</v>
      </c>
      <c r="H756">
        <v>8889</v>
      </c>
      <c r="I756">
        <v>3017</v>
      </c>
      <c r="J756">
        <v>0</v>
      </c>
      <c r="K756">
        <v>480</v>
      </c>
      <c r="L756">
        <v>0</v>
      </c>
      <c r="M756">
        <v>100</v>
      </c>
      <c r="N756">
        <v>20.625</v>
      </c>
      <c r="O756">
        <v>6.3561230000000002</v>
      </c>
      <c r="P756">
        <v>15.343360000000001</v>
      </c>
      <c r="Q756">
        <v>111647</v>
      </c>
    </row>
    <row r="757" spans="1:17" x14ac:dyDescent="0.25">
      <c r="A757" t="s">
        <v>20</v>
      </c>
      <c r="B757">
        <v>38</v>
      </c>
      <c r="C757">
        <v>0.64</v>
      </c>
      <c r="D757">
        <v>2015</v>
      </c>
      <c r="E757" t="s">
        <v>29</v>
      </c>
      <c r="F757">
        <v>2015318</v>
      </c>
      <c r="G757">
        <v>2016071</v>
      </c>
      <c r="H757">
        <v>11814</v>
      </c>
      <c r="I757">
        <v>2784</v>
      </c>
      <c r="J757">
        <v>0</v>
      </c>
      <c r="K757">
        <v>648</v>
      </c>
      <c r="L757">
        <v>0</v>
      </c>
      <c r="M757">
        <v>100</v>
      </c>
      <c r="N757">
        <v>19.584689999999998</v>
      </c>
      <c r="O757">
        <v>6.8147989999999998</v>
      </c>
      <c r="P757">
        <v>14.183160000000001</v>
      </c>
      <c r="Q757">
        <v>103004</v>
      </c>
    </row>
    <row r="758" spans="1:17" x14ac:dyDescent="0.25">
      <c r="A758" t="s">
        <v>20</v>
      </c>
      <c r="B758">
        <v>38</v>
      </c>
      <c r="C758">
        <v>0.64</v>
      </c>
      <c r="D758">
        <v>2016</v>
      </c>
      <c r="E758" t="s">
        <v>29</v>
      </c>
      <c r="F758">
        <v>2016318</v>
      </c>
      <c r="G758">
        <v>2017072</v>
      </c>
      <c r="H758">
        <v>13048</v>
      </c>
      <c r="I758">
        <v>4708</v>
      </c>
      <c r="J758">
        <v>0</v>
      </c>
      <c r="K758">
        <v>627</v>
      </c>
      <c r="L758">
        <v>0</v>
      </c>
      <c r="M758">
        <v>100</v>
      </c>
      <c r="N758">
        <v>20.542639999999999</v>
      </c>
      <c r="O758">
        <v>7.2238569999999998</v>
      </c>
      <c r="P758">
        <v>15.76498</v>
      </c>
      <c r="Q758">
        <v>174194</v>
      </c>
    </row>
    <row r="759" spans="1:17" x14ac:dyDescent="0.25">
      <c r="A759" t="s">
        <v>20</v>
      </c>
      <c r="B759">
        <v>38</v>
      </c>
      <c r="C759">
        <v>0.64</v>
      </c>
      <c r="D759">
        <v>2017</v>
      </c>
      <c r="E759" t="s">
        <v>29</v>
      </c>
      <c r="F759">
        <v>2017318</v>
      </c>
      <c r="G759">
        <v>2018087</v>
      </c>
      <c r="H759">
        <v>15563</v>
      </c>
      <c r="I759">
        <v>3602</v>
      </c>
      <c r="J759">
        <v>0</v>
      </c>
      <c r="K759">
        <v>597</v>
      </c>
      <c r="L759">
        <v>0</v>
      </c>
      <c r="M759">
        <v>100</v>
      </c>
      <c r="N759">
        <v>18.730250000000002</v>
      </c>
      <c r="O759">
        <v>6.1405130000000003</v>
      </c>
      <c r="P759">
        <v>14.65743</v>
      </c>
      <c r="Q759">
        <v>133284</v>
      </c>
    </row>
    <row r="760" spans="1:17" x14ac:dyDescent="0.25">
      <c r="A760" t="s">
        <v>20</v>
      </c>
      <c r="B760">
        <v>38</v>
      </c>
      <c r="C760">
        <v>0.64</v>
      </c>
      <c r="D760">
        <v>2018</v>
      </c>
      <c r="E760" t="s">
        <v>29</v>
      </c>
      <c r="F760">
        <v>2018318</v>
      </c>
      <c r="G760">
        <v>2019077</v>
      </c>
      <c r="H760">
        <v>7604</v>
      </c>
      <c r="I760">
        <v>2200</v>
      </c>
      <c r="J760">
        <v>0</v>
      </c>
      <c r="K760">
        <v>451</v>
      </c>
      <c r="L760">
        <v>0</v>
      </c>
      <c r="M760">
        <v>100</v>
      </c>
      <c r="N760">
        <v>21.101019999999998</v>
      </c>
      <c r="O760">
        <v>6.0091840000000003</v>
      </c>
      <c r="P760">
        <v>16.898980000000002</v>
      </c>
      <c r="Q760">
        <v>81403</v>
      </c>
    </row>
    <row r="761" spans="1:17" x14ac:dyDescent="0.25">
      <c r="A761" t="s">
        <v>20</v>
      </c>
      <c r="B761">
        <v>38</v>
      </c>
      <c r="C761">
        <v>0.64</v>
      </c>
      <c r="D761">
        <v>2019</v>
      </c>
      <c r="E761" t="s">
        <v>29</v>
      </c>
      <c r="F761">
        <v>2019318</v>
      </c>
      <c r="G761">
        <v>2020066</v>
      </c>
      <c r="H761">
        <v>9622</v>
      </c>
      <c r="I761">
        <v>2382</v>
      </c>
      <c r="J761">
        <v>0</v>
      </c>
      <c r="K761">
        <v>492</v>
      </c>
      <c r="L761">
        <v>0</v>
      </c>
      <c r="M761">
        <v>100</v>
      </c>
      <c r="N761">
        <v>20.947649999999999</v>
      </c>
      <c r="O761">
        <v>8.4602070000000005</v>
      </c>
      <c r="P761">
        <v>15.47278</v>
      </c>
      <c r="Q761">
        <v>88124</v>
      </c>
    </row>
    <row r="762" spans="1:17" x14ac:dyDescent="0.25">
      <c r="A762" t="s">
        <v>21</v>
      </c>
      <c r="B762">
        <v>39</v>
      </c>
      <c r="C762">
        <v>0.74</v>
      </c>
      <c r="D762">
        <v>2000</v>
      </c>
      <c r="E762" t="s">
        <v>28</v>
      </c>
      <c r="F762">
        <v>2000303</v>
      </c>
      <c r="G762">
        <v>2001092</v>
      </c>
      <c r="H762">
        <v>15170</v>
      </c>
      <c r="I762">
        <v>4193</v>
      </c>
      <c r="J762">
        <v>0</v>
      </c>
      <c r="K762">
        <v>423</v>
      </c>
      <c r="L762">
        <v>0</v>
      </c>
      <c r="M762">
        <v>75</v>
      </c>
      <c r="N762">
        <v>16.632539999999999</v>
      </c>
      <c r="O762">
        <v>3.7358500000000001</v>
      </c>
      <c r="P762">
        <v>14.55142</v>
      </c>
      <c r="Q762">
        <v>104832</v>
      </c>
    </row>
    <row r="763" spans="1:17" x14ac:dyDescent="0.25">
      <c r="A763" t="s">
        <v>21</v>
      </c>
      <c r="B763">
        <v>39</v>
      </c>
      <c r="C763">
        <v>0.74</v>
      </c>
      <c r="D763">
        <v>2001</v>
      </c>
      <c r="E763" t="s">
        <v>28</v>
      </c>
      <c r="F763">
        <v>2001303</v>
      </c>
      <c r="G763">
        <v>2002103</v>
      </c>
      <c r="H763">
        <v>10247</v>
      </c>
      <c r="I763">
        <v>2458</v>
      </c>
      <c r="J763">
        <v>0</v>
      </c>
      <c r="K763">
        <v>342</v>
      </c>
      <c r="L763">
        <v>0</v>
      </c>
      <c r="M763">
        <v>75</v>
      </c>
      <c r="N763">
        <v>16.39573</v>
      </c>
      <c r="O763">
        <v>2.6668240000000001</v>
      </c>
      <c r="P763">
        <v>14.35877</v>
      </c>
      <c r="Q763">
        <v>61451</v>
      </c>
    </row>
    <row r="764" spans="1:17" x14ac:dyDescent="0.25">
      <c r="A764" t="s">
        <v>21</v>
      </c>
      <c r="B764">
        <v>39</v>
      </c>
      <c r="C764">
        <v>0.74</v>
      </c>
      <c r="D764">
        <v>2002</v>
      </c>
      <c r="E764" t="s">
        <v>28</v>
      </c>
      <c r="F764">
        <v>2002303</v>
      </c>
      <c r="G764">
        <v>2003098</v>
      </c>
      <c r="H764">
        <v>14872</v>
      </c>
      <c r="I764">
        <v>4269</v>
      </c>
      <c r="J764">
        <v>0</v>
      </c>
      <c r="K764">
        <v>416</v>
      </c>
      <c r="L764">
        <v>0</v>
      </c>
      <c r="M764">
        <v>75</v>
      </c>
      <c r="N764">
        <v>16.145910000000001</v>
      </c>
      <c r="O764">
        <v>3.681632</v>
      </c>
      <c r="P764">
        <v>14.509180000000001</v>
      </c>
      <c r="Q764">
        <v>106714</v>
      </c>
    </row>
    <row r="765" spans="1:17" x14ac:dyDescent="0.25">
      <c r="A765" t="s">
        <v>21</v>
      </c>
      <c r="B765">
        <v>39</v>
      </c>
      <c r="C765">
        <v>0.74</v>
      </c>
      <c r="D765">
        <v>2003</v>
      </c>
      <c r="E765" t="s">
        <v>28</v>
      </c>
      <c r="F765">
        <v>2003303</v>
      </c>
      <c r="G765">
        <v>2004093</v>
      </c>
      <c r="H765">
        <v>11310</v>
      </c>
      <c r="I765">
        <v>1448</v>
      </c>
      <c r="J765">
        <v>0</v>
      </c>
      <c r="K765">
        <v>385</v>
      </c>
      <c r="L765">
        <v>0</v>
      </c>
      <c r="M765">
        <v>75</v>
      </c>
      <c r="N765">
        <v>15.85238</v>
      </c>
      <c r="O765">
        <v>3.3038090000000002</v>
      </c>
      <c r="P765">
        <v>14.05762</v>
      </c>
      <c r="Q765">
        <v>36193</v>
      </c>
    </row>
    <row r="766" spans="1:17" x14ac:dyDescent="0.25">
      <c r="A766" t="s">
        <v>21</v>
      </c>
      <c r="B766">
        <v>39</v>
      </c>
      <c r="C766">
        <v>0.74</v>
      </c>
      <c r="D766">
        <v>2004</v>
      </c>
      <c r="E766" t="s">
        <v>28</v>
      </c>
      <c r="F766">
        <v>2004303</v>
      </c>
      <c r="G766">
        <v>2005111</v>
      </c>
      <c r="H766">
        <v>2509</v>
      </c>
      <c r="I766">
        <v>723</v>
      </c>
      <c r="J766">
        <v>0</v>
      </c>
      <c r="K766">
        <v>207</v>
      </c>
      <c r="L766">
        <v>0</v>
      </c>
      <c r="M766">
        <v>75</v>
      </c>
      <c r="N766">
        <v>16.651219999999999</v>
      </c>
      <c r="O766">
        <v>1.7019519999999999</v>
      </c>
      <c r="P766">
        <v>16.16488</v>
      </c>
      <c r="Q766">
        <v>18079</v>
      </c>
    </row>
    <row r="767" spans="1:17" x14ac:dyDescent="0.25">
      <c r="A767" t="s">
        <v>21</v>
      </c>
      <c r="B767">
        <v>39</v>
      </c>
      <c r="C767">
        <v>0.74</v>
      </c>
      <c r="D767">
        <v>2005</v>
      </c>
      <c r="E767" t="s">
        <v>28</v>
      </c>
      <c r="F767">
        <v>2005303</v>
      </c>
      <c r="G767">
        <v>2006099</v>
      </c>
      <c r="H767">
        <v>6666</v>
      </c>
      <c r="I767">
        <v>1465</v>
      </c>
      <c r="J767">
        <v>0</v>
      </c>
      <c r="K767">
        <v>319</v>
      </c>
      <c r="L767">
        <v>0</v>
      </c>
      <c r="M767">
        <v>75</v>
      </c>
      <c r="N767">
        <v>16.55686</v>
      </c>
      <c r="O767">
        <v>3.6661769999999998</v>
      </c>
      <c r="P767">
        <v>14.862740000000001</v>
      </c>
      <c r="Q767">
        <v>36630</v>
      </c>
    </row>
    <row r="768" spans="1:17" x14ac:dyDescent="0.25">
      <c r="A768" t="s">
        <v>21</v>
      </c>
      <c r="B768">
        <v>39</v>
      </c>
      <c r="C768">
        <v>0.74</v>
      </c>
      <c r="D768">
        <v>2006</v>
      </c>
      <c r="E768" t="s">
        <v>28</v>
      </c>
      <c r="F768">
        <v>2006303</v>
      </c>
      <c r="G768">
        <v>2007102</v>
      </c>
      <c r="H768">
        <v>10342</v>
      </c>
      <c r="I768">
        <v>1805</v>
      </c>
      <c r="J768">
        <v>0</v>
      </c>
      <c r="K768">
        <v>343</v>
      </c>
      <c r="L768">
        <v>0</v>
      </c>
      <c r="M768">
        <v>75</v>
      </c>
      <c r="N768">
        <v>16.141539999999999</v>
      </c>
      <c r="O768">
        <v>3.0053139999999998</v>
      </c>
      <c r="P768">
        <v>14.84299</v>
      </c>
      <c r="Q768">
        <v>45113</v>
      </c>
    </row>
    <row r="769" spans="1:17" x14ac:dyDescent="0.25">
      <c r="A769" t="s">
        <v>21</v>
      </c>
      <c r="B769">
        <v>39</v>
      </c>
      <c r="C769">
        <v>0.74</v>
      </c>
      <c r="D769">
        <v>2007</v>
      </c>
      <c r="E769" t="s">
        <v>28</v>
      </c>
      <c r="F769">
        <v>2007303</v>
      </c>
      <c r="G769">
        <v>2008097</v>
      </c>
      <c r="H769">
        <v>2064</v>
      </c>
      <c r="I769">
        <v>243</v>
      </c>
      <c r="J769">
        <v>0</v>
      </c>
      <c r="K769">
        <v>240</v>
      </c>
      <c r="L769">
        <v>0</v>
      </c>
      <c r="M769">
        <v>75</v>
      </c>
      <c r="N769">
        <v>17.12679</v>
      </c>
      <c r="O769">
        <v>2.5267940000000002</v>
      </c>
      <c r="P769">
        <v>15.28373</v>
      </c>
      <c r="Q769">
        <v>6084</v>
      </c>
    </row>
    <row r="770" spans="1:17" x14ac:dyDescent="0.25">
      <c r="A770" t="s">
        <v>21</v>
      </c>
      <c r="B770">
        <v>39</v>
      </c>
      <c r="C770">
        <v>0.74</v>
      </c>
      <c r="D770">
        <v>2008</v>
      </c>
      <c r="E770" t="s">
        <v>28</v>
      </c>
      <c r="F770">
        <v>2008303</v>
      </c>
      <c r="G770">
        <v>2009108</v>
      </c>
      <c r="H770">
        <v>12450</v>
      </c>
      <c r="I770">
        <v>3152</v>
      </c>
      <c r="J770">
        <v>0</v>
      </c>
      <c r="K770">
        <v>372</v>
      </c>
      <c r="L770">
        <v>0</v>
      </c>
      <c r="M770">
        <v>75</v>
      </c>
      <c r="N770">
        <v>15.854290000000001</v>
      </c>
      <c r="O770">
        <v>2.875238</v>
      </c>
      <c r="P770">
        <v>15.55762</v>
      </c>
      <c r="Q770">
        <v>78804</v>
      </c>
    </row>
    <row r="771" spans="1:17" x14ac:dyDescent="0.25">
      <c r="A771" t="s">
        <v>21</v>
      </c>
      <c r="B771">
        <v>39</v>
      </c>
      <c r="C771">
        <v>0.74</v>
      </c>
      <c r="D771">
        <v>2009</v>
      </c>
      <c r="E771" t="s">
        <v>29</v>
      </c>
      <c r="F771">
        <v>2009303</v>
      </c>
      <c r="G771">
        <v>2010097</v>
      </c>
      <c r="H771">
        <v>14951</v>
      </c>
      <c r="I771">
        <v>3556</v>
      </c>
      <c r="J771">
        <v>0</v>
      </c>
      <c r="K771">
        <v>576</v>
      </c>
      <c r="L771">
        <v>0</v>
      </c>
      <c r="M771">
        <v>75</v>
      </c>
      <c r="N771">
        <v>16.120090000000001</v>
      </c>
      <c r="O771">
        <v>3.8861249999999998</v>
      </c>
      <c r="P771">
        <v>14.41531</v>
      </c>
      <c r="Q771">
        <v>88900</v>
      </c>
    </row>
    <row r="772" spans="1:17" x14ac:dyDescent="0.25">
      <c r="A772" t="s">
        <v>21</v>
      </c>
      <c r="B772">
        <v>39</v>
      </c>
      <c r="C772">
        <v>0.74</v>
      </c>
      <c r="D772">
        <v>2010</v>
      </c>
      <c r="E772" t="s">
        <v>29</v>
      </c>
      <c r="F772">
        <v>2010303</v>
      </c>
      <c r="G772">
        <v>2011099</v>
      </c>
      <c r="H772">
        <v>15924</v>
      </c>
      <c r="I772">
        <v>4466</v>
      </c>
      <c r="J772">
        <v>0</v>
      </c>
      <c r="K772">
        <v>485</v>
      </c>
      <c r="L772">
        <v>0</v>
      </c>
      <c r="M772">
        <v>75</v>
      </c>
      <c r="N772">
        <v>16.328569999999999</v>
      </c>
      <c r="O772">
        <v>3.5457139999999998</v>
      </c>
      <c r="P772">
        <v>13.549049999999999</v>
      </c>
      <c r="Q772">
        <v>111652</v>
      </c>
    </row>
    <row r="773" spans="1:17" x14ac:dyDescent="0.25">
      <c r="A773" t="s">
        <v>21</v>
      </c>
      <c r="B773">
        <v>39</v>
      </c>
      <c r="C773">
        <v>0.74</v>
      </c>
      <c r="D773">
        <v>2011</v>
      </c>
      <c r="E773" t="s">
        <v>29</v>
      </c>
      <c r="F773">
        <v>2011303</v>
      </c>
      <c r="G773">
        <v>2012112</v>
      </c>
      <c r="H773">
        <v>4778</v>
      </c>
      <c r="I773">
        <v>962</v>
      </c>
      <c r="J773">
        <v>0</v>
      </c>
      <c r="K773">
        <v>290</v>
      </c>
      <c r="L773">
        <v>0</v>
      </c>
      <c r="M773">
        <v>75</v>
      </c>
      <c r="N773">
        <v>16.92464</v>
      </c>
      <c r="O773">
        <v>1.4369670000000001</v>
      </c>
      <c r="P773">
        <v>16.077729999999999</v>
      </c>
      <c r="Q773">
        <v>24056</v>
      </c>
    </row>
    <row r="774" spans="1:17" x14ac:dyDescent="0.25">
      <c r="A774" t="s">
        <v>21</v>
      </c>
      <c r="B774">
        <v>39</v>
      </c>
      <c r="C774">
        <v>0.74</v>
      </c>
      <c r="D774">
        <v>2012</v>
      </c>
      <c r="E774" t="s">
        <v>29</v>
      </c>
      <c r="F774">
        <v>2012303</v>
      </c>
      <c r="G774">
        <v>2013103</v>
      </c>
      <c r="H774">
        <v>21712</v>
      </c>
      <c r="I774">
        <v>4668</v>
      </c>
      <c r="J774">
        <v>0</v>
      </c>
      <c r="K774">
        <v>593</v>
      </c>
      <c r="L774">
        <v>0</v>
      </c>
      <c r="M774">
        <v>75</v>
      </c>
      <c r="N774">
        <v>15.5654</v>
      </c>
      <c r="O774">
        <v>3.4113730000000002</v>
      </c>
      <c r="P774">
        <v>12.76872</v>
      </c>
      <c r="Q774">
        <v>116711</v>
      </c>
    </row>
    <row r="775" spans="1:17" x14ac:dyDescent="0.25">
      <c r="A775" t="s">
        <v>21</v>
      </c>
      <c r="B775">
        <v>39</v>
      </c>
      <c r="C775">
        <v>0.74</v>
      </c>
      <c r="D775">
        <v>2013</v>
      </c>
      <c r="E775" t="s">
        <v>29</v>
      </c>
      <c r="F775">
        <v>2013303</v>
      </c>
      <c r="G775">
        <v>2014101</v>
      </c>
      <c r="H775">
        <v>10285</v>
      </c>
      <c r="I775">
        <v>3838</v>
      </c>
      <c r="J775">
        <v>0</v>
      </c>
      <c r="K775">
        <v>387</v>
      </c>
      <c r="L775">
        <v>0</v>
      </c>
      <c r="M775">
        <v>75</v>
      </c>
      <c r="N775">
        <v>17.27854</v>
      </c>
      <c r="O775">
        <v>2.858536</v>
      </c>
      <c r="P775">
        <v>15.71073</v>
      </c>
      <c r="Q775">
        <v>95939</v>
      </c>
    </row>
    <row r="776" spans="1:17" x14ac:dyDescent="0.25">
      <c r="A776" t="s">
        <v>21</v>
      </c>
      <c r="B776">
        <v>39</v>
      </c>
      <c r="C776">
        <v>0.74</v>
      </c>
      <c r="D776">
        <v>2014</v>
      </c>
      <c r="E776" t="s">
        <v>29</v>
      </c>
      <c r="F776">
        <v>2014303</v>
      </c>
      <c r="G776">
        <v>2015102</v>
      </c>
      <c r="H776">
        <v>6042</v>
      </c>
      <c r="I776">
        <v>2183</v>
      </c>
      <c r="J776">
        <v>0</v>
      </c>
      <c r="K776">
        <v>253</v>
      </c>
      <c r="L776">
        <v>0</v>
      </c>
      <c r="M776">
        <v>75</v>
      </c>
      <c r="N776">
        <v>17.465859999999999</v>
      </c>
      <c r="O776">
        <v>2.8390240000000002</v>
      </c>
      <c r="P776">
        <v>15.170730000000001</v>
      </c>
      <c r="Q776">
        <v>54577</v>
      </c>
    </row>
    <row r="777" spans="1:17" x14ac:dyDescent="0.25">
      <c r="A777" t="s">
        <v>21</v>
      </c>
      <c r="B777">
        <v>39</v>
      </c>
      <c r="C777">
        <v>0.74</v>
      </c>
      <c r="D777">
        <v>2015</v>
      </c>
      <c r="E777" t="s">
        <v>29</v>
      </c>
      <c r="F777">
        <v>2015303</v>
      </c>
      <c r="G777">
        <v>2016091</v>
      </c>
      <c r="H777">
        <v>1238</v>
      </c>
      <c r="I777">
        <v>307</v>
      </c>
      <c r="J777">
        <v>0</v>
      </c>
      <c r="K777">
        <v>187</v>
      </c>
      <c r="L777">
        <v>0</v>
      </c>
      <c r="M777">
        <v>75</v>
      </c>
      <c r="N777">
        <v>17.94285</v>
      </c>
      <c r="O777">
        <v>2.9128560000000001</v>
      </c>
      <c r="P777">
        <v>14.29142</v>
      </c>
      <c r="Q777">
        <v>7678</v>
      </c>
    </row>
    <row r="778" spans="1:17" x14ac:dyDescent="0.25">
      <c r="A778" t="s">
        <v>21</v>
      </c>
      <c r="B778">
        <v>39</v>
      </c>
      <c r="C778">
        <v>0.74</v>
      </c>
      <c r="D778">
        <v>2016</v>
      </c>
      <c r="E778" t="s">
        <v>29</v>
      </c>
      <c r="F778">
        <v>2016303</v>
      </c>
      <c r="G778">
        <v>2017098</v>
      </c>
      <c r="H778">
        <v>8169</v>
      </c>
      <c r="I778">
        <v>3061</v>
      </c>
      <c r="J778">
        <v>0</v>
      </c>
      <c r="K778">
        <v>303</v>
      </c>
      <c r="L778">
        <v>0</v>
      </c>
      <c r="M778">
        <v>75</v>
      </c>
      <c r="N778">
        <v>17.790050000000001</v>
      </c>
      <c r="O778">
        <v>2.8164169999999999</v>
      </c>
      <c r="P778">
        <v>14.62388</v>
      </c>
      <c r="Q778">
        <v>76533</v>
      </c>
    </row>
    <row r="779" spans="1:17" x14ac:dyDescent="0.25">
      <c r="A779" t="s">
        <v>21</v>
      </c>
      <c r="B779">
        <v>39</v>
      </c>
      <c r="C779">
        <v>0.74</v>
      </c>
      <c r="D779">
        <v>2017</v>
      </c>
      <c r="E779" t="s">
        <v>29</v>
      </c>
      <c r="F779">
        <v>2017303</v>
      </c>
      <c r="G779">
        <v>2018101</v>
      </c>
      <c r="H779">
        <v>16116</v>
      </c>
      <c r="I779">
        <v>3986</v>
      </c>
      <c r="J779">
        <v>0</v>
      </c>
      <c r="K779">
        <v>443</v>
      </c>
      <c r="L779">
        <v>0</v>
      </c>
      <c r="M779">
        <v>75</v>
      </c>
      <c r="N779">
        <v>16.353809999999999</v>
      </c>
      <c r="O779">
        <v>2.519047</v>
      </c>
      <c r="P779">
        <v>14.389530000000001</v>
      </c>
      <c r="Q779">
        <v>99655</v>
      </c>
    </row>
    <row r="780" spans="1:17" x14ac:dyDescent="0.25">
      <c r="A780" t="s">
        <v>21</v>
      </c>
      <c r="B780">
        <v>39</v>
      </c>
      <c r="C780">
        <v>0.74</v>
      </c>
      <c r="D780">
        <v>2018</v>
      </c>
      <c r="E780" t="s">
        <v>29</v>
      </c>
      <c r="F780">
        <v>2018303</v>
      </c>
      <c r="G780">
        <v>2019099</v>
      </c>
      <c r="H780">
        <v>9066</v>
      </c>
      <c r="I780">
        <v>1985</v>
      </c>
      <c r="J780">
        <v>0</v>
      </c>
      <c r="K780">
        <v>357</v>
      </c>
      <c r="L780">
        <v>0</v>
      </c>
      <c r="M780">
        <v>75</v>
      </c>
      <c r="N780">
        <v>17.804300000000001</v>
      </c>
      <c r="O780">
        <v>1.9306220000000001</v>
      </c>
      <c r="P780">
        <v>15.41244</v>
      </c>
      <c r="Q780">
        <v>49613</v>
      </c>
    </row>
    <row r="781" spans="1:17" x14ac:dyDescent="0.25">
      <c r="A781" t="s">
        <v>21</v>
      </c>
      <c r="B781">
        <v>39</v>
      </c>
      <c r="C781">
        <v>0.74</v>
      </c>
      <c r="D781">
        <v>2019</v>
      </c>
      <c r="E781" t="s">
        <v>29</v>
      </c>
      <c r="F781">
        <v>2019303</v>
      </c>
      <c r="G781">
        <v>2020083</v>
      </c>
      <c r="H781">
        <v>16029</v>
      </c>
      <c r="I781">
        <v>3441</v>
      </c>
      <c r="J781">
        <v>0</v>
      </c>
      <c r="K781">
        <v>489</v>
      </c>
      <c r="L781">
        <v>0</v>
      </c>
      <c r="M781">
        <v>75</v>
      </c>
      <c r="N781">
        <v>17.615639999999999</v>
      </c>
      <c r="O781">
        <v>4.2881520000000002</v>
      </c>
      <c r="P781">
        <v>14.93365</v>
      </c>
      <c r="Q781">
        <v>86026</v>
      </c>
    </row>
    <row r="782" spans="1:17" x14ac:dyDescent="0.25">
      <c r="A782" t="s">
        <v>21</v>
      </c>
      <c r="B782">
        <v>40</v>
      </c>
      <c r="C782">
        <v>0.72</v>
      </c>
      <c r="D782">
        <v>2000</v>
      </c>
      <c r="E782" t="s">
        <v>28</v>
      </c>
      <c r="F782">
        <v>2000319</v>
      </c>
      <c r="G782">
        <v>2001102</v>
      </c>
      <c r="H782">
        <v>15210</v>
      </c>
      <c r="I782">
        <v>3470</v>
      </c>
      <c r="J782">
        <v>0</v>
      </c>
      <c r="K782">
        <v>423</v>
      </c>
      <c r="L782">
        <v>0</v>
      </c>
      <c r="M782">
        <v>125</v>
      </c>
      <c r="N782">
        <v>17.028790000000001</v>
      </c>
      <c r="O782">
        <v>3.8162310000000002</v>
      </c>
      <c r="P782">
        <v>15.203139999999999</v>
      </c>
      <c r="Q782">
        <v>69404</v>
      </c>
    </row>
    <row r="783" spans="1:17" x14ac:dyDescent="0.25">
      <c r="A783" t="s">
        <v>21</v>
      </c>
      <c r="B783">
        <v>40</v>
      </c>
      <c r="C783">
        <v>0.72</v>
      </c>
      <c r="D783">
        <v>2001</v>
      </c>
      <c r="E783" t="s">
        <v>28</v>
      </c>
      <c r="F783">
        <v>2001319</v>
      </c>
      <c r="G783">
        <v>2002114</v>
      </c>
      <c r="H783">
        <v>8903</v>
      </c>
      <c r="I783">
        <v>1977</v>
      </c>
      <c r="J783">
        <v>0</v>
      </c>
      <c r="K783">
        <v>342</v>
      </c>
      <c r="L783">
        <v>0</v>
      </c>
      <c r="M783">
        <v>125</v>
      </c>
      <c r="N783">
        <v>16.767890000000001</v>
      </c>
      <c r="O783">
        <v>2.6294729999999999</v>
      </c>
      <c r="P783">
        <v>14.99263</v>
      </c>
      <c r="Q783">
        <v>39549</v>
      </c>
    </row>
    <row r="784" spans="1:17" x14ac:dyDescent="0.25">
      <c r="A784" t="s">
        <v>21</v>
      </c>
      <c r="B784">
        <v>40</v>
      </c>
      <c r="C784">
        <v>0.72</v>
      </c>
      <c r="D784">
        <v>2002</v>
      </c>
      <c r="E784" t="s">
        <v>28</v>
      </c>
      <c r="F784">
        <v>2002319</v>
      </c>
      <c r="G784">
        <v>2003112</v>
      </c>
      <c r="H784">
        <v>14721</v>
      </c>
      <c r="I784">
        <v>3741</v>
      </c>
      <c r="J784">
        <v>0</v>
      </c>
      <c r="K784">
        <v>416</v>
      </c>
      <c r="L784">
        <v>0</v>
      </c>
      <c r="M784">
        <v>125</v>
      </c>
      <c r="N784">
        <v>16.192740000000001</v>
      </c>
      <c r="O784">
        <v>3.6756470000000001</v>
      </c>
      <c r="P784">
        <v>14.57306</v>
      </c>
      <c r="Q784">
        <v>74815</v>
      </c>
    </row>
    <row r="785" spans="1:17" x14ac:dyDescent="0.25">
      <c r="A785" t="s">
        <v>21</v>
      </c>
      <c r="B785">
        <v>40</v>
      </c>
      <c r="C785">
        <v>0.72</v>
      </c>
      <c r="D785">
        <v>2003</v>
      </c>
      <c r="E785" t="s">
        <v>28</v>
      </c>
      <c r="F785">
        <v>2003319</v>
      </c>
      <c r="G785">
        <v>2004111</v>
      </c>
      <c r="H785">
        <v>11004</v>
      </c>
      <c r="I785">
        <v>1684</v>
      </c>
      <c r="J785">
        <v>0</v>
      </c>
      <c r="K785">
        <v>385</v>
      </c>
      <c r="L785">
        <v>0</v>
      </c>
      <c r="M785">
        <v>125</v>
      </c>
      <c r="N785">
        <v>15.78969</v>
      </c>
      <c r="O785">
        <v>3.1077319999999999</v>
      </c>
      <c r="P785">
        <v>14.49691</v>
      </c>
      <c r="Q785">
        <v>33682</v>
      </c>
    </row>
    <row r="786" spans="1:17" x14ac:dyDescent="0.25">
      <c r="A786" t="s">
        <v>21</v>
      </c>
      <c r="B786">
        <v>40</v>
      </c>
      <c r="C786">
        <v>0.72</v>
      </c>
      <c r="D786">
        <v>2004</v>
      </c>
      <c r="E786" t="s">
        <v>28</v>
      </c>
      <c r="F786">
        <v>2004319</v>
      </c>
      <c r="G786">
        <v>2005123</v>
      </c>
      <c r="H786">
        <v>2219</v>
      </c>
      <c r="I786">
        <v>423</v>
      </c>
      <c r="J786">
        <v>0</v>
      </c>
      <c r="K786">
        <v>207</v>
      </c>
      <c r="L786">
        <v>0</v>
      </c>
      <c r="M786">
        <v>125</v>
      </c>
      <c r="N786">
        <v>16.883610000000001</v>
      </c>
      <c r="O786">
        <v>2.045763</v>
      </c>
      <c r="P786">
        <v>17.094919999999998</v>
      </c>
      <c r="Q786">
        <v>8461</v>
      </c>
    </row>
    <row r="787" spans="1:17" x14ac:dyDescent="0.25">
      <c r="A787" t="s">
        <v>21</v>
      </c>
      <c r="B787">
        <v>40</v>
      </c>
      <c r="C787">
        <v>0.72</v>
      </c>
      <c r="D787">
        <v>2005</v>
      </c>
      <c r="E787" t="s">
        <v>28</v>
      </c>
      <c r="F787">
        <v>2005319</v>
      </c>
      <c r="G787">
        <v>2006110</v>
      </c>
      <c r="H787">
        <v>6435</v>
      </c>
      <c r="I787">
        <v>1128</v>
      </c>
      <c r="J787">
        <v>0</v>
      </c>
      <c r="K787">
        <v>319</v>
      </c>
      <c r="L787">
        <v>0</v>
      </c>
      <c r="M787">
        <v>125</v>
      </c>
      <c r="N787">
        <v>16.744499999999999</v>
      </c>
      <c r="O787">
        <v>3.6973829999999999</v>
      </c>
      <c r="P787">
        <v>15.28586</v>
      </c>
      <c r="Q787">
        <v>22562</v>
      </c>
    </row>
    <row r="788" spans="1:17" x14ac:dyDescent="0.25">
      <c r="A788" t="s">
        <v>21</v>
      </c>
      <c r="B788">
        <v>40</v>
      </c>
      <c r="C788">
        <v>0.72</v>
      </c>
      <c r="D788">
        <v>2006</v>
      </c>
      <c r="E788" t="s">
        <v>28</v>
      </c>
      <c r="F788">
        <v>2006319</v>
      </c>
      <c r="G788">
        <v>2007114</v>
      </c>
      <c r="H788">
        <v>10463</v>
      </c>
      <c r="I788">
        <v>1720</v>
      </c>
      <c r="J788">
        <v>0</v>
      </c>
      <c r="K788">
        <v>343</v>
      </c>
      <c r="L788">
        <v>0</v>
      </c>
      <c r="M788">
        <v>125</v>
      </c>
      <c r="N788">
        <v>16.03782</v>
      </c>
      <c r="O788">
        <v>3.0056989999999999</v>
      </c>
      <c r="P788">
        <v>15.140409999999999</v>
      </c>
      <c r="Q788">
        <v>34395</v>
      </c>
    </row>
    <row r="789" spans="1:17" x14ac:dyDescent="0.25">
      <c r="A789" t="s">
        <v>21</v>
      </c>
      <c r="B789">
        <v>40</v>
      </c>
      <c r="C789">
        <v>0.72</v>
      </c>
      <c r="D789">
        <v>2007</v>
      </c>
      <c r="E789" t="s">
        <v>28</v>
      </c>
      <c r="F789">
        <v>2007319</v>
      </c>
      <c r="G789">
        <v>2008109</v>
      </c>
      <c r="H789">
        <v>2360</v>
      </c>
      <c r="I789">
        <v>311</v>
      </c>
      <c r="J789">
        <v>0</v>
      </c>
      <c r="K789">
        <v>240</v>
      </c>
      <c r="L789">
        <v>0</v>
      </c>
      <c r="M789">
        <v>125</v>
      </c>
      <c r="N789">
        <v>17.046320000000001</v>
      </c>
      <c r="O789">
        <v>2.8047369999999998</v>
      </c>
      <c r="P789">
        <v>15.680529999999999</v>
      </c>
      <c r="Q789">
        <v>6228</v>
      </c>
    </row>
    <row r="790" spans="1:17" x14ac:dyDescent="0.25">
      <c r="A790" t="s">
        <v>21</v>
      </c>
      <c r="B790">
        <v>40</v>
      </c>
      <c r="C790">
        <v>0.72</v>
      </c>
      <c r="D790">
        <v>2008</v>
      </c>
      <c r="E790" t="s">
        <v>28</v>
      </c>
      <c r="F790">
        <v>2008319</v>
      </c>
      <c r="G790">
        <v>2009118</v>
      </c>
      <c r="H790">
        <v>10201</v>
      </c>
      <c r="I790">
        <v>2185</v>
      </c>
      <c r="J790">
        <v>0</v>
      </c>
      <c r="K790">
        <v>372</v>
      </c>
      <c r="L790">
        <v>0</v>
      </c>
      <c r="M790">
        <v>125</v>
      </c>
      <c r="N790">
        <v>15.97448</v>
      </c>
      <c r="O790">
        <v>3.0552090000000001</v>
      </c>
      <c r="P790">
        <v>15.96354</v>
      </c>
      <c r="Q790">
        <v>43699</v>
      </c>
    </row>
    <row r="791" spans="1:17" x14ac:dyDescent="0.25">
      <c r="A791" t="s">
        <v>21</v>
      </c>
      <c r="B791">
        <v>40</v>
      </c>
      <c r="C791">
        <v>0.72</v>
      </c>
      <c r="D791">
        <v>2009</v>
      </c>
      <c r="E791" t="s">
        <v>28</v>
      </c>
      <c r="F791">
        <v>2009319</v>
      </c>
      <c r="G791">
        <v>2010109</v>
      </c>
      <c r="H791">
        <v>15169</v>
      </c>
      <c r="I791">
        <v>3615</v>
      </c>
      <c r="J791">
        <v>0</v>
      </c>
      <c r="K791">
        <v>576</v>
      </c>
      <c r="L791">
        <v>0</v>
      </c>
      <c r="M791">
        <v>125</v>
      </c>
      <c r="N791">
        <v>15.725669999999999</v>
      </c>
      <c r="O791">
        <v>3.8529420000000001</v>
      </c>
      <c r="P791">
        <v>14.732089999999999</v>
      </c>
      <c r="Q791">
        <v>72302</v>
      </c>
    </row>
    <row r="792" spans="1:17" x14ac:dyDescent="0.25">
      <c r="A792" t="s">
        <v>21</v>
      </c>
      <c r="B792">
        <v>40</v>
      </c>
      <c r="C792">
        <v>0.72</v>
      </c>
      <c r="D792">
        <v>2010</v>
      </c>
      <c r="E792" t="s">
        <v>28</v>
      </c>
      <c r="F792">
        <v>2010319</v>
      </c>
      <c r="G792">
        <v>2011109</v>
      </c>
      <c r="H792">
        <v>15962</v>
      </c>
      <c r="I792">
        <v>2899</v>
      </c>
      <c r="J792">
        <v>0</v>
      </c>
      <c r="K792">
        <v>485</v>
      </c>
      <c r="L792">
        <v>0</v>
      </c>
      <c r="M792">
        <v>125</v>
      </c>
      <c r="N792">
        <v>16.445550000000001</v>
      </c>
      <c r="O792">
        <v>3.613089</v>
      </c>
      <c r="P792">
        <v>13.853400000000001</v>
      </c>
      <c r="Q792">
        <v>57978</v>
      </c>
    </row>
    <row r="793" spans="1:17" x14ac:dyDescent="0.25">
      <c r="A793" t="s">
        <v>21</v>
      </c>
      <c r="B793">
        <v>40</v>
      </c>
      <c r="C793">
        <v>0.72</v>
      </c>
      <c r="D793">
        <v>2011</v>
      </c>
      <c r="E793" t="s">
        <v>29</v>
      </c>
      <c r="F793">
        <v>2011319</v>
      </c>
      <c r="G793">
        <v>2012126</v>
      </c>
      <c r="H793">
        <v>5532</v>
      </c>
      <c r="I793">
        <v>1118</v>
      </c>
      <c r="J793">
        <v>0</v>
      </c>
      <c r="K793">
        <v>290</v>
      </c>
      <c r="L793">
        <v>0</v>
      </c>
      <c r="M793">
        <v>125</v>
      </c>
      <c r="N793">
        <v>16.95928</v>
      </c>
      <c r="O793">
        <v>1.072165</v>
      </c>
      <c r="P793">
        <v>16.696909999999999</v>
      </c>
      <c r="Q793">
        <v>22361</v>
      </c>
    </row>
    <row r="794" spans="1:17" x14ac:dyDescent="0.25">
      <c r="A794" t="s">
        <v>21</v>
      </c>
      <c r="B794">
        <v>40</v>
      </c>
      <c r="C794">
        <v>0.72</v>
      </c>
      <c r="D794">
        <v>2012</v>
      </c>
      <c r="E794" t="s">
        <v>29</v>
      </c>
      <c r="F794">
        <v>2012319</v>
      </c>
      <c r="G794">
        <v>2013111</v>
      </c>
      <c r="H794">
        <v>19624</v>
      </c>
      <c r="I794">
        <v>3727</v>
      </c>
      <c r="J794">
        <v>0</v>
      </c>
      <c r="K794">
        <v>593</v>
      </c>
      <c r="L794">
        <v>0</v>
      </c>
      <c r="M794">
        <v>125</v>
      </c>
      <c r="N794">
        <v>15.58564</v>
      </c>
      <c r="O794">
        <v>3.0902560000000001</v>
      </c>
      <c r="P794">
        <v>13.33282</v>
      </c>
      <c r="Q794">
        <v>74548</v>
      </c>
    </row>
    <row r="795" spans="1:17" x14ac:dyDescent="0.25">
      <c r="A795" t="s">
        <v>21</v>
      </c>
      <c r="B795">
        <v>40</v>
      </c>
      <c r="C795">
        <v>0.72</v>
      </c>
      <c r="D795">
        <v>2013</v>
      </c>
      <c r="E795" t="s">
        <v>29</v>
      </c>
      <c r="F795">
        <v>2013319</v>
      </c>
      <c r="G795">
        <v>2014109</v>
      </c>
      <c r="H795">
        <v>9630</v>
      </c>
      <c r="I795">
        <v>3424</v>
      </c>
      <c r="J795">
        <v>0</v>
      </c>
      <c r="K795">
        <v>387</v>
      </c>
      <c r="L795">
        <v>0</v>
      </c>
      <c r="M795">
        <v>125</v>
      </c>
      <c r="N795">
        <v>17.644089999999998</v>
      </c>
      <c r="O795">
        <v>3.2403219999999999</v>
      </c>
      <c r="P795">
        <v>16.205369999999998</v>
      </c>
      <c r="Q795">
        <v>68476</v>
      </c>
    </row>
    <row r="796" spans="1:17" x14ac:dyDescent="0.25">
      <c r="A796" t="s">
        <v>21</v>
      </c>
      <c r="B796">
        <v>40</v>
      </c>
      <c r="C796">
        <v>0.72</v>
      </c>
      <c r="D796">
        <v>2014</v>
      </c>
      <c r="E796" t="s">
        <v>29</v>
      </c>
      <c r="F796">
        <v>2014319</v>
      </c>
      <c r="G796">
        <v>2015113</v>
      </c>
      <c r="H796">
        <v>5445</v>
      </c>
      <c r="I796">
        <v>1522</v>
      </c>
      <c r="J796">
        <v>0</v>
      </c>
      <c r="K796">
        <v>253</v>
      </c>
      <c r="L796">
        <v>0</v>
      </c>
      <c r="M796">
        <v>125</v>
      </c>
      <c r="N796">
        <v>17.543530000000001</v>
      </c>
      <c r="O796">
        <v>2.7569949999999999</v>
      </c>
      <c r="P796">
        <v>15.48601</v>
      </c>
      <c r="Q796">
        <v>30435</v>
      </c>
    </row>
    <row r="797" spans="1:17" x14ac:dyDescent="0.25">
      <c r="A797" t="s">
        <v>21</v>
      </c>
      <c r="B797">
        <v>40</v>
      </c>
      <c r="C797">
        <v>0.72</v>
      </c>
      <c r="D797">
        <v>2015</v>
      </c>
      <c r="E797" t="s">
        <v>29</v>
      </c>
      <c r="F797">
        <v>2015319</v>
      </c>
      <c r="G797">
        <v>2016099</v>
      </c>
      <c r="H797">
        <v>1412</v>
      </c>
      <c r="I797">
        <v>336</v>
      </c>
      <c r="J797">
        <v>0</v>
      </c>
      <c r="K797">
        <v>187</v>
      </c>
      <c r="L797">
        <v>0</v>
      </c>
      <c r="M797">
        <v>125</v>
      </c>
      <c r="N797">
        <v>17.72907</v>
      </c>
      <c r="O797">
        <v>3.4098830000000002</v>
      </c>
      <c r="P797">
        <v>14.97035</v>
      </c>
      <c r="Q797">
        <v>6730</v>
      </c>
    </row>
    <row r="798" spans="1:17" x14ac:dyDescent="0.25">
      <c r="A798" t="s">
        <v>21</v>
      </c>
      <c r="B798">
        <v>40</v>
      </c>
      <c r="C798">
        <v>0.72</v>
      </c>
      <c r="D798">
        <v>2016</v>
      </c>
      <c r="E798" t="s">
        <v>29</v>
      </c>
      <c r="F798">
        <v>2016319</v>
      </c>
      <c r="G798">
        <v>2017108</v>
      </c>
      <c r="H798">
        <v>7514</v>
      </c>
      <c r="I798">
        <v>2315</v>
      </c>
      <c r="J798">
        <v>0</v>
      </c>
      <c r="K798">
        <v>303</v>
      </c>
      <c r="L798">
        <v>0</v>
      </c>
      <c r="M798">
        <v>125</v>
      </c>
      <c r="N798">
        <v>18.0199</v>
      </c>
      <c r="O798">
        <v>2.9854829999999999</v>
      </c>
      <c r="P798">
        <v>15.090859999999999</v>
      </c>
      <c r="Q798">
        <v>46300</v>
      </c>
    </row>
    <row r="799" spans="1:17" x14ac:dyDescent="0.25">
      <c r="A799" t="s">
        <v>21</v>
      </c>
      <c r="B799">
        <v>40</v>
      </c>
      <c r="C799">
        <v>0.72</v>
      </c>
      <c r="D799">
        <v>2017</v>
      </c>
      <c r="E799" t="s">
        <v>29</v>
      </c>
      <c r="F799">
        <v>2017319</v>
      </c>
      <c r="G799">
        <v>2018113</v>
      </c>
      <c r="H799">
        <v>16454</v>
      </c>
      <c r="I799">
        <v>3593</v>
      </c>
      <c r="J799">
        <v>0</v>
      </c>
      <c r="K799">
        <v>443</v>
      </c>
      <c r="L799">
        <v>0</v>
      </c>
      <c r="M799">
        <v>125</v>
      </c>
      <c r="N799">
        <v>16.10369</v>
      </c>
      <c r="O799">
        <v>2.8868420000000001</v>
      </c>
      <c r="P799">
        <v>14.52474</v>
      </c>
      <c r="Q799">
        <v>71864</v>
      </c>
    </row>
    <row r="800" spans="1:17" x14ac:dyDescent="0.25">
      <c r="A800" t="s">
        <v>21</v>
      </c>
      <c r="B800">
        <v>40</v>
      </c>
      <c r="C800">
        <v>0.72</v>
      </c>
      <c r="D800">
        <v>2018</v>
      </c>
      <c r="E800" t="s">
        <v>29</v>
      </c>
      <c r="F800">
        <v>2018319</v>
      </c>
      <c r="G800">
        <v>2019113</v>
      </c>
      <c r="H800">
        <v>8297</v>
      </c>
      <c r="I800">
        <v>2146</v>
      </c>
      <c r="J800">
        <v>0</v>
      </c>
      <c r="K800">
        <v>357</v>
      </c>
      <c r="L800">
        <v>0</v>
      </c>
      <c r="M800">
        <v>125</v>
      </c>
      <c r="N800">
        <v>17.977319999999999</v>
      </c>
      <c r="O800">
        <v>1.6731959999999999</v>
      </c>
      <c r="P800">
        <v>15.99227</v>
      </c>
      <c r="Q800">
        <v>42929</v>
      </c>
    </row>
    <row r="801" spans="1:17" x14ac:dyDescent="0.25">
      <c r="A801" t="s">
        <v>21</v>
      </c>
      <c r="B801">
        <v>40</v>
      </c>
      <c r="C801">
        <v>0.72</v>
      </c>
      <c r="D801">
        <v>2019</v>
      </c>
      <c r="E801" t="s">
        <v>29</v>
      </c>
      <c r="F801">
        <v>2019319</v>
      </c>
      <c r="G801">
        <v>2020098</v>
      </c>
      <c r="H801">
        <v>14966</v>
      </c>
      <c r="I801">
        <v>4067</v>
      </c>
      <c r="J801">
        <v>0</v>
      </c>
      <c r="K801">
        <v>489</v>
      </c>
      <c r="L801">
        <v>0</v>
      </c>
      <c r="M801">
        <v>125</v>
      </c>
      <c r="N801">
        <v>18.081150000000001</v>
      </c>
      <c r="O801">
        <v>4.137696</v>
      </c>
      <c r="P801">
        <v>15.445029999999999</v>
      </c>
      <c r="Q801">
        <v>81346</v>
      </c>
    </row>
    <row r="802" spans="1:17" x14ac:dyDescent="0.25">
      <c r="A802" t="s">
        <v>21</v>
      </c>
      <c r="B802">
        <v>41</v>
      </c>
      <c r="C802">
        <v>0.72</v>
      </c>
      <c r="D802">
        <v>2000</v>
      </c>
      <c r="E802" t="s">
        <v>28</v>
      </c>
      <c r="F802">
        <v>2000289</v>
      </c>
      <c r="G802">
        <v>2001083</v>
      </c>
      <c r="H802">
        <v>15943</v>
      </c>
      <c r="I802">
        <v>4214</v>
      </c>
      <c r="J802">
        <v>0</v>
      </c>
      <c r="K802">
        <v>423</v>
      </c>
      <c r="L802">
        <v>0</v>
      </c>
      <c r="M802">
        <v>125</v>
      </c>
      <c r="N802">
        <v>17.014089999999999</v>
      </c>
      <c r="O802">
        <v>4.0074899999999998</v>
      </c>
      <c r="P802">
        <v>14.421150000000001</v>
      </c>
      <c r="Q802">
        <v>113782</v>
      </c>
    </row>
    <row r="803" spans="1:17" x14ac:dyDescent="0.25">
      <c r="A803" t="s">
        <v>21</v>
      </c>
      <c r="B803">
        <v>41</v>
      </c>
      <c r="C803">
        <v>0.72</v>
      </c>
      <c r="D803">
        <v>2001</v>
      </c>
      <c r="E803" t="s">
        <v>28</v>
      </c>
      <c r="F803">
        <v>2001289</v>
      </c>
      <c r="G803">
        <v>2002091</v>
      </c>
      <c r="H803">
        <v>12633</v>
      </c>
      <c r="I803">
        <v>2820</v>
      </c>
      <c r="J803">
        <v>0</v>
      </c>
      <c r="K803">
        <v>342</v>
      </c>
      <c r="L803">
        <v>0</v>
      </c>
      <c r="M803">
        <v>125</v>
      </c>
      <c r="N803">
        <v>16.794689999999999</v>
      </c>
      <c r="O803">
        <v>3.0106190000000002</v>
      </c>
      <c r="P803">
        <v>14.24071</v>
      </c>
      <c r="Q803">
        <v>76140</v>
      </c>
    </row>
    <row r="804" spans="1:17" x14ac:dyDescent="0.25">
      <c r="A804" t="s">
        <v>21</v>
      </c>
      <c r="B804">
        <v>41</v>
      </c>
      <c r="C804">
        <v>0.72</v>
      </c>
      <c r="D804">
        <v>2002</v>
      </c>
      <c r="E804" t="s">
        <v>28</v>
      </c>
      <c r="F804">
        <v>2002289</v>
      </c>
      <c r="G804">
        <v>2003084</v>
      </c>
      <c r="H804">
        <v>15986</v>
      </c>
      <c r="I804">
        <v>3640</v>
      </c>
      <c r="J804">
        <v>0</v>
      </c>
      <c r="K804">
        <v>416</v>
      </c>
      <c r="L804">
        <v>0</v>
      </c>
      <c r="M804">
        <v>125</v>
      </c>
      <c r="N804">
        <v>16.639189999999999</v>
      </c>
      <c r="O804">
        <v>3.8657659999999998</v>
      </c>
      <c r="P804">
        <v>14.256309999999999</v>
      </c>
      <c r="Q804">
        <v>98287</v>
      </c>
    </row>
    <row r="805" spans="1:17" x14ac:dyDescent="0.25">
      <c r="A805" t="s">
        <v>21</v>
      </c>
      <c r="B805">
        <v>41</v>
      </c>
      <c r="C805">
        <v>0.72</v>
      </c>
      <c r="D805">
        <v>2003</v>
      </c>
      <c r="E805" t="s">
        <v>28</v>
      </c>
      <c r="F805">
        <v>2003289</v>
      </c>
      <c r="G805">
        <v>2004078</v>
      </c>
      <c r="H805">
        <v>11820</v>
      </c>
      <c r="I805">
        <v>1527</v>
      </c>
      <c r="J805">
        <v>0</v>
      </c>
      <c r="K805">
        <v>385</v>
      </c>
      <c r="L805">
        <v>0</v>
      </c>
      <c r="M805">
        <v>125</v>
      </c>
      <c r="N805">
        <v>15.88978</v>
      </c>
      <c r="O805">
        <v>3.5791089999999999</v>
      </c>
      <c r="P805">
        <v>13.77956</v>
      </c>
      <c r="Q805">
        <v>41233</v>
      </c>
    </row>
    <row r="806" spans="1:17" x14ac:dyDescent="0.25">
      <c r="A806" t="s">
        <v>21</v>
      </c>
      <c r="B806">
        <v>41</v>
      </c>
      <c r="C806">
        <v>0.72</v>
      </c>
      <c r="D806">
        <v>2004</v>
      </c>
      <c r="E806" t="s">
        <v>28</v>
      </c>
      <c r="F806">
        <v>2004289</v>
      </c>
      <c r="G806">
        <v>2005100</v>
      </c>
      <c r="H806">
        <v>3075</v>
      </c>
      <c r="I806">
        <v>1081</v>
      </c>
      <c r="J806">
        <v>0</v>
      </c>
      <c r="K806">
        <v>207</v>
      </c>
      <c r="L806">
        <v>0</v>
      </c>
      <c r="M806">
        <v>125</v>
      </c>
      <c r="N806">
        <v>16.69378</v>
      </c>
      <c r="O806">
        <v>1.7937799999999999</v>
      </c>
      <c r="P806">
        <v>16.02966</v>
      </c>
      <c r="Q806">
        <v>29199</v>
      </c>
    </row>
    <row r="807" spans="1:17" x14ac:dyDescent="0.25">
      <c r="A807" t="s">
        <v>21</v>
      </c>
      <c r="B807">
        <v>41</v>
      </c>
      <c r="C807">
        <v>0.72</v>
      </c>
      <c r="D807">
        <v>2005</v>
      </c>
      <c r="E807" t="s">
        <v>28</v>
      </c>
      <c r="F807">
        <v>2005289</v>
      </c>
      <c r="G807">
        <v>2006092</v>
      </c>
      <c r="H807">
        <v>6961</v>
      </c>
      <c r="I807">
        <v>1698</v>
      </c>
      <c r="J807">
        <v>0</v>
      </c>
      <c r="K807">
        <v>319</v>
      </c>
      <c r="L807">
        <v>0</v>
      </c>
      <c r="M807">
        <v>125</v>
      </c>
      <c r="N807">
        <v>17.03125</v>
      </c>
      <c r="O807">
        <v>3.781698</v>
      </c>
      <c r="P807">
        <v>14.741960000000001</v>
      </c>
      <c r="Q807">
        <v>45836</v>
      </c>
    </row>
    <row r="808" spans="1:17" x14ac:dyDescent="0.25">
      <c r="A808" t="s">
        <v>21</v>
      </c>
      <c r="B808">
        <v>41</v>
      </c>
      <c r="C808">
        <v>0.72</v>
      </c>
      <c r="D808">
        <v>2006</v>
      </c>
      <c r="E808" t="s">
        <v>28</v>
      </c>
      <c r="F808">
        <v>2006289</v>
      </c>
      <c r="G808">
        <v>2007085</v>
      </c>
      <c r="H808">
        <v>9090</v>
      </c>
      <c r="I808">
        <v>1419</v>
      </c>
      <c r="J808">
        <v>0</v>
      </c>
      <c r="K808">
        <v>343</v>
      </c>
      <c r="L808">
        <v>0</v>
      </c>
      <c r="M808">
        <v>125</v>
      </c>
      <c r="N808">
        <v>16.134450000000001</v>
      </c>
      <c r="O808">
        <v>3.0703339999999999</v>
      </c>
      <c r="P808">
        <v>14.74689</v>
      </c>
      <c r="Q808">
        <v>38317</v>
      </c>
    </row>
    <row r="809" spans="1:17" x14ac:dyDescent="0.25">
      <c r="A809" t="s">
        <v>21</v>
      </c>
      <c r="B809">
        <v>41</v>
      </c>
      <c r="C809">
        <v>0.72</v>
      </c>
      <c r="D809">
        <v>2007</v>
      </c>
      <c r="E809" t="s">
        <v>28</v>
      </c>
      <c r="F809">
        <v>2007289</v>
      </c>
      <c r="G809">
        <v>2008084</v>
      </c>
      <c r="H809">
        <v>2096</v>
      </c>
      <c r="I809">
        <v>354</v>
      </c>
      <c r="J809">
        <v>0</v>
      </c>
      <c r="K809">
        <v>240</v>
      </c>
      <c r="L809">
        <v>0</v>
      </c>
      <c r="M809">
        <v>125</v>
      </c>
      <c r="N809">
        <v>17.21161</v>
      </c>
      <c r="O809">
        <v>2.6428569999999998</v>
      </c>
      <c r="P809">
        <v>15.112500000000001</v>
      </c>
      <c r="Q809">
        <v>9567</v>
      </c>
    </row>
    <row r="810" spans="1:17" x14ac:dyDescent="0.25">
      <c r="A810" t="s">
        <v>21</v>
      </c>
      <c r="B810">
        <v>41</v>
      </c>
      <c r="C810">
        <v>0.72</v>
      </c>
      <c r="D810">
        <v>2008</v>
      </c>
      <c r="E810" t="s">
        <v>28</v>
      </c>
      <c r="F810">
        <v>2008289</v>
      </c>
      <c r="G810">
        <v>2009096</v>
      </c>
      <c r="H810">
        <v>14048</v>
      </c>
      <c r="I810">
        <v>4062</v>
      </c>
      <c r="J810">
        <v>0</v>
      </c>
      <c r="K810">
        <v>372</v>
      </c>
      <c r="L810">
        <v>0</v>
      </c>
      <c r="M810">
        <v>125</v>
      </c>
      <c r="N810">
        <v>15.9146</v>
      </c>
      <c r="O810">
        <v>3.239824</v>
      </c>
      <c r="P810">
        <v>15.07522</v>
      </c>
      <c r="Q810">
        <v>109686</v>
      </c>
    </row>
    <row r="811" spans="1:17" x14ac:dyDescent="0.25">
      <c r="A811" t="s">
        <v>21</v>
      </c>
      <c r="B811">
        <v>41</v>
      </c>
      <c r="C811">
        <v>0.72</v>
      </c>
      <c r="D811">
        <v>2009</v>
      </c>
      <c r="E811" t="s">
        <v>28</v>
      </c>
      <c r="F811">
        <v>2009289</v>
      </c>
      <c r="G811">
        <v>2010085</v>
      </c>
      <c r="H811">
        <v>15250</v>
      </c>
      <c r="I811">
        <v>2722</v>
      </c>
      <c r="J811">
        <v>0</v>
      </c>
      <c r="K811">
        <v>576</v>
      </c>
      <c r="L811">
        <v>0</v>
      </c>
      <c r="M811">
        <v>125</v>
      </c>
      <c r="N811">
        <v>16.64865</v>
      </c>
      <c r="O811">
        <v>4.06982</v>
      </c>
      <c r="P811">
        <v>14.480180000000001</v>
      </c>
      <c r="Q811">
        <v>73487</v>
      </c>
    </row>
    <row r="812" spans="1:17" x14ac:dyDescent="0.25">
      <c r="A812" t="s">
        <v>21</v>
      </c>
      <c r="B812">
        <v>41</v>
      </c>
      <c r="C812">
        <v>0.72</v>
      </c>
      <c r="D812">
        <v>2010</v>
      </c>
      <c r="E812" t="s">
        <v>28</v>
      </c>
      <c r="F812">
        <v>2010289</v>
      </c>
      <c r="G812">
        <v>2011087</v>
      </c>
      <c r="H812">
        <v>19375</v>
      </c>
      <c r="I812">
        <v>4384</v>
      </c>
      <c r="J812">
        <v>0</v>
      </c>
      <c r="K812">
        <v>485</v>
      </c>
      <c r="L812">
        <v>0</v>
      </c>
      <c r="M812">
        <v>125</v>
      </c>
      <c r="N812">
        <v>16.569189999999999</v>
      </c>
      <c r="O812">
        <v>3.5401790000000002</v>
      </c>
      <c r="P812">
        <v>13.56697</v>
      </c>
      <c r="Q812">
        <v>118376</v>
      </c>
    </row>
    <row r="813" spans="1:17" x14ac:dyDescent="0.25">
      <c r="A813" t="s">
        <v>21</v>
      </c>
      <c r="B813">
        <v>41</v>
      </c>
      <c r="C813">
        <v>0.72</v>
      </c>
      <c r="D813">
        <v>2011</v>
      </c>
      <c r="E813" t="s">
        <v>29</v>
      </c>
      <c r="F813">
        <v>2011289</v>
      </c>
      <c r="G813">
        <v>2012097</v>
      </c>
      <c r="H813">
        <v>5232</v>
      </c>
      <c r="I813">
        <v>1067</v>
      </c>
      <c r="J813">
        <v>0</v>
      </c>
      <c r="K813">
        <v>290</v>
      </c>
      <c r="L813">
        <v>0</v>
      </c>
      <c r="M813">
        <v>125</v>
      </c>
      <c r="N813">
        <v>17.013570000000001</v>
      </c>
      <c r="O813">
        <v>1.6800900000000001</v>
      </c>
      <c r="P813">
        <v>15.777380000000001</v>
      </c>
      <c r="Q813">
        <v>28811</v>
      </c>
    </row>
    <row r="814" spans="1:17" x14ac:dyDescent="0.25">
      <c r="A814" t="s">
        <v>21</v>
      </c>
      <c r="B814">
        <v>41</v>
      </c>
      <c r="C814">
        <v>0.72</v>
      </c>
      <c r="D814">
        <v>2012</v>
      </c>
      <c r="E814" t="s">
        <v>29</v>
      </c>
      <c r="F814">
        <v>2012289</v>
      </c>
      <c r="G814">
        <v>2013087</v>
      </c>
      <c r="H814">
        <v>23031</v>
      </c>
      <c r="I814">
        <v>5132</v>
      </c>
      <c r="J814">
        <v>0</v>
      </c>
      <c r="K814">
        <v>593</v>
      </c>
      <c r="L814">
        <v>0</v>
      </c>
      <c r="M814">
        <v>125</v>
      </c>
      <c r="N814">
        <v>15.646459999999999</v>
      </c>
      <c r="O814">
        <v>3.6951329999999998</v>
      </c>
      <c r="P814">
        <v>12.538489999999999</v>
      </c>
      <c r="Q814">
        <v>138576</v>
      </c>
    </row>
    <row r="815" spans="1:17" x14ac:dyDescent="0.25">
      <c r="A815" t="s">
        <v>21</v>
      </c>
      <c r="B815">
        <v>41</v>
      </c>
      <c r="C815">
        <v>0.72</v>
      </c>
      <c r="D815">
        <v>2013</v>
      </c>
      <c r="E815" t="s">
        <v>29</v>
      </c>
      <c r="F815">
        <v>2013289</v>
      </c>
      <c r="G815">
        <v>2014088</v>
      </c>
      <c r="H815">
        <v>12180</v>
      </c>
      <c r="I815">
        <v>3786</v>
      </c>
      <c r="J815">
        <v>0</v>
      </c>
      <c r="K815">
        <v>387</v>
      </c>
      <c r="L815">
        <v>0</v>
      </c>
      <c r="M815">
        <v>125</v>
      </c>
      <c r="N815">
        <v>17.735420000000001</v>
      </c>
      <c r="O815">
        <v>3.0215239999999999</v>
      </c>
      <c r="P815">
        <v>15.4565</v>
      </c>
      <c r="Q815">
        <v>102217</v>
      </c>
    </row>
    <row r="816" spans="1:17" x14ac:dyDescent="0.25">
      <c r="A816" t="s">
        <v>21</v>
      </c>
      <c r="B816">
        <v>41</v>
      </c>
      <c r="C816">
        <v>0.72</v>
      </c>
      <c r="D816">
        <v>2014</v>
      </c>
      <c r="E816" t="s">
        <v>29</v>
      </c>
      <c r="F816">
        <v>2014289</v>
      </c>
      <c r="G816">
        <v>2015091</v>
      </c>
      <c r="H816">
        <v>6406</v>
      </c>
      <c r="I816">
        <v>2339</v>
      </c>
      <c r="J816">
        <v>0</v>
      </c>
      <c r="K816">
        <v>253</v>
      </c>
      <c r="L816">
        <v>0</v>
      </c>
      <c r="M816">
        <v>125</v>
      </c>
      <c r="N816">
        <v>17.985779999999998</v>
      </c>
      <c r="O816">
        <v>3.088889</v>
      </c>
      <c r="P816">
        <v>15.04711</v>
      </c>
      <c r="Q816">
        <v>63143</v>
      </c>
    </row>
    <row r="817" spans="1:17" x14ac:dyDescent="0.25">
      <c r="A817" t="s">
        <v>21</v>
      </c>
      <c r="B817">
        <v>41</v>
      </c>
      <c r="C817">
        <v>0.72</v>
      </c>
      <c r="D817">
        <v>2015</v>
      </c>
      <c r="E817" t="s">
        <v>29</v>
      </c>
      <c r="F817">
        <v>2015289</v>
      </c>
      <c r="G817">
        <v>2016072</v>
      </c>
      <c r="H817">
        <v>1544</v>
      </c>
      <c r="I817">
        <v>283</v>
      </c>
      <c r="J817">
        <v>0</v>
      </c>
      <c r="K817">
        <v>187</v>
      </c>
      <c r="L817">
        <v>0</v>
      </c>
      <c r="M817">
        <v>125</v>
      </c>
      <c r="N817">
        <v>18.041260000000001</v>
      </c>
      <c r="O817">
        <v>3.1071749999999998</v>
      </c>
      <c r="P817">
        <v>14.04753</v>
      </c>
      <c r="Q817">
        <v>7648</v>
      </c>
    </row>
    <row r="818" spans="1:17" x14ac:dyDescent="0.25">
      <c r="A818" t="s">
        <v>21</v>
      </c>
      <c r="B818">
        <v>41</v>
      </c>
      <c r="C818">
        <v>0.72</v>
      </c>
      <c r="D818">
        <v>2016</v>
      </c>
      <c r="E818" t="s">
        <v>29</v>
      </c>
      <c r="F818">
        <v>2016289</v>
      </c>
      <c r="G818">
        <v>2017089</v>
      </c>
      <c r="H818">
        <v>8878</v>
      </c>
      <c r="I818">
        <v>3336</v>
      </c>
      <c r="J818">
        <v>0</v>
      </c>
      <c r="K818">
        <v>303</v>
      </c>
      <c r="L818">
        <v>0</v>
      </c>
      <c r="M818">
        <v>125</v>
      </c>
      <c r="N818">
        <v>18.135840000000002</v>
      </c>
      <c r="O818">
        <v>3.1066370000000001</v>
      </c>
      <c r="P818">
        <v>14.33319</v>
      </c>
      <c r="Q818">
        <v>90066</v>
      </c>
    </row>
    <row r="819" spans="1:17" x14ac:dyDescent="0.25">
      <c r="A819" t="s">
        <v>21</v>
      </c>
      <c r="B819">
        <v>41</v>
      </c>
      <c r="C819">
        <v>0.72</v>
      </c>
      <c r="D819">
        <v>2017</v>
      </c>
      <c r="E819" t="s">
        <v>29</v>
      </c>
      <c r="F819">
        <v>2017289</v>
      </c>
      <c r="G819">
        <v>2018091</v>
      </c>
      <c r="H819">
        <v>17337</v>
      </c>
      <c r="I819">
        <v>4363</v>
      </c>
      <c r="J819">
        <v>0</v>
      </c>
      <c r="K819">
        <v>443</v>
      </c>
      <c r="L819">
        <v>0</v>
      </c>
      <c r="M819">
        <v>125</v>
      </c>
      <c r="N819">
        <v>16.86054</v>
      </c>
      <c r="O819">
        <v>2.695516</v>
      </c>
      <c r="P819">
        <v>14.37758</v>
      </c>
      <c r="Q819">
        <v>117791</v>
      </c>
    </row>
    <row r="820" spans="1:17" x14ac:dyDescent="0.25">
      <c r="A820" t="s">
        <v>21</v>
      </c>
      <c r="B820">
        <v>41</v>
      </c>
      <c r="C820">
        <v>0.72</v>
      </c>
      <c r="D820">
        <v>2018</v>
      </c>
      <c r="E820" t="s">
        <v>29</v>
      </c>
      <c r="F820">
        <v>2018289</v>
      </c>
      <c r="G820">
        <v>2019085</v>
      </c>
      <c r="H820">
        <v>10213</v>
      </c>
      <c r="I820">
        <v>1963</v>
      </c>
      <c r="J820">
        <v>0</v>
      </c>
      <c r="K820">
        <v>357</v>
      </c>
      <c r="L820">
        <v>0</v>
      </c>
      <c r="M820">
        <v>125</v>
      </c>
      <c r="N820">
        <v>17.765329999999999</v>
      </c>
      <c r="O820">
        <v>2.165778</v>
      </c>
      <c r="P820">
        <v>15.05111</v>
      </c>
      <c r="Q820">
        <v>53013</v>
      </c>
    </row>
    <row r="821" spans="1:17" x14ac:dyDescent="0.25">
      <c r="A821" t="s">
        <v>21</v>
      </c>
      <c r="B821">
        <v>41</v>
      </c>
      <c r="C821">
        <v>0.72</v>
      </c>
      <c r="D821">
        <v>2019</v>
      </c>
      <c r="E821" t="s">
        <v>29</v>
      </c>
      <c r="F821">
        <v>2019289</v>
      </c>
      <c r="G821">
        <v>2020067</v>
      </c>
      <c r="H821">
        <v>15767</v>
      </c>
      <c r="I821">
        <v>3879</v>
      </c>
      <c r="J821">
        <v>0</v>
      </c>
      <c r="K821">
        <v>489</v>
      </c>
      <c r="L821">
        <v>0</v>
      </c>
      <c r="M821">
        <v>125</v>
      </c>
      <c r="N821">
        <v>17.770530000000001</v>
      </c>
      <c r="O821">
        <v>4.4549110000000001</v>
      </c>
      <c r="P821">
        <v>14.824999999999999</v>
      </c>
      <c r="Q821">
        <v>104729</v>
      </c>
    </row>
    <row r="822" spans="1:17" x14ac:dyDescent="0.25">
      <c r="A822" t="s">
        <v>21</v>
      </c>
      <c r="B822">
        <v>42</v>
      </c>
      <c r="C822">
        <v>0.71</v>
      </c>
      <c r="D822">
        <v>2000</v>
      </c>
      <c r="E822" t="s">
        <v>28</v>
      </c>
      <c r="F822">
        <v>2000319</v>
      </c>
      <c r="G822">
        <v>2001102</v>
      </c>
      <c r="H822">
        <v>14621</v>
      </c>
      <c r="I822">
        <v>3305</v>
      </c>
      <c r="J822">
        <v>0</v>
      </c>
      <c r="K822">
        <v>423</v>
      </c>
      <c r="L822">
        <v>0</v>
      </c>
      <c r="M822">
        <v>100</v>
      </c>
      <c r="N822">
        <v>17.028790000000001</v>
      </c>
      <c r="O822">
        <v>3.8162310000000002</v>
      </c>
      <c r="P822">
        <v>15.203139999999999</v>
      </c>
      <c r="Q822">
        <v>76019</v>
      </c>
    </row>
    <row r="823" spans="1:17" x14ac:dyDescent="0.25">
      <c r="A823" t="s">
        <v>21</v>
      </c>
      <c r="B823">
        <v>42</v>
      </c>
      <c r="C823">
        <v>0.71</v>
      </c>
      <c r="D823">
        <v>2001</v>
      </c>
      <c r="E823" t="s">
        <v>28</v>
      </c>
      <c r="F823">
        <v>2001319</v>
      </c>
      <c r="G823">
        <v>2002114</v>
      </c>
      <c r="H823">
        <v>8553</v>
      </c>
      <c r="I823">
        <v>1898</v>
      </c>
      <c r="J823">
        <v>0</v>
      </c>
      <c r="K823">
        <v>342</v>
      </c>
      <c r="L823">
        <v>0</v>
      </c>
      <c r="M823">
        <v>100</v>
      </c>
      <c r="N823">
        <v>16.767890000000001</v>
      </c>
      <c r="O823">
        <v>2.6294729999999999</v>
      </c>
      <c r="P823">
        <v>14.99263</v>
      </c>
      <c r="Q823">
        <v>43660</v>
      </c>
    </row>
    <row r="824" spans="1:17" x14ac:dyDescent="0.25">
      <c r="A824" t="s">
        <v>21</v>
      </c>
      <c r="B824">
        <v>42</v>
      </c>
      <c r="C824">
        <v>0.71</v>
      </c>
      <c r="D824">
        <v>2002</v>
      </c>
      <c r="E824" t="s">
        <v>28</v>
      </c>
      <c r="F824">
        <v>2002319</v>
      </c>
      <c r="G824">
        <v>2003112</v>
      </c>
      <c r="H824">
        <v>13984</v>
      </c>
      <c r="I824">
        <v>3536</v>
      </c>
      <c r="J824">
        <v>0</v>
      </c>
      <c r="K824">
        <v>416</v>
      </c>
      <c r="L824">
        <v>0</v>
      </c>
      <c r="M824">
        <v>100</v>
      </c>
      <c r="N824">
        <v>16.192740000000001</v>
      </c>
      <c r="O824">
        <v>3.6756470000000001</v>
      </c>
      <c r="P824">
        <v>14.57306</v>
      </c>
      <c r="Q824">
        <v>81332</v>
      </c>
    </row>
    <row r="825" spans="1:17" x14ac:dyDescent="0.25">
      <c r="A825" t="s">
        <v>21</v>
      </c>
      <c r="B825">
        <v>42</v>
      </c>
      <c r="C825">
        <v>0.71</v>
      </c>
      <c r="D825">
        <v>2003</v>
      </c>
      <c r="E825" t="s">
        <v>28</v>
      </c>
      <c r="F825">
        <v>2003319</v>
      </c>
      <c r="G825">
        <v>2004111</v>
      </c>
      <c r="H825">
        <v>10861</v>
      </c>
      <c r="I825">
        <v>1653</v>
      </c>
      <c r="J825">
        <v>0</v>
      </c>
      <c r="K825">
        <v>385</v>
      </c>
      <c r="L825">
        <v>0</v>
      </c>
      <c r="M825">
        <v>100</v>
      </c>
      <c r="N825">
        <v>15.78969</v>
      </c>
      <c r="O825">
        <v>3.1077319999999999</v>
      </c>
      <c r="P825">
        <v>14.49691</v>
      </c>
      <c r="Q825">
        <v>38023</v>
      </c>
    </row>
    <row r="826" spans="1:17" x14ac:dyDescent="0.25">
      <c r="A826" t="s">
        <v>21</v>
      </c>
      <c r="B826">
        <v>42</v>
      </c>
      <c r="C826">
        <v>0.71</v>
      </c>
      <c r="D826">
        <v>2004</v>
      </c>
      <c r="E826" t="s">
        <v>28</v>
      </c>
      <c r="F826">
        <v>2004319</v>
      </c>
      <c r="G826">
        <v>2005123</v>
      </c>
      <c r="H826">
        <v>2197</v>
      </c>
      <c r="I826">
        <v>419</v>
      </c>
      <c r="J826">
        <v>0</v>
      </c>
      <c r="K826">
        <v>207</v>
      </c>
      <c r="L826">
        <v>0</v>
      </c>
      <c r="M826">
        <v>100</v>
      </c>
      <c r="N826">
        <v>16.883610000000001</v>
      </c>
      <c r="O826">
        <v>2.045763</v>
      </c>
      <c r="P826">
        <v>17.094919999999998</v>
      </c>
      <c r="Q826">
        <v>9632</v>
      </c>
    </row>
    <row r="827" spans="1:17" x14ac:dyDescent="0.25">
      <c r="A827" t="s">
        <v>21</v>
      </c>
      <c r="B827">
        <v>42</v>
      </c>
      <c r="C827">
        <v>0.71</v>
      </c>
      <c r="D827">
        <v>2005</v>
      </c>
      <c r="E827" t="s">
        <v>28</v>
      </c>
      <c r="F827">
        <v>2005319</v>
      </c>
      <c r="G827">
        <v>2006110</v>
      </c>
      <c r="H827">
        <v>6344</v>
      </c>
      <c r="I827">
        <v>1107</v>
      </c>
      <c r="J827">
        <v>0</v>
      </c>
      <c r="K827">
        <v>319</v>
      </c>
      <c r="L827">
        <v>0</v>
      </c>
      <c r="M827">
        <v>100</v>
      </c>
      <c r="N827">
        <v>16.744499999999999</v>
      </c>
      <c r="O827">
        <v>3.6973829999999999</v>
      </c>
      <c r="P827">
        <v>15.28586</v>
      </c>
      <c r="Q827">
        <v>25451</v>
      </c>
    </row>
    <row r="828" spans="1:17" x14ac:dyDescent="0.25">
      <c r="A828" t="s">
        <v>21</v>
      </c>
      <c r="B828">
        <v>42</v>
      </c>
      <c r="C828">
        <v>0.71</v>
      </c>
      <c r="D828">
        <v>2006</v>
      </c>
      <c r="E828" t="s">
        <v>28</v>
      </c>
      <c r="F828">
        <v>2006319</v>
      </c>
      <c r="G828">
        <v>2007114</v>
      </c>
      <c r="H828">
        <v>10437</v>
      </c>
      <c r="I828">
        <v>1715</v>
      </c>
      <c r="J828">
        <v>0</v>
      </c>
      <c r="K828">
        <v>343</v>
      </c>
      <c r="L828">
        <v>0</v>
      </c>
      <c r="M828">
        <v>100</v>
      </c>
      <c r="N828">
        <v>16.03782</v>
      </c>
      <c r="O828">
        <v>3.0056989999999999</v>
      </c>
      <c r="P828">
        <v>15.140409999999999</v>
      </c>
      <c r="Q828">
        <v>39442</v>
      </c>
    </row>
    <row r="829" spans="1:17" x14ac:dyDescent="0.25">
      <c r="A829" t="s">
        <v>21</v>
      </c>
      <c r="B829">
        <v>42</v>
      </c>
      <c r="C829">
        <v>0.71</v>
      </c>
      <c r="D829">
        <v>2007</v>
      </c>
      <c r="E829" t="s">
        <v>29</v>
      </c>
      <c r="F829">
        <v>2007319</v>
      </c>
      <c r="G829">
        <v>2008109</v>
      </c>
      <c r="H829">
        <v>2350</v>
      </c>
      <c r="I829">
        <v>387</v>
      </c>
      <c r="J829">
        <v>0</v>
      </c>
      <c r="K829">
        <v>240</v>
      </c>
      <c r="L829">
        <v>0</v>
      </c>
      <c r="M829">
        <v>100</v>
      </c>
      <c r="N829">
        <v>17.046320000000001</v>
      </c>
      <c r="O829">
        <v>2.8047369999999998</v>
      </c>
      <c r="P829">
        <v>15.680529999999999</v>
      </c>
      <c r="Q829">
        <v>8896</v>
      </c>
    </row>
    <row r="830" spans="1:17" x14ac:dyDescent="0.25">
      <c r="A830" t="s">
        <v>21</v>
      </c>
      <c r="B830">
        <v>42</v>
      </c>
      <c r="C830">
        <v>0.71</v>
      </c>
      <c r="D830">
        <v>2008</v>
      </c>
      <c r="E830" t="s">
        <v>29</v>
      </c>
      <c r="F830">
        <v>2008319</v>
      </c>
      <c r="G830">
        <v>2009118</v>
      </c>
      <c r="H830">
        <v>10184</v>
      </c>
      <c r="I830">
        <v>2731</v>
      </c>
      <c r="J830">
        <v>0</v>
      </c>
      <c r="K830">
        <v>372</v>
      </c>
      <c r="L830">
        <v>0</v>
      </c>
      <c r="M830">
        <v>100</v>
      </c>
      <c r="N830">
        <v>15.97448</v>
      </c>
      <c r="O830">
        <v>3.0552090000000001</v>
      </c>
      <c r="P830">
        <v>15.96354</v>
      </c>
      <c r="Q830">
        <v>62809</v>
      </c>
    </row>
    <row r="831" spans="1:17" x14ac:dyDescent="0.25">
      <c r="A831" t="s">
        <v>21</v>
      </c>
      <c r="B831">
        <v>42</v>
      </c>
      <c r="C831">
        <v>0.71</v>
      </c>
      <c r="D831">
        <v>2009</v>
      </c>
      <c r="E831" t="s">
        <v>29</v>
      </c>
      <c r="F831">
        <v>2009319</v>
      </c>
      <c r="G831">
        <v>2010109</v>
      </c>
      <c r="H831">
        <v>14883</v>
      </c>
      <c r="I831">
        <v>4406</v>
      </c>
      <c r="J831">
        <v>0</v>
      </c>
      <c r="K831">
        <v>576</v>
      </c>
      <c r="L831">
        <v>0</v>
      </c>
      <c r="M831">
        <v>100</v>
      </c>
      <c r="N831">
        <v>15.725669999999999</v>
      </c>
      <c r="O831">
        <v>3.8529420000000001</v>
      </c>
      <c r="P831">
        <v>14.732089999999999</v>
      </c>
      <c r="Q831">
        <v>101336</v>
      </c>
    </row>
    <row r="832" spans="1:17" x14ac:dyDescent="0.25">
      <c r="A832" t="s">
        <v>21</v>
      </c>
      <c r="B832">
        <v>42</v>
      </c>
      <c r="C832">
        <v>0.71</v>
      </c>
      <c r="D832">
        <v>2010</v>
      </c>
      <c r="E832" t="s">
        <v>29</v>
      </c>
      <c r="F832">
        <v>2010319</v>
      </c>
      <c r="G832">
        <v>2011109</v>
      </c>
      <c r="H832">
        <v>15062</v>
      </c>
      <c r="I832">
        <v>3307</v>
      </c>
      <c r="J832">
        <v>0</v>
      </c>
      <c r="K832">
        <v>485</v>
      </c>
      <c r="L832">
        <v>0</v>
      </c>
      <c r="M832">
        <v>100</v>
      </c>
      <c r="N832">
        <v>16.445550000000001</v>
      </c>
      <c r="O832">
        <v>3.613089</v>
      </c>
      <c r="P832">
        <v>13.853400000000001</v>
      </c>
      <c r="Q832">
        <v>76067</v>
      </c>
    </row>
    <row r="833" spans="1:17" x14ac:dyDescent="0.25">
      <c r="A833" t="s">
        <v>21</v>
      </c>
      <c r="B833">
        <v>42</v>
      </c>
      <c r="C833">
        <v>0.71</v>
      </c>
      <c r="D833">
        <v>2011</v>
      </c>
      <c r="E833" t="s">
        <v>29</v>
      </c>
      <c r="F833">
        <v>2011319</v>
      </c>
      <c r="G833">
        <v>2012126</v>
      </c>
      <c r="H833">
        <v>5488</v>
      </c>
      <c r="I833">
        <v>1104</v>
      </c>
      <c r="J833">
        <v>0</v>
      </c>
      <c r="K833">
        <v>290</v>
      </c>
      <c r="L833">
        <v>0</v>
      </c>
      <c r="M833">
        <v>100</v>
      </c>
      <c r="N833">
        <v>16.95928</v>
      </c>
      <c r="O833">
        <v>1.072165</v>
      </c>
      <c r="P833">
        <v>16.696909999999999</v>
      </c>
      <c r="Q833">
        <v>25386</v>
      </c>
    </row>
    <row r="834" spans="1:17" x14ac:dyDescent="0.25">
      <c r="A834" t="s">
        <v>21</v>
      </c>
      <c r="B834">
        <v>42</v>
      </c>
      <c r="C834">
        <v>0.71</v>
      </c>
      <c r="D834">
        <v>2012</v>
      </c>
      <c r="E834" t="s">
        <v>29</v>
      </c>
      <c r="F834">
        <v>2012319</v>
      </c>
      <c r="G834">
        <v>2013111</v>
      </c>
      <c r="H834">
        <v>19451</v>
      </c>
      <c r="I834">
        <v>3683</v>
      </c>
      <c r="J834">
        <v>0</v>
      </c>
      <c r="K834">
        <v>593</v>
      </c>
      <c r="L834">
        <v>0</v>
      </c>
      <c r="M834">
        <v>100</v>
      </c>
      <c r="N834">
        <v>15.58564</v>
      </c>
      <c r="O834">
        <v>3.0902560000000001</v>
      </c>
      <c r="P834">
        <v>13.33282</v>
      </c>
      <c r="Q834">
        <v>84718</v>
      </c>
    </row>
    <row r="835" spans="1:17" x14ac:dyDescent="0.25">
      <c r="A835" t="s">
        <v>21</v>
      </c>
      <c r="B835">
        <v>42</v>
      </c>
      <c r="C835">
        <v>0.71</v>
      </c>
      <c r="D835">
        <v>2013</v>
      </c>
      <c r="E835" t="s">
        <v>29</v>
      </c>
      <c r="F835">
        <v>2013319</v>
      </c>
      <c r="G835">
        <v>2014109</v>
      </c>
      <c r="H835">
        <v>9204</v>
      </c>
      <c r="I835">
        <v>3258</v>
      </c>
      <c r="J835">
        <v>0</v>
      </c>
      <c r="K835">
        <v>387</v>
      </c>
      <c r="L835">
        <v>0</v>
      </c>
      <c r="M835">
        <v>100</v>
      </c>
      <c r="N835">
        <v>17.644089999999998</v>
      </c>
      <c r="O835">
        <v>3.2403219999999999</v>
      </c>
      <c r="P835">
        <v>16.205369999999998</v>
      </c>
      <c r="Q835">
        <v>74940</v>
      </c>
    </row>
    <row r="836" spans="1:17" x14ac:dyDescent="0.25">
      <c r="A836" t="s">
        <v>21</v>
      </c>
      <c r="B836">
        <v>42</v>
      </c>
      <c r="C836">
        <v>0.71</v>
      </c>
      <c r="D836">
        <v>2014</v>
      </c>
      <c r="E836" t="s">
        <v>29</v>
      </c>
      <c r="F836">
        <v>2014319</v>
      </c>
      <c r="G836">
        <v>2015113</v>
      </c>
      <c r="H836">
        <v>5332</v>
      </c>
      <c r="I836">
        <v>1487</v>
      </c>
      <c r="J836">
        <v>0</v>
      </c>
      <c r="K836">
        <v>253</v>
      </c>
      <c r="L836">
        <v>0</v>
      </c>
      <c r="M836">
        <v>100</v>
      </c>
      <c r="N836">
        <v>17.543530000000001</v>
      </c>
      <c r="O836">
        <v>2.7569949999999999</v>
      </c>
      <c r="P836">
        <v>15.48601</v>
      </c>
      <c r="Q836">
        <v>34209</v>
      </c>
    </row>
    <row r="837" spans="1:17" x14ac:dyDescent="0.25">
      <c r="A837" t="s">
        <v>21</v>
      </c>
      <c r="B837">
        <v>42</v>
      </c>
      <c r="C837">
        <v>0.71</v>
      </c>
      <c r="D837">
        <v>2015</v>
      </c>
      <c r="E837" t="s">
        <v>29</v>
      </c>
      <c r="F837">
        <v>2015319</v>
      </c>
      <c r="G837">
        <v>2016099</v>
      </c>
      <c r="H837">
        <v>1371</v>
      </c>
      <c r="I837">
        <v>326</v>
      </c>
      <c r="J837">
        <v>0</v>
      </c>
      <c r="K837">
        <v>187</v>
      </c>
      <c r="L837">
        <v>0</v>
      </c>
      <c r="M837">
        <v>100</v>
      </c>
      <c r="N837">
        <v>17.72907</v>
      </c>
      <c r="O837">
        <v>3.4098830000000002</v>
      </c>
      <c r="P837">
        <v>14.97035</v>
      </c>
      <c r="Q837">
        <v>7494</v>
      </c>
    </row>
    <row r="838" spans="1:17" x14ac:dyDescent="0.25">
      <c r="A838" t="s">
        <v>21</v>
      </c>
      <c r="B838">
        <v>42</v>
      </c>
      <c r="C838">
        <v>0.71</v>
      </c>
      <c r="D838">
        <v>2016</v>
      </c>
      <c r="E838" t="s">
        <v>29</v>
      </c>
      <c r="F838">
        <v>2016319</v>
      </c>
      <c r="G838">
        <v>2017108</v>
      </c>
      <c r="H838">
        <v>7396</v>
      </c>
      <c r="I838">
        <v>2276</v>
      </c>
      <c r="J838">
        <v>0</v>
      </c>
      <c r="K838">
        <v>303</v>
      </c>
      <c r="L838">
        <v>0</v>
      </c>
      <c r="M838">
        <v>100</v>
      </c>
      <c r="N838">
        <v>18.0199</v>
      </c>
      <c r="O838">
        <v>2.9854829999999999</v>
      </c>
      <c r="P838">
        <v>15.090859999999999</v>
      </c>
      <c r="Q838">
        <v>52345</v>
      </c>
    </row>
    <row r="839" spans="1:17" x14ac:dyDescent="0.25">
      <c r="A839" t="s">
        <v>21</v>
      </c>
      <c r="B839">
        <v>42</v>
      </c>
      <c r="C839">
        <v>0.71</v>
      </c>
      <c r="D839">
        <v>2017</v>
      </c>
      <c r="E839" t="s">
        <v>29</v>
      </c>
      <c r="F839">
        <v>2017319</v>
      </c>
      <c r="G839">
        <v>2018113</v>
      </c>
      <c r="H839">
        <v>16334</v>
      </c>
      <c r="I839">
        <v>3576</v>
      </c>
      <c r="J839">
        <v>0</v>
      </c>
      <c r="K839">
        <v>443</v>
      </c>
      <c r="L839">
        <v>0</v>
      </c>
      <c r="M839">
        <v>100</v>
      </c>
      <c r="N839">
        <v>16.10369</v>
      </c>
      <c r="O839">
        <v>2.8868420000000001</v>
      </c>
      <c r="P839">
        <v>14.52474</v>
      </c>
      <c r="Q839">
        <v>82238</v>
      </c>
    </row>
    <row r="840" spans="1:17" x14ac:dyDescent="0.25">
      <c r="A840" t="s">
        <v>21</v>
      </c>
      <c r="B840">
        <v>42</v>
      </c>
      <c r="C840">
        <v>0.71</v>
      </c>
      <c r="D840">
        <v>2018</v>
      </c>
      <c r="E840" t="s">
        <v>29</v>
      </c>
      <c r="F840">
        <v>2018319</v>
      </c>
      <c r="G840">
        <v>2019113</v>
      </c>
      <c r="H840">
        <v>8206</v>
      </c>
      <c r="I840">
        <v>2115</v>
      </c>
      <c r="J840">
        <v>0</v>
      </c>
      <c r="K840">
        <v>357</v>
      </c>
      <c r="L840">
        <v>0</v>
      </c>
      <c r="M840">
        <v>100</v>
      </c>
      <c r="N840">
        <v>17.977319999999999</v>
      </c>
      <c r="O840">
        <v>1.6731959999999999</v>
      </c>
      <c r="P840">
        <v>15.99227</v>
      </c>
      <c r="Q840">
        <v>48638</v>
      </c>
    </row>
    <row r="841" spans="1:17" x14ac:dyDescent="0.25">
      <c r="A841" t="s">
        <v>21</v>
      </c>
      <c r="B841">
        <v>42</v>
      </c>
      <c r="C841">
        <v>0.71</v>
      </c>
      <c r="D841">
        <v>2019</v>
      </c>
      <c r="E841" t="s">
        <v>29</v>
      </c>
      <c r="F841">
        <v>2019319</v>
      </c>
      <c r="G841">
        <v>2020098</v>
      </c>
      <c r="H841">
        <v>14808</v>
      </c>
      <c r="I841">
        <v>4024</v>
      </c>
      <c r="J841">
        <v>0</v>
      </c>
      <c r="K841">
        <v>489</v>
      </c>
      <c r="L841">
        <v>0</v>
      </c>
      <c r="M841">
        <v>100</v>
      </c>
      <c r="N841">
        <v>18.081150000000001</v>
      </c>
      <c r="O841">
        <v>4.137696</v>
      </c>
      <c r="P841">
        <v>15.445029999999999</v>
      </c>
      <c r="Q841">
        <v>92554</v>
      </c>
    </row>
    <row r="842" spans="1:17" x14ac:dyDescent="0.25">
      <c r="A842" t="s">
        <v>21</v>
      </c>
      <c r="B842">
        <v>43</v>
      </c>
      <c r="C842">
        <v>0.79</v>
      </c>
      <c r="D842">
        <v>2000</v>
      </c>
      <c r="E842" t="s">
        <v>28</v>
      </c>
      <c r="F842">
        <v>2000289</v>
      </c>
      <c r="G842">
        <v>2001083</v>
      </c>
      <c r="H842">
        <v>16503</v>
      </c>
      <c r="I842">
        <v>4170</v>
      </c>
      <c r="J842">
        <v>0</v>
      </c>
      <c r="K842">
        <v>423</v>
      </c>
      <c r="L842">
        <v>0</v>
      </c>
      <c r="M842">
        <v>100</v>
      </c>
      <c r="N842">
        <v>17.014089999999999</v>
      </c>
      <c r="O842">
        <v>4.0074899999999998</v>
      </c>
      <c r="P842">
        <v>14.421150000000001</v>
      </c>
      <c r="Q842">
        <v>116749</v>
      </c>
    </row>
    <row r="843" spans="1:17" x14ac:dyDescent="0.25">
      <c r="A843" t="s">
        <v>21</v>
      </c>
      <c r="B843">
        <v>43</v>
      </c>
      <c r="C843">
        <v>0.79</v>
      </c>
      <c r="D843">
        <v>2001</v>
      </c>
      <c r="E843" t="s">
        <v>28</v>
      </c>
      <c r="F843">
        <v>2001289</v>
      </c>
      <c r="G843">
        <v>2002091</v>
      </c>
      <c r="H843">
        <v>12321</v>
      </c>
      <c r="I843">
        <v>2726</v>
      </c>
      <c r="J843">
        <v>0</v>
      </c>
      <c r="K843">
        <v>342</v>
      </c>
      <c r="L843">
        <v>0</v>
      </c>
      <c r="M843">
        <v>100</v>
      </c>
      <c r="N843">
        <v>16.794689999999999</v>
      </c>
      <c r="O843">
        <v>3.0106190000000002</v>
      </c>
      <c r="P843">
        <v>14.24071</v>
      </c>
      <c r="Q843">
        <v>76319</v>
      </c>
    </row>
    <row r="844" spans="1:17" x14ac:dyDescent="0.25">
      <c r="A844" t="s">
        <v>21</v>
      </c>
      <c r="B844">
        <v>43</v>
      </c>
      <c r="C844">
        <v>0.79</v>
      </c>
      <c r="D844">
        <v>2002</v>
      </c>
      <c r="E844" t="s">
        <v>28</v>
      </c>
      <c r="F844">
        <v>2002289</v>
      </c>
      <c r="G844">
        <v>2003084</v>
      </c>
      <c r="H844">
        <v>16040</v>
      </c>
      <c r="I844">
        <v>3631</v>
      </c>
      <c r="J844">
        <v>0</v>
      </c>
      <c r="K844">
        <v>416</v>
      </c>
      <c r="L844">
        <v>0</v>
      </c>
      <c r="M844">
        <v>100</v>
      </c>
      <c r="N844">
        <v>16.639189999999999</v>
      </c>
      <c r="O844">
        <v>3.8657659999999998</v>
      </c>
      <c r="P844">
        <v>14.256309999999999</v>
      </c>
      <c r="Q844">
        <v>101672</v>
      </c>
    </row>
    <row r="845" spans="1:17" x14ac:dyDescent="0.25">
      <c r="A845" t="s">
        <v>21</v>
      </c>
      <c r="B845">
        <v>43</v>
      </c>
      <c r="C845">
        <v>0.79</v>
      </c>
      <c r="D845">
        <v>2003</v>
      </c>
      <c r="E845" t="s">
        <v>28</v>
      </c>
      <c r="F845">
        <v>2003289</v>
      </c>
      <c r="G845">
        <v>2004078</v>
      </c>
      <c r="H845">
        <v>11254</v>
      </c>
      <c r="I845">
        <v>1450</v>
      </c>
      <c r="J845">
        <v>0</v>
      </c>
      <c r="K845">
        <v>385</v>
      </c>
      <c r="L845">
        <v>0</v>
      </c>
      <c r="M845">
        <v>100</v>
      </c>
      <c r="N845">
        <v>15.88978</v>
      </c>
      <c r="O845">
        <v>3.5791089999999999</v>
      </c>
      <c r="P845">
        <v>13.77956</v>
      </c>
      <c r="Q845">
        <v>40587</v>
      </c>
    </row>
    <row r="846" spans="1:17" x14ac:dyDescent="0.25">
      <c r="A846" t="s">
        <v>21</v>
      </c>
      <c r="B846">
        <v>43</v>
      </c>
      <c r="C846">
        <v>0.79</v>
      </c>
      <c r="D846">
        <v>2004</v>
      </c>
      <c r="E846" t="s">
        <v>28</v>
      </c>
      <c r="F846">
        <v>2004289</v>
      </c>
      <c r="G846">
        <v>2005100</v>
      </c>
      <c r="H846">
        <v>3072</v>
      </c>
      <c r="I846">
        <v>1080</v>
      </c>
      <c r="J846">
        <v>0</v>
      </c>
      <c r="K846">
        <v>207</v>
      </c>
      <c r="L846">
        <v>0</v>
      </c>
      <c r="M846">
        <v>100</v>
      </c>
      <c r="N846">
        <v>16.69378</v>
      </c>
      <c r="O846">
        <v>1.7937799999999999</v>
      </c>
      <c r="P846">
        <v>16.02966</v>
      </c>
      <c r="Q846">
        <v>30241</v>
      </c>
    </row>
    <row r="847" spans="1:17" x14ac:dyDescent="0.25">
      <c r="A847" t="s">
        <v>21</v>
      </c>
      <c r="B847">
        <v>43</v>
      </c>
      <c r="C847">
        <v>0.79</v>
      </c>
      <c r="D847">
        <v>2005</v>
      </c>
      <c r="E847" t="s">
        <v>28</v>
      </c>
      <c r="F847">
        <v>2005289</v>
      </c>
      <c r="G847">
        <v>2006092</v>
      </c>
      <c r="H847">
        <v>6970</v>
      </c>
      <c r="I847">
        <v>1700</v>
      </c>
      <c r="J847">
        <v>0</v>
      </c>
      <c r="K847">
        <v>319</v>
      </c>
      <c r="L847">
        <v>0</v>
      </c>
      <c r="M847">
        <v>100</v>
      </c>
      <c r="N847">
        <v>17.03125</v>
      </c>
      <c r="O847">
        <v>3.781698</v>
      </c>
      <c r="P847">
        <v>14.741960000000001</v>
      </c>
      <c r="Q847">
        <v>47601</v>
      </c>
    </row>
    <row r="848" spans="1:17" x14ac:dyDescent="0.25">
      <c r="A848" t="s">
        <v>21</v>
      </c>
      <c r="B848">
        <v>43</v>
      </c>
      <c r="C848">
        <v>0.79</v>
      </c>
      <c r="D848">
        <v>2006</v>
      </c>
      <c r="E848" t="s">
        <v>28</v>
      </c>
      <c r="F848">
        <v>2006289</v>
      </c>
      <c r="G848">
        <v>2007085</v>
      </c>
      <c r="H848">
        <v>9084</v>
      </c>
      <c r="I848">
        <v>1417</v>
      </c>
      <c r="J848">
        <v>0</v>
      </c>
      <c r="K848">
        <v>343</v>
      </c>
      <c r="L848">
        <v>0</v>
      </c>
      <c r="M848">
        <v>100</v>
      </c>
      <c r="N848">
        <v>16.134450000000001</v>
      </c>
      <c r="O848">
        <v>3.0703339999999999</v>
      </c>
      <c r="P848">
        <v>14.74689</v>
      </c>
      <c r="Q848">
        <v>39687</v>
      </c>
    </row>
    <row r="849" spans="1:17" x14ac:dyDescent="0.25">
      <c r="A849" t="s">
        <v>21</v>
      </c>
      <c r="B849">
        <v>43</v>
      </c>
      <c r="C849">
        <v>0.79</v>
      </c>
      <c r="D849">
        <v>2007</v>
      </c>
      <c r="E849" t="s">
        <v>28</v>
      </c>
      <c r="F849">
        <v>2007289</v>
      </c>
      <c r="G849">
        <v>2008084</v>
      </c>
      <c r="H849">
        <v>2087</v>
      </c>
      <c r="I849">
        <v>354</v>
      </c>
      <c r="J849">
        <v>0</v>
      </c>
      <c r="K849">
        <v>240</v>
      </c>
      <c r="L849">
        <v>0</v>
      </c>
      <c r="M849">
        <v>100</v>
      </c>
      <c r="N849">
        <v>17.21161</v>
      </c>
      <c r="O849">
        <v>2.6428569999999998</v>
      </c>
      <c r="P849">
        <v>15.112500000000001</v>
      </c>
      <c r="Q849">
        <v>9899</v>
      </c>
    </row>
    <row r="850" spans="1:17" x14ac:dyDescent="0.25">
      <c r="A850" t="s">
        <v>21</v>
      </c>
      <c r="B850">
        <v>43</v>
      </c>
      <c r="C850">
        <v>0.79</v>
      </c>
      <c r="D850">
        <v>2008</v>
      </c>
      <c r="E850" t="s">
        <v>29</v>
      </c>
      <c r="F850">
        <v>2008289</v>
      </c>
      <c r="G850">
        <v>2009096</v>
      </c>
      <c r="H850">
        <v>14040</v>
      </c>
      <c r="I850">
        <v>5077</v>
      </c>
      <c r="J850">
        <v>0</v>
      </c>
      <c r="K850">
        <v>372</v>
      </c>
      <c r="L850">
        <v>0</v>
      </c>
      <c r="M850">
        <v>100</v>
      </c>
      <c r="N850">
        <v>15.9146</v>
      </c>
      <c r="O850">
        <v>3.239824</v>
      </c>
      <c r="P850">
        <v>15.07522</v>
      </c>
      <c r="Q850">
        <v>142145</v>
      </c>
    </row>
    <row r="851" spans="1:17" x14ac:dyDescent="0.25">
      <c r="A851" t="s">
        <v>21</v>
      </c>
      <c r="B851">
        <v>43</v>
      </c>
      <c r="C851">
        <v>0.79</v>
      </c>
      <c r="D851">
        <v>2009</v>
      </c>
      <c r="E851" t="s">
        <v>29</v>
      </c>
      <c r="F851">
        <v>2009289</v>
      </c>
      <c r="G851">
        <v>2010085</v>
      </c>
      <c r="H851">
        <v>15751</v>
      </c>
      <c r="I851">
        <v>3219</v>
      </c>
      <c r="J851">
        <v>0</v>
      </c>
      <c r="K851">
        <v>576</v>
      </c>
      <c r="L851">
        <v>0</v>
      </c>
      <c r="M851">
        <v>100</v>
      </c>
      <c r="N851">
        <v>16.64865</v>
      </c>
      <c r="O851">
        <v>4.06982</v>
      </c>
      <c r="P851">
        <v>14.480180000000001</v>
      </c>
      <c r="Q851">
        <v>90122</v>
      </c>
    </row>
    <row r="852" spans="1:17" x14ac:dyDescent="0.25">
      <c r="A852" t="s">
        <v>21</v>
      </c>
      <c r="B852">
        <v>43</v>
      </c>
      <c r="C852">
        <v>0.79</v>
      </c>
      <c r="D852">
        <v>2010</v>
      </c>
      <c r="E852" t="s">
        <v>29</v>
      </c>
      <c r="F852">
        <v>2010289</v>
      </c>
      <c r="G852">
        <v>2011087</v>
      </c>
      <c r="H852">
        <v>19280</v>
      </c>
      <c r="I852">
        <v>5448</v>
      </c>
      <c r="J852">
        <v>0</v>
      </c>
      <c r="K852">
        <v>485</v>
      </c>
      <c r="L852">
        <v>0</v>
      </c>
      <c r="M852">
        <v>100</v>
      </c>
      <c r="N852">
        <v>16.569189999999999</v>
      </c>
      <c r="O852">
        <v>3.5401790000000002</v>
      </c>
      <c r="P852">
        <v>13.56697</v>
      </c>
      <c r="Q852">
        <v>152548</v>
      </c>
    </row>
    <row r="853" spans="1:17" x14ac:dyDescent="0.25">
      <c r="A853" t="s">
        <v>21</v>
      </c>
      <c r="B853">
        <v>43</v>
      </c>
      <c r="C853">
        <v>0.79</v>
      </c>
      <c r="D853">
        <v>2011</v>
      </c>
      <c r="E853" t="s">
        <v>29</v>
      </c>
      <c r="F853">
        <v>2011289</v>
      </c>
      <c r="G853">
        <v>2012097</v>
      </c>
      <c r="H853">
        <v>5238</v>
      </c>
      <c r="I853">
        <v>1067</v>
      </c>
      <c r="J853">
        <v>0</v>
      </c>
      <c r="K853">
        <v>290</v>
      </c>
      <c r="L853">
        <v>0</v>
      </c>
      <c r="M853">
        <v>100</v>
      </c>
      <c r="N853">
        <v>17.013570000000001</v>
      </c>
      <c r="O853">
        <v>1.6800900000000001</v>
      </c>
      <c r="P853">
        <v>15.777380000000001</v>
      </c>
      <c r="Q853">
        <v>29883</v>
      </c>
    </row>
    <row r="854" spans="1:17" x14ac:dyDescent="0.25">
      <c r="A854" t="s">
        <v>21</v>
      </c>
      <c r="B854">
        <v>43</v>
      </c>
      <c r="C854">
        <v>0.79</v>
      </c>
      <c r="D854">
        <v>2012</v>
      </c>
      <c r="E854" t="s">
        <v>29</v>
      </c>
      <c r="F854">
        <v>2012289</v>
      </c>
      <c r="G854">
        <v>2013087</v>
      </c>
      <c r="H854">
        <v>23613</v>
      </c>
      <c r="I854">
        <v>5132</v>
      </c>
      <c r="J854">
        <v>0</v>
      </c>
      <c r="K854">
        <v>593</v>
      </c>
      <c r="L854">
        <v>0</v>
      </c>
      <c r="M854">
        <v>100</v>
      </c>
      <c r="N854">
        <v>15.646459999999999</v>
      </c>
      <c r="O854">
        <v>3.6951329999999998</v>
      </c>
      <c r="P854">
        <v>12.538489999999999</v>
      </c>
      <c r="Q854">
        <v>143690</v>
      </c>
    </row>
    <row r="855" spans="1:17" x14ac:dyDescent="0.25">
      <c r="A855" t="s">
        <v>21</v>
      </c>
      <c r="B855">
        <v>43</v>
      </c>
      <c r="C855">
        <v>0.79</v>
      </c>
      <c r="D855">
        <v>2013</v>
      </c>
      <c r="E855" t="s">
        <v>29</v>
      </c>
      <c r="F855">
        <v>2013289</v>
      </c>
      <c r="G855">
        <v>2014088</v>
      </c>
      <c r="H855">
        <v>12229</v>
      </c>
      <c r="I855">
        <v>3735</v>
      </c>
      <c r="J855">
        <v>0</v>
      </c>
      <c r="K855">
        <v>387</v>
      </c>
      <c r="L855">
        <v>0</v>
      </c>
      <c r="M855">
        <v>100</v>
      </c>
      <c r="N855">
        <v>17.735420000000001</v>
      </c>
      <c r="O855">
        <v>3.0215239999999999</v>
      </c>
      <c r="P855">
        <v>15.4565</v>
      </c>
      <c r="Q855">
        <v>104587</v>
      </c>
    </row>
    <row r="856" spans="1:17" x14ac:dyDescent="0.25">
      <c r="A856" t="s">
        <v>21</v>
      </c>
      <c r="B856">
        <v>43</v>
      </c>
      <c r="C856">
        <v>0.79</v>
      </c>
      <c r="D856">
        <v>2014</v>
      </c>
      <c r="E856" t="s">
        <v>29</v>
      </c>
      <c r="F856">
        <v>2014289</v>
      </c>
      <c r="G856">
        <v>2015091</v>
      </c>
      <c r="H856">
        <v>6374</v>
      </c>
      <c r="I856">
        <v>2326</v>
      </c>
      <c r="J856">
        <v>0</v>
      </c>
      <c r="K856">
        <v>253</v>
      </c>
      <c r="L856">
        <v>0</v>
      </c>
      <c r="M856">
        <v>100</v>
      </c>
      <c r="N856">
        <v>17.985779999999998</v>
      </c>
      <c r="O856">
        <v>3.088889</v>
      </c>
      <c r="P856">
        <v>15.04711</v>
      </c>
      <c r="Q856">
        <v>65126</v>
      </c>
    </row>
    <row r="857" spans="1:17" x14ac:dyDescent="0.25">
      <c r="A857" t="s">
        <v>21</v>
      </c>
      <c r="B857">
        <v>43</v>
      </c>
      <c r="C857">
        <v>0.79</v>
      </c>
      <c r="D857">
        <v>2015</v>
      </c>
      <c r="E857" t="s">
        <v>29</v>
      </c>
      <c r="F857">
        <v>2015289</v>
      </c>
      <c r="G857">
        <v>2016072</v>
      </c>
      <c r="H857">
        <v>1553</v>
      </c>
      <c r="I857">
        <v>286</v>
      </c>
      <c r="J857">
        <v>0</v>
      </c>
      <c r="K857">
        <v>187</v>
      </c>
      <c r="L857">
        <v>0</v>
      </c>
      <c r="M857">
        <v>100</v>
      </c>
      <c r="N857">
        <v>18.041260000000001</v>
      </c>
      <c r="O857">
        <v>3.1071749999999998</v>
      </c>
      <c r="P857">
        <v>14.04753</v>
      </c>
      <c r="Q857">
        <v>8007</v>
      </c>
    </row>
    <row r="858" spans="1:17" x14ac:dyDescent="0.25">
      <c r="A858" t="s">
        <v>21</v>
      </c>
      <c r="B858">
        <v>43</v>
      </c>
      <c r="C858">
        <v>0.79</v>
      </c>
      <c r="D858">
        <v>2016</v>
      </c>
      <c r="E858" t="s">
        <v>29</v>
      </c>
      <c r="F858">
        <v>2016289</v>
      </c>
      <c r="G858">
        <v>2017089</v>
      </c>
      <c r="H858">
        <v>8889</v>
      </c>
      <c r="I858">
        <v>3339</v>
      </c>
      <c r="J858">
        <v>0</v>
      </c>
      <c r="K858">
        <v>303</v>
      </c>
      <c r="L858">
        <v>0</v>
      </c>
      <c r="M858">
        <v>100</v>
      </c>
      <c r="N858">
        <v>18.135840000000002</v>
      </c>
      <c r="O858">
        <v>3.1066370000000001</v>
      </c>
      <c r="P858">
        <v>14.33319</v>
      </c>
      <c r="Q858">
        <v>93486</v>
      </c>
    </row>
    <row r="859" spans="1:17" x14ac:dyDescent="0.25">
      <c r="A859" t="s">
        <v>21</v>
      </c>
      <c r="B859">
        <v>43</v>
      </c>
      <c r="C859">
        <v>0.79</v>
      </c>
      <c r="D859">
        <v>2017</v>
      </c>
      <c r="E859" t="s">
        <v>29</v>
      </c>
      <c r="F859">
        <v>2017289</v>
      </c>
      <c r="G859">
        <v>2018091</v>
      </c>
      <c r="H859">
        <v>17147</v>
      </c>
      <c r="I859">
        <v>4301</v>
      </c>
      <c r="J859">
        <v>0</v>
      </c>
      <c r="K859">
        <v>443</v>
      </c>
      <c r="L859">
        <v>0</v>
      </c>
      <c r="M859">
        <v>100</v>
      </c>
      <c r="N859">
        <v>16.86054</v>
      </c>
      <c r="O859">
        <v>2.695516</v>
      </c>
      <c r="P859">
        <v>14.37758</v>
      </c>
      <c r="Q859">
        <v>120440</v>
      </c>
    </row>
    <row r="860" spans="1:17" x14ac:dyDescent="0.25">
      <c r="A860" t="s">
        <v>21</v>
      </c>
      <c r="B860">
        <v>43</v>
      </c>
      <c r="C860">
        <v>0.79</v>
      </c>
      <c r="D860">
        <v>2018</v>
      </c>
      <c r="E860" t="s">
        <v>29</v>
      </c>
      <c r="F860">
        <v>2018289</v>
      </c>
      <c r="G860">
        <v>2019085</v>
      </c>
      <c r="H860">
        <v>9952</v>
      </c>
      <c r="I860">
        <v>1921</v>
      </c>
      <c r="J860">
        <v>0</v>
      </c>
      <c r="K860">
        <v>357</v>
      </c>
      <c r="L860">
        <v>0</v>
      </c>
      <c r="M860">
        <v>100</v>
      </c>
      <c r="N860">
        <v>17.765329999999999</v>
      </c>
      <c r="O860">
        <v>2.165778</v>
      </c>
      <c r="P860">
        <v>15.05111</v>
      </c>
      <c r="Q860">
        <v>53784</v>
      </c>
    </row>
    <row r="861" spans="1:17" x14ac:dyDescent="0.25">
      <c r="A861" t="s">
        <v>21</v>
      </c>
      <c r="B861">
        <v>43</v>
      </c>
      <c r="C861">
        <v>0.79</v>
      </c>
      <c r="D861">
        <v>2019</v>
      </c>
      <c r="E861" t="s">
        <v>29</v>
      </c>
      <c r="F861">
        <v>2019289</v>
      </c>
      <c r="G861">
        <v>2020067</v>
      </c>
      <c r="H861">
        <v>15857</v>
      </c>
      <c r="I861">
        <v>3906</v>
      </c>
      <c r="J861">
        <v>0</v>
      </c>
      <c r="K861">
        <v>489</v>
      </c>
      <c r="L861">
        <v>0</v>
      </c>
      <c r="M861">
        <v>100</v>
      </c>
      <c r="N861">
        <v>17.770530000000001</v>
      </c>
      <c r="O861">
        <v>4.4549110000000001</v>
      </c>
      <c r="P861">
        <v>14.824999999999999</v>
      </c>
      <c r="Q861">
        <v>109381</v>
      </c>
    </row>
    <row r="862" spans="1:17" x14ac:dyDescent="0.25">
      <c r="A862" t="s">
        <v>21</v>
      </c>
      <c r="B862">
        <v>44</v>
      </c>
      <c r="C862">
        <v>0.63</v>
      </c>
      <c r="D862">
        <v>2000</v>
      </c>
      <c r="E862" t="s">
        <v>28</v>
      </c>
      <c r="F862">
        <v>2000289</v>
      </c>
      <c r="G862">
        <v>2001083</v>
      </c>
      <c r="H862">
        <v>14159</v>
      </c>
      <c r="I862">
        <v>3951</v>
      </c>
      <c r="J862">
        <v>0</v>
      </c>
      <c r="K862">
        <v>423</v>
      </c>
      <c r="L862">
        <v>0</v>
      </c>
      <c r="M862">
        <v>75</v>
      </c>
      <c r="N862">
        <v>17.014089999999999</v>
      </c>
      <c r="O862">
        <v>4.0074899999999998</v>
      </c>
      <c r="P862">
        <v>14.421150000000001</v>
      </c>
      <c r="Q862">
        <v>110627</v>
      </c>
    </row>
    <row r="863" spans="1:17" x14ac:dyDescent="0.25">
      <c r="A863" t="s">
        <v>21</v>
      </c>
      <c r="B863">
        <v>44</v>
      </c>
      <c r="C863">
        <v>0.63</v>
      </c>
      <c r="D863">
        <v>2001</v>
      </c>
      <c r="E863" t="s">
        <v>28</v>
      </c>
      <c r="F863">
        <v>2001289</v>
      </c>
      <c r="G863">
        <v>2002091</v>
      </c>
      <c r="H863">
        <v>11911</v>
      </c>
      <c r="I863">
        <v>2606</v>
      </c>
      <c r="J863">
        <v>0</v>
      </c>
      <c r="K863">
        <v>342</v>
      </c>
      <c r="L863">
        <v>0</v>
      </c>
      <c r="M863">
        <v>75</v>
      </c>
      <c r="N863">
        <v>16.794689999999999</v>
      </c>
      <c r="O863">
        <v>3.0106190000000002</v>
      </c>
      <c r="P863">
        <v>14.24071</v>
      </c>
      <c r="Q863">
        <v>72969</v>
      </c>
    </row>
    <row r="864" spans="1:17" x14ac:dyDescent="0.25">
      <c r="A864" t="s">
        <v>21</v>
      </c>
      <c r="B864">
        <v>44</v>
      </c>
      <c r="C864">
        <v>0.63</v>
      </c>
      <c r="D864">
        <v>2002</v>
      </c>
      <c r="E864" t="s">
        <v>28</v>
      </c>
      <c r="F864">
        <v>2002289</v>
      </c>
      <c r="G864">
        <v>2003084</v>
      </c>
      <c r="H864">
        <v>15997</v>
      </c>
      <c r="I864">
        <v>3581</v>
      </c>
      <c r="J864">
        <v>0</v>
      </c>
      <c r="K864">
        <v>416</v>
      </c>
      <c r="L864">
        <v>0</v>
      </c>
      <c r="M864">
        <v>75</v>
      </c>
      <c r="N864">
        <v>16.639189999999999</v>
      </c>
      <c r="O864">
        <v>3.8657659999999998</v>
      </c>
      <c r="P864">
        <v>14.256309999999999</v>
      </c>
      <c r="Q864">
        <v>100272</v>
      </c>
    </row>
    <row r="865" spans="1:17" x14ac:dyDescent="0.25">
      <c r="A865" t="s">
        <v>21</v>
      </c>
      <c r="B865">
        <v>44</v>
      </c>
      <c r="C865">
        <v>0.63</v>
      </c>
      <c r="D865">
        <v>2003</v>
      </c>
      <c r="E865" t="s">
        <v>28</v>
      </c>
      <c r="F865">
        <v>2003289</v>
      </c>
      <c r="G865">
        <v>2004078</v>
      </c>
      <c r="H865">
        <v>9552</v>
      </c>
      <c r="I865">
        <v>1223</v>
      </c>
      <c r="J865">
        <v>0</v>
      </c>
      <c r="K865">
        <v>385</v>
      </c>
      <c r="L865">
        <v>0</v>
      </c>
      <c r="M865">
        <v>75</v>
      </c>
      <c r="N865">
        <v>15.88978</v>
      </c>
      <c r="O865">
        <v>3.5791089999999999</v>
      </c>
      <c r="P865">
        <v>13.77956</v>
      </c>
      <c r="Q865">
        <v>34251</v>
      </c>
    </row>
    <row r="866" spans="1:17" x14ac:dyDescent="0.25">
      <c r="A866" t="s">
        <v>21</v>
      </c>
      <c r="B866">
        <v>44</v>
      </c>
      <c r="C866">
        <v>0.63</v>
      </c>
      <c r="D866">
        <v>2004</v>
      </c>
      <c r="E866" t="s">
        <v>28</v>
      </c>
      <c r="F866">
        <v>2004289</v>
      </c>
      <c r="G866">
        <v>2005100</v>
      </c>
      <c r="H866">
        <v>3048</v>
      </c>
      <c r="I866">
        <v>1070</v>
      </c>
      <c r="J866">
        <v>0</v>
      </c>
      <c r="K866">
        <v>207</v>
      </c>
      <c r="L866">
        <v>0</v>
      </c>
      <c r="M866">
        <v>75</v>
      </c>
      <c r="N866">
        <v>16.69378</v>
      </c>
      <c r="O866">
        <v>1.7937799999999999</v>
      </c>
      <c r="P866">
        <v>16.02966</v>
      </c>
      <c r="Q866">
        <v>29969</v>
      </c>
    </row>
    <row r="867" spans="1:17" x14ac:dyDescent="0.25">
      <c r="A867" t="s">
        <v>21</v>
      </c>
      <c r="B867">
        <v>44</v>
      </c>
      <c r="C867">
        <v>0.63</v>
      </c>
      <c r="D867">
        <v>2005</v>
      </c>
      <c r="E867" t="s">
        <v>28</v>
      </c>
      <c r="F867">
        <v>2005289</v>
      </c>
      <c r="G867">
        <v>2006092</v>
      </c>
      <c r="H867">
        <v>6847</v>
      </c>
      <c r="I867">
        <v>1665</v>
      </c>
      <c r="J867">
        <v>0</v>
      </c>
      <c r="K867">
        <v>319</v>
      </c>
      <c r="L867">
        <v>0</v>
      </c>
      <c r="M867">
        <v>75</v>
      </c>
      <c r="N867">
        <v>17.03125</v>
      </c>
      <c r="O867">
        <v>3.781698</v>
      </c>
      <c r="P867">
        <v>14.741960000000001</v>
      </c>
      <c r="Q867">
        <v>46629</v>
      </c>
    </row>
    <row r="868" spans="1:17" x14ac:dyDescent="0.25">
      <c r="A868" t="s">
        <v>21</v>
      </c>
      <c r="B868">
        <v>44</v>
      </c>
      <c r="C868">
        <v>0.63</v>
      </c>
      <c r="D868">
        <v>2006</v>
      </c>
      <c r="E868" t="s">
        <v>28</v>
      </c>
      <c r="F868">
        <v>2006289</v>
      </c>
      <c r="G868">
        <v>2007085</v>
      </c>
      <c r="H868">
        <v>9086</v>
      </c>
      <c r="I868">
        <v>1420</v>
      </c>
      <c r="J868">
        <v>0</v>
      </c>
      <c r="K868">
        <v>343</v>
      </c>
      <c r="L868">
        <v>0</v>
      </c>
      <c r="M868">
        <v>75</v>
      </c>
      <c r="N868">
        <v>16.134450000000001</v>
      </c>
      <c r="O868">
        <v>3.0703339999999999</v>
      </c>
      <c r="P868">
        <v>14.74689</v>
      </c>
      <c r="Q868">
        <v>39757</v>
      </c>
    </row>
    <row r="869" spans="1:17" x14ac:dyDescent="0.25">
      <c r="A869" t="s">
        <v>21</v>
      </c>
      <c r="B869">
        <v>44</v>
      </c>
      <c r="C869">
        <v>0.63</v>
      </c>
      <c r="D869">
        <v>2007</v>
      </c>
      <c r="E869" t="s">
        <v>28</v>
      </c>
      <c r="F869">
        <v>2007289</v>
      </c>
      <c r="G869">
        <v>2008084</v>
      </c>
      <c r="H869">
        <v>2066</v>
      </c>
      <c r="I869">
        <v>347</v>
      </c>
      <c r="J869">
        <v>0</v>
      </c>
      <c r="K869">
        <v>240</v>
      </c>
      <c r="L869">
        <v>0</v>
      </c>
      <c r="M869">
        <v>75</v>
      </c>
      <c r="N869">
        <v>17.21161</v>
      </c>
      <c r="O869">
        <v>2.6428569999999998</v>
      </c>
      <c r="P869">
        <v>15.112500000000001</v>
      </c>
      <c r="Q869">
        <v>9719</v>
      </c>
    </row>
    <row r="870" spans="1:17" x14ac:dyDescent="0.25">
      <c r="A870" t="s">
        <v>21</v>
      </c>
      <c r="B870">
        <v>44</v>
      </c>
      <c r="C870">
        <v>0.63</v>
      </c>
      <c r="D870">
        <v>2008</v>
      </c>
      <c r="E870" t="s">
        <v>29</v>
      </c>
      <c r="F870">
        <v>2008289</v>
      </c>
      <c r="G870">
        <v>2009096</v>
      </c>
      <c r="H870">
        <v>14028</v>
      </c>
      <c r="I870">
        <v>5075</v>
      </c>
      <c r="J870">
        <v>0</v>
      </c>
      <c r="K870">
        <v>372</v>
      </c>
      <c r="L870">
        <v>0</v>
      </c>
      <c r="M870">
        <v>75</v>
      </c>
      <c r="N870">
        <v>15.9146</v>
      </c>
      <c r="O870">
        <v>3.239824</v>
      </c>
      <c r="P870">
        <v>15.07522</v>
      </c>
      <c r="Q870">
        <v>142093</v>
      </c>
    </row>
    <row r="871" spans="1:17" x14ac:dyDescent="0.25">
      <c r="A871" t="s">
        <v>21</v>
      </c>
      <c r="B871">
        <v>44</v>
      </c>
      <c r="C871">
        <v>0.63</v>
      </c>
      <c r="D871">
        <v>2009</v>
      </c>
      <c r="E871" t="s">
        <v>29</v>
      </c>
      <c r="F871">
        <v>2009289</v>
      </c>
      <c r="G871">
        <v>2010085</v>
      </c>
      <c r="H871">
        <v>14296</v>
      </c>
      <c r="I871">
        <v>2756</v>
      </c>
      <c r="J871">
        <v>0</v>
      </c>
      <c r="K871">
        <v>576</v>
      </c>
      <c r="L871">
        <v>0</v>
      </c>
      <c r="M871">
        <v>75</v>
      </c>
      <c r="N871">
        <v>16.64865</v>
      </c>
      <c r="O871">
        <v>4.06982</v>
      </c>
      <c r="P871">
        <v>14.480180000000001</v>
      </c>
      <c r="Q871">
        <v>77165</v>
      </c>
    </row>
    <row r="872" spans="1:17" x14ac:dyDescent="0.25">
      <c r="A872" t="s">
        <v>21</v>
      </c>
      <c r="B872">
        <v>44</v>
      </c>
      <c r="C872">
        <v>0.63</v>
      </c>
      <c r="D872">
        <v>2010</v>
      </c>
      <c r="E872" t="s">
        <v>29</v>
      </c>
      <c r="F872">
        <v>2010289</v>
      </c>
      <c r="G872">
        <v>2011087</v>
      </c>
      <c r="H872">
        <v>17925</v>
      </c>
      <c r="I872">
        <v>4939</v>
      </c>
      <c r="J872">
        <v>0</v>
      </c>
      <c r="K872">
        <v>485</v>
      </c>
      <c r="L872">
        <v>0</v>
      </c>
      <c r="M872">
        <v>75</v>
      </c>
      <c r="N872">
        <v>16.569189999999999</v>
      </c>
      <c r="O872">
        <v>3.5401790000000002</v>
      </c>
      <c r="P872">
        <v>13.56697</v>
      </c>
      <c r="Q872">
        <v>138290</v>
      </c>
    </row>
    <row r="873" spans="1:17" x14ac:dyDescent="0.25">
      <c r="A873" t="s">
        <v>21</v>
      </c>
      <c r="B873">
        <v>44</v>
      </c>
      <c r="C873">
        <v>0.63</v>
      </c>
      <c r="D873">
        <v>2011</v>
      </c>
      <c r="E873" t="s">
        <v>29</v>
      </c>
      <c r="F873">
        <v>2011289</v>
      </c>
      <c r="G873">
        <v>2012097</v>
      </c>
      <c r="H873">
        <v>5086</v>
      </c>
      <c r="I873">
        <v>1033</v>
      </c>
      <c r="J873">
        <v>0</v>
      </c>
      <c r="K873">
        <v>290</v>
      </c>
      <c r="L873">
        <v>0</v>
      </c>
      <c r="M873">
        <v>75</v>
      </c>
      <c r="N873">
        <v>17.013570000000001</v>
      </c>
      <c r="O873">
        <v>1.6800900000000001</v>
      </c>
      <c r="P873">
        <v>15.777380000000001</v>
      </c>
      <c r="Q873">
        <v>28925</v>
      </c>
    </row>
    <row r="874" spans="1:17" x14ac:dyDescent="0.25">
      <c r="A874" t="s">
        <v>21</v>
      </c>
      <c r="B874">
        <v>44</v>
      </c>
      <c r="C874">
        <v>0.63</v>
      </c>
      <c r="D874">
        <v>2012</v>
      </c>
      <c r="E874" t="s">
        <v>29</v>
      </c>
      <c r="F874">
        <v>2012289</v>
      </c>
      <c r="G874">
        <v>2013087</v>
      </c>
      <c r="H874">
        <v>22278</v>
      </c>
      <c r="I874">
        <v>5128</v>
      </c>
      <c r="J874">
        <v>0</v>
      </c>
      <c r="K874">
        <v>593</v>
      </c>
      <c r="L874">
        <v>0</v>
      </c>
      <c r="M874">
        <v>75</v>
      </c>
      <c r="N874">
        <v>15.646459999999999</v>
      </c>
      <c r="O874">
        <v>3.6951329999999998</v>
      </c>
      <c r="P874">
        <v>12.538489999999999</v>
      </c>
      <c r="Q874">
        <v>143571</v>
      </c>
    </row>
    <row r="875" spans="1:17" x14ac:dyDescent="0.25">
      <c r="A875" t="s">
        <v>21</v>
      </c>
      <c r="B875">
        <v>44</v>
      </c>
      <c r="C875">
        <v>0.63</v>
      </c>
      <c r="D875">
        <v>2013</v>
      </c>
      <c r="E875" t="s">
        <v>29</v>
      </c>
      <c r="F875">
        <v>2013289</v>
      </c>
      <c r="G875">
        <v>2014088</v>
      </c>
      <c r="H875">
        <v>12060</v>
      </c>
      <c r="I875">
        <v>3741</v>
      </c>
      <c r="J875">
        <v>0</v>
      </c>
      <c r="K875">
        <v>387</v>
      </c>
      <c r="L875">
        <v>0</v>
      </c>
      <c r="M875">
        <v>75</v>
      </c>
      <c r="N875">
        <v>17.735420000000001</v>
      </c>
      <c r="O875">
        <v>3.0215239999999999</v>
      </c>
      <c r="P875">
        <v>15.4565</v>
      </c>
      <c r="Q875">
        <v>104737</v>
      </c>
    </row>
    <row r="876" spans="1:17" x14ac:dyDescent="0.25">
      <c r="A876" t="s">
        <v>21</v>
      </c>
      <c r="B876">
        <v>44</v>
      </c>
      <c r="C876">
        <v>0.63</v>
      </c>
      <c r="D876">
        <v>2014</v>
      </c>
      <c r="E876" t="s">
        <v>29</v>
      </c>
      <c r="F876">
        <v>2014289</v>
      </c>
      <c r="G876">
        <v>2015091</v>
      </c>
      <c r="H876">
        <v>6078</v>
      </c>
      <c r="I876">
        <v>2213</v>
      </c>
      <c r="J876">
        <v>0</v>
      </c>
      <c r="K876">
        <v>253</v>
      </c>
      <c r="L876">
        <v>0</v>
      </c>
      <c r="M876">
        <v>75</v>
      </c>
      <c r="N876">
        <v>17.985779999999998</v>
      </c>
      <c r="O876">
        <v>3.088889</v>
      </c>
      <c r="P876">
        <v>15.04711</v>
      </c>
      <c r="Q876">
        <v>61966</v>
      </c>
    </row>
    <row r="877" spans="1:17" x14ac:dyDescent="0.25">
      <c r="A877" t="s">
        <v>21</v>
      </c>
      <c r="B877">
        <v>44</v>
      </c>
      <c r="C877">
        <v>0.63</v>
      </c>
      <c r="D877">
        <v>2015</v>
      </c>
      <c r="E877" t="s">
        <v>29</v>
      </c>
      <c r="F877">
        <v>2015289</v>
      </c>
      <c r="G877">
        <v>2016072</v>
      </c>
      <c r="H877">
        <v>1484</v>
      </c>
      <c r="I877">
        <v>267</v>
      </c>
      <c r="J877">
        <v>0</v>
      </c>
      <c r="K877">
        <v>187</v>
      </c>
      <c r="L877">
        <v>0</v>
      </c>
      <c r="M877">
        <v>75</v>
      </c>
      <c r="N877">
        <v>18.041260000000001</v>
      </c>
      <c r="O877">
        <v>3.1071749999999998</v>
      </c>
      <c r="P877">
        <v>14.04753</v>
      </c>
      <c r="Q877">
        <v>7467</v>
      </c>
    </row>
    <row r="878" spans="1:17" x14ac:dyDescent="0.25">
      <c r="A878" t="s">
        <v>21</v>
      </c>
      <c r="B878">
        <v>44</v>
      </c>
      <c r="C878">
        <v>0.63</v>
      </c>
      <c r="D878">
        <v>2016</v>
      </c>
      <c r="E878" t="s">
        <v>29</v>
      </c>
      <c r="F878">
        <v>2016289</v>
      </c>
      <c r="G878">
        <v>2017089</v>
      </c>
      <c r="H878">
        <v>8720</v>
      </c>
      <c r="I878">
        <v>3285</v>
      </c>
      <c r="J878">
        <v>0</v>
      </c>
      <c r="K878">
        <v>303</v>
      </c>
      <c r="L878">
        <v>0</v>
      </c>
      <c r="M878">
        <v>75</v>
      </c>
      <c r="N878">
        <v>18.135840000000002</v>
      </c>
      <c r="O878">
        <v>3.1066370000000001</v>
      </c>
      <c r="P878">
        <v>14.33319</v>
      </c>
      <c r="Q878">
        <v>91973</v>
      </c>
    </row>
    <row r="879" spans="1:17" x14ac:dyDescent="0.25">
      <c r="A879" t="s">
        <v>21</v>
      </c>
      <c r="B879">
        <v>44</v>
      </c>
      <c r="C879">
        <v>0.63</v>
      </c>
      <c r="D879">
        <v>2017</v>
      </c>
      <c r="E879" t="s">
        <v>29</v>
      </c>
      <c r="F879">
        <v>2017289</v>
      </c>
      <c r="G879">
        <v>2018091</v>
      </c>
      <c r="H879">
        <v>16687</v>
      </c>
      <c r="I879">
        <v>4118</v>
      </c>
      <c r="J879">
        <v>0</v>
      </c>
      <c r="K879">
        <v>443</v>
      </c>
      <c r="L879">
        <v>0</v>
      </c>
      <c r="M879">
        <v>75</v>
      </c>
      <c r="N879">
        <v>16.86054</v>
      </c>
      <c r="O879">
        <v>2.695516</v>
      </c>
      <c r="P879">
        <v>14.37758</v>
      </c>
      <c r="Q879">
        <v>115312</v>
      </c>
    </row>
    <row r="880" spans="1:17" x14ac:dyDescent="0.25">
      <c r="A880" t="s">
        <v>21</v>
      </c>
      <c r="B880">
        <v>44</v>
      </c>
      <c r="C880">
        <v>0.63</v>
      </c>
      <c r="D880">
        <v>2018</v>
      </c>
      <c r="E880" t="s">
        <v>29</v>
      </c>
      <c r="F880">
        <v>2018289</v>
      </c>
      <c r="G880">
        <v>2019085</v>
      </c>
      <c r="H880">
        <v>8847</v>
      </c>
      <c r="I880">
        <v>1737</v>
      </c>
      <c r="J880">
        <v>0</v>
      </c>
      <c r="K880">
        <v>357</v>
      </c>
      <c r="L880">
        <v>0</v>
      </c>
      <c r="M880">
        <v>75</v>
      </c>
      <c r="N880">
        <v>17.765329999999999</v>
      </c>
      <c r="O880">
        <v>2.165778</v>
      </c>
      <c r="P880">
        <v>15.05111</v>
      </c>
      <c r="Q880">
        <v>48623</v>
      </c>
    </row>
    <row r="881" spans="1:17" x14ac:dyDescent="0.25">
      <c r="A881" t="s">
        <v>21</v>
      </c>
      <c r="B881">
        <v>44</v>
      </c>
      <c r="C881">
        <v>0.63</v>
      </c>
      <c r="D881">
        <v>2019</v>
      </c>
      <c r="E881" t="s">
        <v>29</v>
      </c>
      <c r="F881">
        <v>2019289</v>
      </c>
      <c r="G881">
        <v>2020067</v>
      </c>
      <c r="H881">
        <v>15357</v>
      </c>
      <c r="I881">
        <v>3736</v>
      </c>
      <c r="J881">
        <v>0</v>
      </c>
      <c r="K881">
        <v>489</v>
      </c>
      <c r="L881">
        <v>0</v>
      </c>
      <c r="M881">
        <v>75</v>
      </c>
      <c r="N881">
        <v>17.770530000000001</v>
      </c>
      <c r="O881">
        <v>4.4549110000000001</v>
      </c>
      <c r="P881">
        <v>14.824999999999999</v>
      </c>
      <c r="Q881">
        <v>104606</v>
      </c>
    </row>
    <row r="882" spans="1:17" x14ac:dyDescent="0.25">
      <c r="A882" t="s">
        <v>21</v>
      </c>
      <c r="B882">
        <v>45</v>
      </c>
      <c r="C882">
        <v>0.87</v>
      </c>
      <c r="D882">
        <v>2000</v>
      </c>
      <c r="E882" t="s">
        <v>28</v>
      </c>
      <c r="F882">
        <v>2000303</v>
      </c>
      <c r="G882">
        <v>2001092</v>
      </c>
      <c r="H882">
        <v>17087</v>
      </c>
      <c r="I882">
        <v>4585</v>
      </c>
      <c r="J882">
        <v>0</v>
      </c>
      <c r="K882">
        <v>423</v>
      </c>
      <c r="L882">
        <v>0</v>
      </c>
      <c r="M882">
        <v>75</v>
      </c>
      <c r="N882">
        <v>16.632539999999999</v>
      </c>
      <c r="O882">
        <v>3.7358500000000001</v>
      </c>
      <c r="P882">
        <v>14.55142</v>
      </c>
      <c r="Q882">
        <v>96286</v>
      </c>
    </row>
    <row r="883" spans="1:17" x14ac:dyDescent="0.25">
      <c r="A883" t="s">
        <v>21</v>
      </c>
      <c r="B883">
        <v>45</v>
      </c>
      <c r="C883">
        <v>0.87</v>
      </c>
      <c r="D883">
        <v>2001</v>
      </c>
      <c r="E883" t="s">
        <v>28</v>
      </c>
      <c r="F883">
        <v>2001303</v>
      </c>
      <c r="G883">
        <v>2002103</v>
      </c>
      <c r="H883">
        <v>10095</v>
      </c>
      <c r="I883">
        <v>2416</v>
      </c>
      <c r="J883">
        <v>0</v>
      </c>
      <c r="K883">
        <v>342</v>
      </c>
      <c r="L883">
        <v>0</v>
      </c>
      <c r="M883">
        <v>75</v>
      </c>
      <c r="N883">
        <v>16.39573</v>
      </c>
      <c r="O883">
        <v>2.6668240000000001</v>
      </c>
      <c r="P883">
        <v>14.35877</v>
      </c>
      <c r="Q883">
        <v>50728</v>
      </c>
    </row>
    <row r="884" spans="1:17" x14ac:dyDescent="0.25">
      <c r="A884" t="s">
        <v>21</v>
      </c>
      <c r="B884">
        <v>45</v>
      </c>
      <c r="C884">
        <v>0.87</v>
      </c>
      <c r="D884">
        <v>2002</v>
      </c>
      <c r="E884" t="s">
        <v>28</v>
      </c>
      <c r="F884">
        <v>2002303</v>
      </c>
      <c r="G884">
        <v>2003098</v>
      </c>
      <c r="H884">
        <v>15003</v>
      </c>
      <c r="I884">
        <v>4308</v>
      </c>
      <c r="J884">
        <v>0</v>
      </c>
      <c r="K884">
        <v>416</v>
      </c>
      <c r="L884">
        <v>0</v>
      </c>
      <c r="M884">
        <v>75</v>
      </c>
      <c r="N884">
        <v>16.145910000000001</v>
      </c>
      <c r="O884">
        <v>3.681632</v>
      </c>
      <c r="P884">
        <v>14.509180000000001</v>
      </c>
      <c r="Q884">
        <v>90475</v>
      </c>
    </row>
    <row r="885" spans="1:17" x14ac:dyDescent="0.25">
      <c r="A885" t="s">
        <v>21</v>
      </c>
      <c r="B885">
        <v>45</v>
      </c>
      <c r="C885">
        <v>0.87</v>
      </c>
      <c r="D885">
        <v>2003</v>
      </c>
      <c r="E885" t="s">
        <v>28</v>
      </c>
      <c r="F885">
        <v>2003303</v>
      </c>
      <c r="G885">
        <v>2004093</v>
      </c>
      <c r="H885">
        <v>11451</v>
      </c>
      <c r="I885">
        <v>1473</v>
      </c>
      <c r="J885">
        <v>0</v>
      </c>
      <c r="K885">
        <v>385</v>
      </c>
      <c r="L885">
        <v>0</v>
      </c>
      <c r="M885">
        <v>75</v>
      </c>
      <c r="N885">
        <v>15.85238</v>
      </c>
      <c r="O885">
        <v>3.3038090000000002</v>
      </c>
      <c r="P885">
        <v>14.05762</v>
      </c>
      <c r="Q885">
        <v>30932</v>
      </c>
    </row>
    <row r="886" spans="1:17" x14ac:dyDescent="0.25">
      <c r="A886" t="s">
        <v>21</v>
      </c>
      <c r="B886">
        <v>45</v>
      </c>
      <c r="C886">
        <v>0.87</v>
      </c>
      <c r="D886">
        <v>2004</v>
      </c>
      <c r="E886" t="s">
        <v>28</v>
      </c>
      <c r="F886">
        <v>2004303</v>
      </c>
      <c r="G886">
        <v>2005111</v>
      </c>
      <c r="H886">
        <v>2523</v>
      </c>
      <c r="I886">
        <v>727</v>
      </c>
      <c r="J886">
        <v>0</v>
      </c>
      <c r="K886">
        <v>207</v>
      </c>
      <c r="L886">
        <v>0</v>
      </c>
      <c r="M886">
        <v>75</v>
      </c>
      <c r="N886">
        <v>16.651219999999999</v>
      </c>
      <c r="O886">
        <v>1.7019519999999999</v>
      </c>
      <c r="P886">
        <v>16.16488</v>
      </c>
      <c r="Q886">
        <v>15276</v>
      </c>
    </row>
    <row r="887" spans="1:17" x14ac:dyDescent="0.25">
      <c r="A887" t="s">
        <v>21</v>
      </c>
      <c r="B887">
        <v>45</v>
      </c>
      <c r="C887">
        <v>0.87</v>
      </c>
      <c r="D887">
        <v>2005</v>
      </c>
      <c r="E887" t="s">
        <v>28</v>
      </c>
      <c r="F887">
        <v>2005303</v>
      </c>
      <c r="G887">
        <v>2006099</v>
      </c>
      <c r="H887">
        <v>6733</v>
      </c>
      <c r="I887">
        <v>1482</v>
      </c>
      <c r="J887">
        <v>0</v>
      </c>
      <c r="K887">
        <v>319</v>
      </c>
      <c r="L887">
        <v>0</v>
      </c>
      <c r="M887">
        <v>75</v>
      </c>
      <c r="N887">
        <v>16.55686</v>
      </c>
      <c r="O887">
        <v>3.6661769999999998</v>
      </c>
      <c r="P887">
        <v>14.862740000000001</v>
      </c>
      <c r="Q887">
        <v>31125</v>
      </c>
    </row>
    <row r="888" spans="1:17" x14ac:dyDescent="0.25">
      <c r="A888" t="s">
        <v>21</v>
      </c>
      <c r="B888">
        <v>45</v>
      </c>
      <c r="C888">
        <v>0.87</v>
      </c>
      <c r="D888">
        <v>2006</v>
      </c>
      <c r="E888" t="s">
        <v>28</v>
      </c>
      <c r="F888">
        <v>2006303</v>
      </c>
      <c r="G888">
        <v>2007102</v>
      </c>
      <c r="H888">
        <v>10382</v>
      </c>
      <c r="I888">
        <v>1811</v>
      </c>
      <c r="J888">
        <v>0</v>
      </c>
      <c r="K888">
        <v>343</v>
      </c>
      <c r="L888">
        <v>0</v>
      </c>
      <c r="M888">
        <v>75</v>
      </c>
      <c r="N888">
        <v>16.141539999999999</v>
      </c>
      <c r="O888">
        <v>3.0053139999999998</v>
      </c>
      <c r="P888">
        <v>14.84299</v>
      </c>
      <c r="Q888">
        <v>38039</v>
      </c>
    </row>
    <row r="889" spans="1:17" x14ac:dyDescent="0.25">
      <c r="A889" t="s">
        <v>21</v>
      </c>
      <c r="B889">
        <v>45</v>
      </c>
      <c r="C889">
        <v>0.87</v>
      </c>
      <c r="D889">
        <v>2007</v>
      </c>
      <c r="E889" t="s">
        <v>28</v>
      </c>
      <c r="F889">
        <v>2007303</v>
      </c>
      <c r="G889">
        <v>2008097</v>
      </c>
      <c r="H889">
        <v>2067</v>
      </c>
      <c r="I889">
        <v>244</v>
      </c>
      <c r="J889">
        <v>0</v>
      </c>
      <c r="K889">
        <v>240</v>
      </c>
      <c r="L889">
        <v>0</v>
      </c>
      <c r="M889">
        <v>75</v>
      </c>
      <c r="N889">
        <v>17.12679</v>
      </c>
      <c r="O889">
        <v>2.5267940000000002</v>
      </c>
      <c r="P889">
        <v>15.28373</v>
      </c>
      <c r="Q889">
        <v>5124</v>
      </c>
    </row>
    <row r="890" spans="1:17" x14ac:dyDescent="0.25">
      <c r="A890" t="s">
        <v>21</v>
      </c>
      <c r="B890">
        <v>45</v>
      </c>
      <c r="C890">
        <v>0.87</v>
      </c>
      <c r="D890">
        <v>2008</v>
      </c>
      <c r="E890" t="s">
        <v>28</v>
      </c>
      <c r="F890">
        <v>2008303</v>
      </c>
      <c r="G890">
        <v>2009108</v>
      </c>
      <c r="H890">
        <v>12469</v>
      </c>
      <c r="I890">
        <v>3158</v>
      </c>
      <c r="J890">
        <v>0</v>
      </c>
      <c r="K890">
        <v>372</v>
      </c>
      <c r="L890">
        <v>0</v>
      </c>
      <c r="M890">
        <v>75</v>
      </c>
      <c r="N890">
        <v>15.854290000000001</v>
      </c>
      <c r="O890">
        <v>2.875238</v>
      </c>
      <c r="P890">
        <v>15.55762</v>
      </c>
      <c r="Q890">
        <v>66326</v>
      </c>
    </row>
    <row r="891" spans="1:17" x14ac:dyDescent="0.25">
      <c r="A891" t="s">
        <v>21</v>
      </c>
      <c r="B891">
        <v>45</v>
      </c>
      <c r="C891">
        <v>0.87</v>
      </c>
      <c r="D891">
        <v>2009</v>
      </c>
      <c r="E891" t="s">
        <v>28</v>
      </c>
      <c r="F891">
        <v>2009303</v>
      </c>
      <c r="G891">
        <v>2010097</v>
      </c>
      <c r="H891">
        <v>16429</v>
      </c>
      <c r="I891">
        <v>3601</v>
      </c>
      <c r="J891">
        <v>0</v>
      </c>
      <c r="K891">
        <v>576</v>
      </c>
      <c r="L891">
        <v>0</v>
      </c>
      <c r="M891">
        <v>75</v>
      </c>
      <c r="N891">
        <v>16.120090000000001</v>
      </c>
      <c r="O891">
        <v>3.8861249999999998</v>
      </c>
      <c r="P891">
        <v>14.41531</v>
      </c>
      <c r="Q891">
        <v>75618</v>
      </c>
    </row>
    <row r="892" spans="1:17" x14ac:dyDescent="0.25">
      <c r="A892" t="s">
        <v>21</v>
      </c>
      <c r="B892">
        <v>45</v>
      </c>
      <c r="C892">
        <v>0.87</v>
      </c>
      <c r="D892">
        <v>2010</v>
      </c>
      <c r="E892" t="s">
        <v>29</v>
      </c>
      <c r="F892">
        <v>2010303</v>
      </c>
      <c r="G892">
        <v>2011099</v>
      </c>
      <c r="H892">
        <v>16643</v>
      </c>
      <c r="I892">
        <v>4737</v>
      </c>
      <c r="J892">
        <v>0</v>
      </c>
      <c r="K892">
        <v>485</v>
      </c>
      <c r="L892">
        <v>0</v>
      </c>
      <c r="M892">
        <v>75</v>
      </c>
      <c r="N892">
        <v>16.328569999999999</v>
      </c>
      <c r="O892">
        <v>3.5457139999999998</v>
      </c>
      <c r="P892">
        <v>13.549049999999999</v>
      </c>
      <c r="Q892">
        <v>99479</v>
      </c>
    </row>
    <row r="893" spans="1:17" x14ac:dyDescent="0.25">
      <c r="A893" t="s">
        <v>21</v>
      </c>
      <c r="B893">
        <v>45</v>
      </c>
      <c r="C893">
        <v>0.87</v>
      </c>
      <c r="D893">
        <v>2011</v>
      </c>
      <c r="E893" t="s">
        <v>29</v>
      </c>
      <c r="F893">
        <v>2011303</v>
      </c>
      <c r="G893">
        <v>2012112</v>
      </c>
      <c r="H893">
        <v>4847</v>
      </c>
      <c r="I893">
        <v>980</v>
      </c>
      <c r="J893">
        <v>0</v>
      </c>
      <c r="K893">
        <v>290</v>
      </c>
      <c r="L893">
        <v>0</v>
      </c>
      <c r="M893">
        <v>75</v>
      </c>
      <c r="N893">
        <v>16.92464</v>
      </c>
      <c r="O893">
        <v>1.4369670000000001</v>
      </c>
      <c r="P893">
        <v>16.077729999999999</v>
      </c>
      <c r="Q893">
        <v>20571</v>
      </c>
    </row>
    <row r="894" spans="1:17" x14ac:dyDescent="0.25">
      <c r="A894" t="s">
        <v>21</v>
      </c>
      <c r="B894">
        <v>45</v>
      </c>
      <c r="C894">
        <v>0.87</v>
      </c>
      <c r="D894">
        <v>2012</v>
      </c>
      <c r="E894" t="s">
        <v>29</v>
      </c>
      <c r="F894">
        <v>2012303</v>
      </c>
      <c r="G894">
        <v>2013103</v>
      </c>
      <c r="H894">
        <v>22912</v>
      </c>
      <c r="I894">
        <v>4702</v>
      </c>
      <c r="J894">
        <v>0</v>
      </c>
      <c r="K894">
        <v>593</v>
      </c>
      <c r="L894">
        <v>0</v>
      </c>
      <c r="M894">
        <v>75</v>
      </c>
      <c r="N894">
        <v>15.5654</v>
      </c>
      <c r="O894">
        <v>3.4113730000000002</v>
      </c>
      <c r="P894">
        <v>12.76872</v>
      </c>
      <c r="Q894">
        <v>98740</v>
      </c>
    </row>
    <row r="895" spans="1:17" x14ac:dyDescent="0.25">
      <c r="A895" t="s">
        <v>21</v>
      </c>
      <c r="B895">
        <v>45</v>
      </c>
      <c r="C895">
        <v>0.87</v>
      </c>
      <c r="D895">
        <v>2013</v>
      </c>
      <c r="E895" t="s">
        <v>29</v>
      </c>
      <c r="F895">
        <v>2013303</v>
      </c>
      <c r="G895">
        <v>2014101</v>
      </c>
      <c r="H895">
        <v>10682</v>
      </c>
      <c r="I895">
        <v>3986</v>
      </c>
      <c r="J895">
        <v>0</v>
      </c>
      <c r="K895">
        <v>387</v>
      </c>
      <c r="L895">
        <v>0</v>
      </c>
      <c r="M895">
        <v>75</v>
      </c>
      <c r="N895">
        <v>17.27854</v>
      </c>
      <c r="O895">
        <v>2.858536</v>
      </c>
      <c r="P895">
        <v>15.71073</v>
      </c>
      <c r="Q895">
        <v>83697</v>
      </c>
    </row>
    <row r="896" spans="1:17" x14ac:dyDescent="0.25">
      <c r="A896" t="s">
        <v>21</v>
      </c>
      <c r="B896">
        <v>45</v>
      </c>
      <c r="C896">
        <v>0.87</v>
      </c>
      <c r="D896">
        <v>2014</v>
      </c>
      <c r="E896" t="s">
        <v>29</v>
      </c>
      <c r="F896">
        <v>2014303</v>
      </c>
      <c r="G896">
        <v>2015102</v>
      </c>
      <c r="H896">
        <v>6122</v>
      </c>
      <c r="I896">
        <v>2212</v>
      </c>
      <c r="J896">
        <v>0</v>
      </c>
      <c r="K896">
        <v>253</v>
      </c>
      <c r="L896">
        <v>0</v>
      </c>
      <c r="M896">
        <v>75</v>
      </c>
      <c r="N896">
        <v>17.465859999999999</v>
      </c>
      <c r="O896">
        <v>2.8390240000000002</v>
      </c>
      <c r="P896">
        <v>15.170730000000001</v>
      </c>
      <c r="Q896">
        <v>46448</v>
      </c>
    </row>
    <row r="897" spans="1:17" x14ac:dyDescent="0.25">
      <c r="A897" t="s">
        <v>21</v>
      </c>
      <c r="B897">
        <v>45</v>
      </c>
      <c r="C897">
        <v>0.87</v>
      </c>
      <c r="D897">
        <v>2015</v>
      </c>
      <c r="E897" t="s">
        <v>29</v>
      </c>
      <c r="F897">
        <v>2015303</v>
      </c>
      <c r="G897">
        <v>2016091</v>
      </c>
      <c r="H897">
        <v>1257</v>
      </c>
      <c r="I897">
        <v>316</v>
      </c>
      <c r="J897">
        <v>0</v>
      </c>
      <c r="K897">
        <v>187</v>
      </c>
      <c r="L897">
        <v>0</v>
      </c>
      <c r="M897">
        <v>75</v>
      </c>
      <c r="N897">
        <v>17.94285</v>
      </c>
      <c r="O897">
        <v>2.9128560000000001</v>
      </c>
      <c r="P897">
        <v>14.29142</v>
      </c>
      <c r="Q897">
        <v>6645</v>
      </c>
    </row>
    <row r="898" spans="1:17" x14ac:dyDescent="0.25">
      <c r="A898" t="s">
        <v>21</v>
      </c>
      <c r="B898">
        <v>45</v>
      </c>
      <c r="C898">
        <v>0.87</v>
      </c>
      <c r="D898">
        <v>2016</v>
      </c>
      <c r="E898" t="s">
        <v>29</v>
      </c>
      <c r="F898">
        <v>2016303</v>
      </c>
      <c r="G898">
        <v>2017098</v>
      </c>
      <c r="H898">
        <v>8288</v>
      </c>
      <c r="I898">
        <v>3090</v>
      </c>
      <c r="J898">
        <v>0</v>
      </c>
      <c r="K898">
        <v>303</v>
      </c>
      <c r="L898">
        <v>0</v>
      </c>
      <c r="M898">
        <v>75</v>
      </c>
      <c r="N898">
        <v>17.790050000000001</v>
      </c>
      <c r="O898">
        <v>2.8164169999999999</v>
      </c>
      <c r="P898">
        <v>14.62388</v>
      </c>
      <c r="Q898">
        <v>64881</v>
      </c>
    </row>
    <row r="899" spans="1:17" x14ac:dyDescent="0.25">
      <c r="A899" t="s">
        <v>21</v>
      </c>
      <c r="B899">
        <v>45</v>
      </c>
      <c r="C899">
        <v>0.87</v>
      </c>
      <c r="D899">
        <v>2017</v>
      </c>
      <c r="E899" t="s">
        <v>29</v>
      </c>
      <c r="F899">
        <v>2017303</v>
      </c>
      <c r="G899">
        <v>2018101</v>
      </c>
      <c r="H899">
        <v>16217</v>
      </c>
      <c r="I899">
        <v>4044</v>
      </c>
      <c r="J899">
        <v>0</v>
      </c>
      <c r="K899">
        <v>443</v>
      </c>
      <c r="L899">
        <v>0</v>
      </c>
      <c r="M899">
        <v>75</v>
      </c>
      <c r="N899">
        <v>16.353809999999999</v>
      </c>
      <c r="O899">
        <v>2.519047</v>
      </c>
      <c r="P899">
        <v>14.389530000000001</v>
      </c>
      <c r="Q899">
        <v>84925</v>
      </c>
    </row>
    <row r="900" spans="1:17" x14ac:dyDescent="0.25">
      <c r="A900" t="s">
        <v>21</v>
      </c>
      <c r="B900">
        <v>45</v>
      </c>
      <c r="C900">
        <v>0.87</v>
      </c>
      <c r="D900">
        <v>2018</v>
      </c>
      <c r="E900" t="s">
        <v>29</v>
      </c>
      <c r="F900">
        <v>2018303</v>
      </c>
      <c r="G900">
        <v>2019099</v>
      </c>
      <c r="H900">
        <v>9189</v>
      </c>
      <c r="I900">
        <v>2022</v>
      </c>
      <c r="J900">
        <v>0</v>
      </c>
      <c r="K900">
        <v>357</v>
      </c>
      <c r="L900">
        <v>0</v>
      </c>
      <c r="M900">
        <v>75</v>
      </c>
      <c r="N900">
        <v>17.804300000000001</v>
      </c>
      <c r="O900">
        <v>1.9306220000000001</v>
      </c>
      <c r="P900">
        <v>15.41244</v>
      </c>
      <c r="Q900">
        <v>42463</v>
      </c>
    </row>
    <row r="901" spans="1:17" x14ac:dyDescent="0.25">
      <c r="A901" t="s">
        <v>21</v>
      </c>
      <c r="B901">
        <v>45</v>
      </c>
      <c r="C901">
        <v>0.87</v>
      </c>
      <c r="D901">
        <v>2019</v>
      </c>
      <c r="E901" t="s">
        <v>29</v>
      </c>
      <c r="F901">
        <v>2019303</v>
      </c>
      <c r="G901">
        <v>2020083</v>
      </c>
      <c r="H901">
        <v>16562</v>
      </c>
      <c r="I901">
        <v>3645</v>
      </c>
      <c r="J901">
        <v>0</v>
      </c>
      <c r="K901">
        <v>489</v>
      </c>
      <c r="L901">
        <v>0</v>
      </c>
      <c r="M901">
        <v>75</v>
      </c>
      <c r="N901">
        <v>17.615639999999999</v>
      </c>
      <c r="O901">
        <v>4.2881520000000002</v>
      </c>
      <c r="P901">
        <v>14.93365</v>
      </c>
      <c r="Q901">
        <v>76554</v>
      </c>
    </row>
    <row r="902" spans="1:17" x14ac:dyDescent="0.25">
      <c r="A902" t="s">
        <v>21</v>
      </c>
      <c r="B902">
        <v>46</v>
      </c>
      <c r="C902">
        <v>0.85</v>
      </c>
      <c r="D902">
        <v>2000</v>
      </c>
      <c r="E902" t="s">
        <v>28</v>
      </c>
      <c r="F902">
        <v>2000319</v>
      </c>
      <c r="G902">
        <v>2001102</v>
      </c>
      <c r="H902">
        <v>15825</v>
      </c>
      <c r="I902">
        <v>3651</v>
      </c>
      <c r="J902">
        <v>0</v>
      </c>
      <c r="K902">
        <v>423</v>
      </c>
      <c r="L902">
        <v>0</v>
      </c>
      <c r="M902">
        <v>75</v>
      </c>
      <c r="N902">
        <v>17.028790000000001</v>
      </c>
      <c r="O902">
        <v>3.8162310000000002</v>
      </c>
      <c r="P902">
        <v>15.203139999999999</v>
      </c>
      <c r="Q902">
        <v>105888</v>
      </c>
    </row>
    <row r="903" spans="1:17" x14ac:dyDescent="0.25">
      <c r="A903" t="s">
        <v>21</v>
      </c>
      <c r="B903">
        <v>46</v>
      </c>
      <c r="C903">
        <v>0.85</v>
      </c>
      <c r="D903">
        <v>2001</v>
      </c>
      <c r="E903" t="s">
        <v>28</v>
      </c>
      <c r="F903">
        <v>2001319</v>
      </c>
      <c r="G903">
        <v>2002114</v>
      </c>
      <c r="H903">
        <v>8044</v>
      </c>
      <c r="I903">
        <v>1780</v>
      </c>
      <c r="J903">
        <v>0</v>
      </c>
      <c r="K903">
        <v>342</v>
      </c>
      <c r="L903">
        <v>0</v>
      </c>
      <c r="M903">
        <v>75</v>
      </c>
      <c r="N903">
        <v>16.767890000000001</v>
      </c>
      <c r="O903">
        <v>2.6294729999999999</v>
      </c>
      <c r="P903">
        <v>14.99263</v>
      </c>
      <c r="Q903">
        <v>51628</v>
      </c>
    </row>
    <row r="904" spans="1:17" x14ac:dyDescent="0.25">
      <c r="A904" t="s">
        <v>21</v>
      </c>
      <c r="B904">
        <v>46</v>
      </c>
      <c r="C904">
        <v>0.85</v>
      </c>
      <c r="D904">
        <v>2002</v>
      </c>
      <c r="E904" t="s">
        <v>28</v>
      </c>
      <c r="F904">
        <v>2002319</v>
      </c>
      <c r="G904">
        <v>2003112</v>
      </c>
      <c r="H904">
        <v>12692</v>
      </c>
      <c r="I904">
        <v>3168</v>
      </c>
      <c r="J904">
        <v>0</v>
      </c>
      <c r="K904">
        <v>416</v>
      </c>
      <c r="L904">
        <v>0</v>
      </c>
      <c r="M904">
        <v>75</v>
      </c>
      <c r="N904">
        <v>16.192740000000001</v>
      </c>
      <c r="O904">
        <v>3.6756470000000001</v>
      </c>
      <c r="P904">
        <v>14.57306</v>
      </c>
      <c r="Q904">
        <v>91879</v>
      </c>
    </row>
    <row r="905" spans="1:17" x14ac:dyDescent="0.25">
      <c r="A905" t="s">
        <v>21</v>
      </c>
      <c r="B905">
        <v>46</v>
      </c>
      <c r="C905">
        <v>0.85</v>
      </c>
      <c r="D905">
        <v>2003</v>
      </c>
      <c r="E905" t="s">
        <v>28</v>
      </c>
      <c r="F905">
        <v>2003319</v>
      </c>
      <c r="G905">
        <v>2004111</v>
      </c>
      <c r="H905">
        <v>10639</v>
      </c>
      <c r="I905">
        <v>1619</v>
      </c>
      <c r="J905">
        <v>0</v>
      </c>
      <c r="K905">
        <v>385</v>
      </c>
      <c r="L905">
        <v>0</v>
      </c>
      <c r="M905">
        <v>75</v>
      </c>
      <c r="N905">
        <v>15.78969</v>
      </c>
      <c r="O905">
        <v>3.1077319999999999</v>
      </c>
      <c r="P905">
        <v>14.49691</v>
      </c>
      <c r="Q905">
        <v>46959</v>
      </c>
    </row>
    <row r="906" spans="1:17" x14ac:dyDescent="0.25">
      <c r="A906" t="s">
        <v>21</v>
      </c>
      <c r="B906">
        <v>46</v>
      </c>
      <c r="C906">
        <v>0.85</v>
      </c>
      <c r="D906">
        <v>2004</v>
      </c>
      <c r="E906" t="s">
        <v>28</v>
      </c>
      <c r="F906">
        <v>2004319</v>
      </c>
      <c r="G906">
        <v>2005123</v>
      </c>
      <c r="H906">
        <v>2154</v>
      </c>
      <c r="I906">
        <v>410</v>
      </c>
      <c r="J906">
        <v>0</v>
      </c>
      <c r="K906">
        <v>207</v>
      </c>
      <c r="L906">
        <v>0</v>
      </c>
      <c r="M906">
        <v>75</v>
      </c>
      <c r="N906">
        <v>16.883610000000001</v>
      </c>
      <c r="O906">
        <v>2.045763</v>
      </c>
      <c r="P906">
        <v>17.094919999999998</v>
      </c>
      <c r="Q906">
        <v>11894</v>
      </c>
    </row>
    <row r="907" spans="1:17" x14ac:dyDescent="0.25">
      <c r="A907" t="s">
        <v>21</v>
      </c>
      <c r="B907">
        <v>46</v>
      </c>
      <c r="C907">
        <v>0.85</v>
      </c>
      <c r="D907">
        <v>2005</v>
      </c>
      <c r="E907" t="s">
        <v>28</v>
      </c>
      <c r="F907">
        <v>2005319</v>
      </c>
      <c r="G907">
        <v>2006110</v>
      </c>
      <c r="H907">
        <v>6245</v>
      </c>
      <c r="I907">
        <v>1083</v>
      </c>
      <c r="J907">
        <v>0</v>
      </c>
      <c r="K907">
        <v>319</v>
      </c>
      <c r="L907">
        <v>0</v>
      </c>
      <c r="M907">
        <v>75</v>
      </c>
      <c r="N907">
        <v>16.744499999999999</v>
      </c>
      <c r="O907">
        <v>3.6973829999999999</v>
      </c>
      <c r="P907">
        <v>15.28586</v>
      </c>
      <c r="Q907">
        <v>31399</v>
      </c>
    </row>
    <row r="908" spans="1:17" x14ac:dyDescent="0.25">
      <c r="A908" t="s">
        <v>21</v>
      </c>
      <c r="B908">
        <v>46</v>
      </c>
      <c r="C908">
        <v>0.85</v>
      </c>
      <c r="D908">
        <v>2006</v>
      </c>
      <c r="E908" t="s">
        <v>28</v>
      </c>
      <c r="F908">
        <v>2006319</v>
      </c>
      <c r="G908">
        <v>2007114</v>
      </c>
      <c r="H908">
        <v>10268</v>
      </c>
      <c r="I908">
        <v>1681</v>
      </c>
      <c r="J908">
        <v>0</v>
      </c>
      <c r="K908">
        <v>343</v>
      </c>
      <c r="L908">
        <v>0</v>
      </c>
      <c r="M908">
        <v>75</v>
      </c>
      <c r="N908">
        <v>16.03782</v>
      </c>
      <c r="O908">
        <v>3.0056989999999999</v>
      </c>
      <c r="P908">
        <v>15.140409999999999</v>
      </c>
      <c r="Q908">
        <v>48752</v>
      </c>
    </row>
    <row r="909" spans="1:17" x14ac:dyDescent="0.25">
      <c r="A909" t="s">
        <v>21</v>
      </c>
      <c r="B909">
        <v>46</v>
      </c>
      <c r="C909">
        <v>0.85</v>
      </c>
      <c r="D909">
        <v>2007</v>
      </c>
      <c r="E909" t="s">
        <v>28</v>
      </c>
      <c r="F909">
        <v>2007319</v>
      </c>
      <c r="G909">
        <v>2008109</v>
      </c>
      <c r="H909">
        <v>2329</v>
      </c>
      <c r="I909">
        <v>306</v>
      </c>
      <c r="J909">
        <v>0</v>
      </c>
      <c r="K909">
        <v>240</v>
      </c>
      <c r="L909">
        <v>0</v>
      </c>
      <c r="M909">
        <v>75</v>
      </c>
      <c r="N909">
        <v>17.046320000000001</v>
      </c>
      <c r="O909">
        <v>2.8047369999999998</v>
      </c>
      <c r="P909">
        <v>15.680529999999999</v>
      </c>
      <c r="Q909">
        <v>8876</v>
      </c>
    </row>
    <row r="910" spans="1:17" x14ac:dyDescent="0.25">
      <c r="A910" t="s">
        <v>21</v>
      </c>
      <c r="B910">
        <v>46</v>
      </c>
      <c r="C910">
        <v>0.85</v>
      </c>
      <c r="D910">
        <v>2008</v>
      </c>
      <c r="E910" t="s">
        <v>28</v>
      </c>
      <c r="F910">
        <v>2008319</v>
      </c>
      <c r="G910">
        <v>2009118</v>
      </c>
      <c r="H910">
        <v>10184</v>
      </c>
      <c r="I910">
        <v>2184</v>
      </c>
      <c r="J910">
        <v>0</v>
      </c>
      <c r="K910">
        <v>372</v>
      </c>
      <c r="L910">
        <v>0</v>
      </c>
      <c r="M910">
        <v>75</v>
      </c>
      <c r="N910">
        <v>15.97448</v>
      </c>
      <c r="O910">
        <v>3.0552090000000001</v>
      </c>
      <c r="P910">
        <v>15.96354</v>
      </c>
      <c r="Q910">
        <v>63343</v>
      </c>
    </row>
    <row r="911" spans="1:17" x14ac:dyDescent="0.25">
      <c r="A911" t="s">
        <v>21</v>
      </c>
      <c r="B911">
        <v>46</v>
      </c>
      <c r="C911">
        <v>0.85</v>
      </c>
      <c r="D911">
        <v>2009</v>
      </c>
      <c r="E911" t="s">
        <v>28</v>
      </c>
      <c r="F911">
        <v>2009319</v>
      </c>
      <c r="G911">
        <v>2010109</v>
      </c>
      <c r="H911">
        <v>16306</v>
      </c>
      <c r="I911">
        <v>3646</v>
      </c>
      <c r="J911">
        <v>0</v>
      </c>
      <c r="K911">
        <v>576</v>
      </c>
      <c r="L911">
        <v>0</v>
      </c>
      <c r="M911">
        <v>75</v>
      </c>
      <c r="N911">
        <v>15.725669999999999</v>
      </c>
      <c r="O911">
        <v>3.8529420000000001</v>
      </c>
      <c r="P911">
        <v>14.732089999999999</v>
      </c>
      <c r="Q911">
        <v>105724</v>
      </c>
    </row>
    <row r="912" spans="1:17" x14ac:dyDescent="0.25">
      <c r="A912" t="s">
        <v>21</v>
      </c>
      <c r="B912">
        <v>46</v>
      </c>
      <c r="C912">
        <v>0.85</v>
      </c>
      <c r="D912">
        <v>2010</v>
      </c>
      <c r="E912" t="s">
        <v>28</v>
      </c>
      <c r="F912">
        <v>2010319</v>
      </c>
      <c r="G912">
        <v>2011109</v>
      </c>
      <c r="H912">
        <v>14883</v>
      </c>
      <c r="I912">
        <v>2600</v>
      </c>
      <c r="J912">
        <v>0</v>
      </c>
      <c r="K912">
        <v>485</v>
      </c>
      <c r="L912">
        <v>0</v>
      </c>
      <c r="M912">
        <v>75</v>
      </c>
      <c r="N912">
        <v>16.445550000000001</v>
      </c>
      <c r="O912">
        <v>3.613089</v>
      </c>
      <c r="P912">
        <v>13.853400000000001</v>
      </c>
      <c r="Q912">
        <v>75413</v>
      </c>
    </row>
    <row r="913" spans="1:17" x14ac:dyDescent="0.25">
      <c r="A913" t="s">
        <v>21</v>
      </c>
      <c r="B913">
        <v>46</v>
      </c>
      <c r="C913">
        <v>0.85</v>
      </c>
      <c r="D913">
        <v>2011</v>
      </c>
      <c r="E913" t="s">
        <v>29</v>
      </c>
      <c r="F913">
        <v>2011319</v>
      </c>
      <c r="G913">
        <v>2012126</v>
      </c>
      <c r="H913">
        <v>5501</v>
      </c>
      <c r="I913">
        <v>1104</v>
      </c>
      <c r="J913">
        <v>0</v>
      </c>
      <c r="K913">
        <v>290</v>
      </c>
      <c r="L913">
        <v>0</v>
      </c>
      <c r="M913">
        <v>75</v>
      </c>
      <c r="N913">
        <v>16.95928</v>
      </c>
      <c r="O913">
        <v>1.072165</v>
      </c>
      <c r="P913">
        <v>16.696909999999999</v>
      </c>
      <c r="Q913">
        <v>32017</v>
      </c>
    </row>
    <row r="914" spans="1:17" x14ac:dyDescent="0.25">
      <c r="A914" t="s">
        <v>21</v>
      </c>
      <c r="B914">
        <v>46</v>
      </c>
      <c r="C914">
        <v>0.85</v>
      </c>
      <c r="D914">
        <v>2012</v>
      </c>
      <c r="E914" t="s">
        <v>29</v>
      </c>
      <c r="F914">
        <v>2012319</v>
      </c>
      <c r="G914">
        <v>2013111</v>
      </c>
      <c r="H914">
        <v>20486</v>
      </c>
      <c r="I914">
        <v>3672</v>
      </c>
      <c r="J914">
        <v>0</v>
      </c>
      <c r="K914">
        <v>593</v>
      </c>
      <c r="L914">
        <v>0</v>
      </c>
      <c r="M914">
        <v>75</v>
      </c>
      <c r="N914">
        <v>15.58564</v>
      </c>
      <c r="O914">
        <v>3.0902560000000001</v>
      </c>
      <c r="P914">
        <v>13.33282</v>
      </c>
      <c r="Q914">
        <v>106485</v>
      </c>
    </row>
    <row r="915" spans="1:17" x14ac:dyDescent="0.25">
      <c r="A915" t="s">
        <v>21</v>
      </c>
      <c r="B915">
        <v>46</v>
      </c>
      <c r="C915">
        <v>0.85</v>
      </c>
      <c r="D915">
        <v>2013</v>
      </c>
      <c r="E915" t="s">
        <v>29</v>
      </c>
      <c r="F915">
        <v>2013319</v>
      </c>
      <c r="G915">
        <v>2014109</v>
      </c>
      <c r="H915">
        <v>9164</v>
      </c>
      <c r="I915">
        <v>3268</v>
      </c>
      <c r="J915">
        <v>0</v>
      </c>
      <c r="K915">
        <v>387</v>
      </c>
      <c r="L915">
        <v>0</v>
      </c>
      <c r="M915">
        <v>75</v>
      </c>
      <c r="N915">
        <v>17.644089999999998</v>
      </c>
      <c r="O915">
        <v>3.2403219999999999</v>
      </c>
      <c r="P915">
        <v>16.205369999999998</v>
      </c>
      <c r="Q915">
        <v>94778</v>
      </c>
    </row>
    <row r="916" spans="1:17" x14ac:dyDescent="0.25">
      <c r="A916" t="s">
        <v>21</v>
      </c>
      <c r="B916">
        <v>46</v>
      </c>
      <c r="C916">
        <v>0.85</v>
      </c>
      <c r="D916">
        <v>2014</v>
      </c>
      <c r="E916" t="s">
        <v>29</v>
      </c>
      <c r="F916">
        <v>2014319</v>
      </c>
      <c r="G916">
        <v>2015113</v>
      </c>
      <c r="H916">
        <v>5089</v>
      </c>
      <c r="I916">
        <v>1401</v>
      </c>
      <c r="J916">
        <v>0</v>
      </c>
      <c r="K916">
        <v>253</v>
      </c>
      <c r="L916">
        <v>0</v>
      </c>
      <c r="M916">
        <v>75</v>
      </c>
      <c r="N916">
        <v>17.543530000000001</v>
      </c>
      <c r="O916">
        <v>2.7569949999999999</v>
      </c>
      <c r="P916">
        <v>15.48601</v>
      </c>
      <c r="Q916">
        <v>40635</v>
      </c>
    </row>
    <row r="917" spans="1:17" x14ac:dyDescent="0.25">
      <c r="A917" t="s">
        <v>21</v>
      </c>
      <c r="B917">
        <v>46</v>
      </c>
      <c r="C917">
        <v>0.85</v>
      </c>
      <c r="D917">
        <v>2015</v>
      </c>
      <c r="E917" t="s">
        <v>29</v>
      </c>
      <c r="F917">
        <v>2015319</v>
      </c>
      <c r="G917">
        <v>2016099</v>
      </c>
      <c r="H917">
        <v>1719</v>
      </c>
      <c r="I917">
        <v>425</v>
      </c>
      <c r="J917">
        <v>0</v>
      </c>
      <c r="K917">
        <v>187</v>
      </c>
      <c r="L917">
        <v>0</v>
      </c>
      <c r="M917">
        <v>75</v>
      </c>
      <c r="N917">
        <v>17.72907</v>
      </c>
      <c r="O917">
        <v>3.4098830000000002</v>
      </c>
      <c r="P917">
        <v>14.97035</v>
      </c>
      <c r="Q917">
        <v>12319</v>
      </c>
    </row>
    <row r="918" spans="1:17" x14ac:dyDescent="0.25">
      <c r="A918" t="s">
        <v>21</v>
      </c>
      <c r="B918">
        <v>46</v>
      </c>
      <c r="C918">
        <v>0.85</v>
      </c>
      <c r="D918">
        <v>2016</v>
      </c>
      <c r="E918" t="s">
        <v>29</v>
      </c>
      <c r="F918">
        <v>2016319</v>
      </c>
      <c r="G918">
        <v>2017108</v>
      </c>
      <c r="H918">
        <v>7194</v>
      </c>
      <c r="I918">
        <v>2194</v>
      </c>
      <c r="J918">
        <v>0</v>
      </c>
      <c r="K918">
        <v>303</v>
      </c>
      <c r="L918">
        <v>0</v>
      </c>
      <c r="M918">
        <v>75</v>
      </c>
      <c r="N918">
        <v>18.0199</v>
      </c>
      <c r="O918">
        <v>2.9854829999999999</v>
      </c>
      <c r="P918">
        <v>15.090859999999999</v>
      </c>
      <c r="Q918">
        <v>63621</v>
      </c>
    </row>
    <row r="919" spans="1:17" x14ac:dyDescent="0.25">
      <c r="A919" t="s">
        <v>21</v>
      </c>
      <c r="B919">
        <v>46</v>
      </c>
      <c r="C919">
        <v>0.85</v>
      </c>
      <c r="D919">
        <v>2017</v>
      </c>
      <c r="E919" t="s">
        <v>29</v>
      </c>
      <c r="F919">
        <v>2017319</v>
      </c>
      <c r="G919">
        <v>2018113</v>
      </c>
      <c r="H919">
        <v>16236</v>
      </c>
      <c r="I919">
        <v>3551</v>
      </c>
      <c r="J919">
        <v>0</v>
      </c>
      <c r="K919">
        <v>443</v>
      </c>
      <c r="L919">
        <v>0</v>
      </c>
      <c r="M919">
        <v>75</v>
      </c>
      <c r="N919">
        <v>16.10369</v>
      </c>
      <c r="O919">
        <v>2.8868420000000001</v>
      </c>
      <c r="P919">
        <v>14.52474</v>
      </c>
      <c r="Q919">
        <v>102988</v>
      </c>
    </row>
    <row r="920" spans="1:17" x14ac:dyDescent="0.25">
      <c r="A920" t="s">
        <v>21</v>
      </c>
      <c r="B920">
        <v>46</v>
      </c>
      <c r="C920">
        <v>0.85</v>
      </c>
      <c r="D920">
        <v>2018</v>
      </c>
      <c r="E920" t="s">
        <v>29</v>
      </c>
      <c r="F920">
        <v>2018319</v>
      </c>
      <c r="G920">
        <v>2019113</v>
      </c>
      <c r="H920">
        <v>8143</v>
      </c>
      <c r="I920">
        <v>2088</v>
      </c>
      <c r="J920">
        <v>0</v>
      </c>
      <c r="K920">
        <v>357</v>
      </c>
      <c r="L920">
        <v>0</v>
      </c>
      <c r="M920">
        <v>75</v>
      </c>
      <c r="N920">
        <v>17.977319999999999</v>
      </c>
      <c r="O920">
        <v>1.6731959999999999</v>
      </c>
      <c r="P920">
        <v>15.99227</v>
      </c>
      <c r="Q920">
        <v>60547</v>
      </c>
    </row>
    <row r="921" spans="1:17" x14ac:dyDescent="0.25">
      <c r="A921" t="s">
        <v>21</v>
      </c>
      <c r="B921">
        <v>46</v>
      </c>
      <c r="C921">
        <v>0.85</v>
      </c>
      <c r="D921">
        <v>2019</v>
      </c>
      <c r="E921" t="s">
        <v>29</v>
      </c>
      <c r="F921">
        <v>2019319</v>
      </c>
      <c r="G921">
        <v>2020098</v>
      </c>
      <c r="H921">
        <v>15336</v>
      </c>
      <c r="I921">
        <v>4193</v>
      </c>
      <c r="J921">
        <v>0</v>
      </c>
      <c r="K921">
        <v>489</v>
      </c>
      <c r="L921">
        <v>0</v>
      </c>
      <c r="M921">
        <v>75</v>
      </c>
      <c r="N921">
        <v>18.081150000000001</v>
      </c>
      <c r="O921">
        <v>4.137696</v>
      </c>
      <c r="P921">
        <v>15.445029999999999</v>
      </c>
      <c r="Q921">
        <v>121596</v>
      </c>
    </row>
    <row r="922" spans="1:17" x14ac:dyDescent="0.25">
      <c r="A922" t="s">
        <v>21</v>
      </c>
      <c r="B922">
        <v>47</v>
      </c>
      <c r="C922">
        <v>0.82</v>
      </c>
      <c r="D922">
        <v>2000</v>
      </c>
      <c r="E922" t="s">
        <v>28</v>
      </c>
      <c r="F922">
        <v>2000319</v>
      </c>
      <c r="G922">
        <v>2001102</v>
      </c>
      <c r="H922">
        <v>16524</v>
      </c>
      <c r="I922">
        <v>3840</v>
      </c>
      <c r="J922">
        <v>0</v>
      </c>
      <c r="K922">
        <v>423</v>
      </c>
      <c r="L922">
        <v>0</v>
      </c>
      <c r="M922">
        <v>125</v>
      </c>
      <c r="N922">
        <v>17.028790000000001</v>
      </c>
      <c r="O922">
        <v>3.8162310000000002</v>
      </c>
      <c r="P922">
        <v>15.203139999999999</v>
      </c>
      <c r="Q922">
        <v>92155</v>
      </c>
    </row>
    <row r="923" spans="1:17" x14ac:dyDescent="0.25">
      <c r="A923" t="s">
        <v>21</v>
      </c>
      <c r="B923">
        <v>47</v>
      </c>
      <c r="C923">
        <v>0.82</v>
      </c>
      <c r="D923">
        <v>2001</v>
      </c>
      <c r="E923" t="s">
        <v>28</v>
      </c>
      <c r="F923">
        <v>2001319</v>
      </c>
      <c r="G923">
        <v>2002114</v>
      </c>
      <c r="H923">
        <v>8922</v>
      </c>
      <c r="I923">
        <v>1982</v>
      </c>
      <c r="J923">
        <v>0</v>
      </c>
      <c r="K923">
        <v>342</v>
      </c>
      <c r="L923">
        <v>0</v>
      </c>
      <c r="M923">
        <v>125</v>
      </c>
      <c r="N923">
        <v>16.767890000000001</v>
      </c>
      <c r="O923">
        <v>2.6294729999999999</v>
      </c>
      <c r="P923">
        <v>14.99263</v>
      </c>
      <c r="Q923">
        <v>47560</v>
      </c>
    </row>
    <row r="924" spans="1:17" x14ac:dyDescent="0.25">
      <c r="A924" t="s">
        <v>21</v>
      </c>
      <c r="B924">
        <v>47</v>
      </c>
      <c r="C924">
        <v>0.82</v>
      </c>
      <c r="D924">
        <v>2002</v>
      </c>
      <c r="E924" t="s">
        <v>28</v>
      </c>
      <c r="F924">
        <v>2002319</v>
      </c>
      <c r="G924">
        <v>2003112</v>
      </c>
      <c r="H924">
        <v>14753</v>
      </c>
      <c r="I924">
        <v>3742</v>
      </c>
      <c r="J924">
        <v>0</v>
      </c>
      <c r="K924">
        <v>416</v>
      </c>
      <c r="L924">
        <v>0</v>
      </c>
      <c r="M924">
        <v>125</v>
      </c>
      <c r="N924">
        <v>16.192740000000001</v>
      </c>
      <c r="O924">
        <v>3.6756470000000001</v>
      </c>
      <c r="P924">
        <v>14.57306</v>
      </c>
      <c r="Q924">
        <v>89799</v>
      </c>
    </row>
    <row r="925" spans="1:17" x14ac:dyDescent="0.25">
      <c r="A925" t="s">
        <v>21</v>
      </c>
      <c r="B925">
        <v>47</v>
      </c>
      <c r="C925">
        <v>0.82</v>
      </c>
      <c r="D925">
        <v>2003</v>
      </c>
      <c r="E925" t="s">
        <v>28</v>
      </c>
      <c r="F925">
        <v>2003319</v>
      </c>
      <c r="G925">
        <v>2004111</v>
      </c>
      <c r="H925">
        <v>11068</v>
      </c>
      <c r="I925">
        <v>1696</v>
      </c>
      <c r="J925">
        <v>0</v>
      </c>
      <c r="K925">
        <v>385</v>
      </c>
      <c r="L925">
        <v>0</v>
      </c>
      <c r="M925">
        <v>125</v>
      </c>
      <c r="N925">
        <v>15.78969</v>
      </c>
      <c r="O925">
        <v>3.1077319999999999</v>
      </c>
      <c r="P925">
        <v>14.49691</v>
      </c>
      <c r="Q925">
        <v>40696</v>
      </c>
    </row>
    <row r="926" spans="1:17" x14ac:dyDescent="0.25">
      <c r="A926" t="s">
        <v>21</v>
      </c>
      <c r="B926">
        <v>47</v>
      </c>
      <c r="C926">
        <v>0.82</v>
      </c>
      <c r="D926">
        <v>2004</v>
      </c>
      <c r="E926" t="s">
        <v>28</v>
      </c>
      <c r="F926">
        <v>2004319</v>
      </c>
      <c r="G926">
        <v>2005123</v>
      </c>
      <c r="H926">
        <v>2232</v>
      </c>
      <c r="I926">
        <v>426</v>
      </c>
      <c r="J926">
        <v>0</v>
      </c>
      <c r="K926">
        <v>207</v>
      </c>
      <c r="L926">
        <v>0</v>
      </c>
      <c r="M926">
        <v>125</v>
      </c>
      <c r="N926">
        <v>16.883610000000001</v>
      </c>
      <c r="O926">
        <v>2.045763</v>
      </c>
      <c r="P926">
        <v>17.094919999999998</v>
      </c>
      <c r="Q926">
        <v>10216</v>
      </c>
    </row>
    <row r="927" spans="1:17" x14ac:dyDescent="0.25">
      <c r="A927" t="s">
        <v>21</v>
      </c>
      <c r="B927">
        <v>47</v>
      </c>
      <c r="C927">
        <v>0.82</v>
      </c>
      <c r="D927">
        <v>2005</v>
      </c>
      <c r="E927" t="s">
        <v>28</v>
      </c>
      <c r="F927">
        <v>2005319</v>
      </c>
      <c r="G927">
        <v>2006110</v>
      </c>
      <c r="H927">
        <v>6478</v>
      </c>
      <c r="I927">
        <v>1137</v>
      </c>
      <c r="J927">
        <v>0</v>
      </c>
      <c r="K927">
        <v>319</v>
      </c>
      <c r="L927">
        <v>0</v>
      </c>
      <c r="M927">
        <v>125</v>
      </c>
      <c r="N927">
        <v>16.744499999999999</v>
      </c>
      <c r="O927">
        <v>3.6973829999999999</v>
      </c>
      <c r="P927">
        <v>15.28586</v>
      </c>
      <c r="Q927">
        <v>27293</v>
      </c>
    </row>
    <row r="928" spans="1:17" x14ac:dyDescent="0.25">
      <c r="A928" t="s">
        <v>21</v>
      </c>
      <c r="B928">
        <v>47</v>
      </c>
      <c r="C928">
        <v>0.82</v>
      </c>
      <c r="D928">
        <v>2006</v>
      </c>
      <c r="E928" t="s">
        <v>28</v>
      </c>
      <c r="F928">
        <v>2006319</v>
      </c>
      <c r="G928">
        <v>2007114</v>
      </c>
      <c r="H928">
        <v>10413</v>
      </c>
      <c r="I928">
        <v>1710</v>
      </c>
      <c r="J928">
        <v>0</v>
      </c>
      <c r="K928">
        <v>343</v>
      </c>
      <c r="L928">
        <v>0</v>
      </c>
      <c r="M928">
        <v>125</v>
      </c>
      <c r="N928">
        <v>16.03782</v>
      </c>
      <c r="O928">
        <v>3.0056989999999999</v>
      </c>
      <c r="P928">
        <v>15.140409999999999</v>
      </c>
      <c r="Q928">
        <v>41038</v>
      </c>
    </row>
    <row r="929" spans="1:17" x14ac:dyDescent="0.25">
      <c r="A929" t="s">
        <v>21</v>
      </c>
      <c r="B929">
        <v>47</v>
      </c>
      <c r="C929">
        <v>0.82</v>
      </c>
      <c r="D929">
        <v>2007</v>
      </c>
      <c r="E929" t="s">
        <v>28</v>
      </c>
      <c r="F929">
        <v>2007319</v>
      </c>
      <c r="G929">
        <v>2008109</v>
      </c>
      <c r="H929">
        <v>2358</v>
      </c>
      <c r="I929">
        <v>311</v>
      </c>
      <c r="J929">
        <v>0</v>
      </c>
      <c r="K929">
        <v>240</v>
      </c>
      <c r="L929">
        <v>0</v>
      </c>
      <c r="M929">
        <v>125</v>
      </c>
      <c r="N929">
        <v>17.046320000000001</v>
      </c>
      <c r="O929">
        <v>2.8047369999999998</v>
      </c>
      <c r="P929">
        <v>15.680529999999999</v>
      </c>
      <c r="Q929">
        <v>7473</v>
      </c>
    </row>
    <row r="930" spans="1:17" x14ac:dyDescent="0.25">
      <c r="A930" t="s">
        <v>21</v>
      </c>
      <c r="B930">
        <v>47</v>
      </c>
      <c r="C930">
        <v>0.82</v>
      </c>
      <c r="D930">
        <v>2008</v>
      </c>
      <c r="E930" t="s">
        <v>28</v>
      </c>
      <c r="F930">
        <v>2008319</v>
      </c>
      <c r="G930">
        <v>2009118</v>
      </c>
      <c r="H930">
        <v>10227</v>
      </c>
      <c r="I930">
        <v>2193</v>
      </c>
      <c r="J930">
        <v>0</v>
      </c>
      <c r="K930">
        <v>372</v>
      </c>
      <c r="L930">
        <v>0</v>
      </c>
      <c r="M930">
        <v>125</v>
      </c>
      <c r="N930">
        <v>15.97448</v>
      </c>
      <c r="O930">
        <v>3.0552090000000001</v>
      </c>
      <c r="P930">
        <v>15.96354</v>
      </c>
      <c r="Q930">
        <v>52621</v>
      </c>
    </row>
    <row r="931" spans="1:17" x14ac:dyDescent="0.25">
      <c r="A931" t="s">
        <v>21</v>
      </c>
      <c r="B931">
        <v>47</v>
      </c>
      <c r="C931">
        <v>0.82</v>
      </c>
      <c r="D931">
        <v>2009</v>
      </c>
      <c r="E931" t="s">
        <v>28</v>
      </c>
      <c r="F931">
        <v>2009319</v>
      </c>
      <c r="G931">
        <v>2010109</v>
      </c>
      <c r="H931">
        <v>16271</v>
      </c>
      <c r="I931">
        <v>3720</v>
      </c>
      <c r="J931">
        <v>0</v>
      </c>
      <c r="K931">
        <v>576</v>
      </c>
      <c r="L931">
        <v>0</v>
      </c>
      <c r="M931">
        <v>125</v>
      </c>
      <c r="N931">
        <v>15.725669999999999</v>
      </c>
      <c r="O931">
        <v>3.8529420000000001</v>
      </c>
      <c r="P931">
        <v>14.732089999999999</v>
      </c>
      <c r="Q931">
        <v>89282</v>
      </c>
    </row>
    <row r="932" spans="1:17" x14ac:dyDescent="0.25">
      <c r="A932" t="s">
        <v>21</v>
      </c>
      <c r="B932">
        <v>47</v>
      </c>
      <c r="C932">
        <v>0.82</v>
      </c>
      <c r="D932">
        <v>2010</v>
      </c>
      <c r="E932" t="s">
        <v>28</v>
      </c>
      <c r="F932">
        <v>2010319</v>
      </c>
      <c r="G932">
        <v>2011109</v>
      </c>
      <c r="H932">
        <v>16645</v>
      </c>
      <c r="I932">
        <v>3100</v>
      </c>
      <c r="J932">
        <v>0</v>
      </c>
      <c r="K932">
        <v>485</v>
      </c>
      <c r="L932">
        <v>0</v>
      </c>
      <c r="M932">
        <v>125</v>
      </c>
      <c r="N932">
        <v>16.445550000000001</v>
      </c>
      <c r="O932">
        <v>3.613089</v>
      </c>
      <c r="P932">
        <v>13.853400000000001</v>
      </c>
      <c r="Q932">
        <v>74401</v>
      </c>
    </row>
    <row r="933" spans="1:17" x14ac:dyDescent="0.25">
      <c r="A933" t="s">
        <v>21</v>
      </c>
      <c r="B933">
        <v>47</v>
      </c>
      <c r="C933">
        <v>0.82</v>
      </c>
      <c r="D933">
        <v>2011</v>
      </c>
      <c r="E933" t="s">
        <v>29</v>
      </c>
      <c r="F933">
        <v>2011319</v>
      </c>
      <c r="G933">
        <v>2012126</v>
      </c>
      <c r="H933">
        <v>5580</v>
      </c>
      <c r="I933">
        <v>1131</v>
      </c>
      <c r="J933">
        <v>0</v>
      </c>
      <c r="K933">
        <v>290</v>
      </c>
      <c r="L933">
        <v>0</v>
      </c>
      <c r="M933">
        <v>125</v>
      </c>
      <c r="N933">
        <v>16.95928</v>
      </c>
      <c r="O933">
        <v>1.072165</v>
      </c>
      <c r="P933">
        <v>16.696909999999999</v>
      </c>
      <c r="Q933">
        <v>27146</v>
      </c>
    </row>
    <row r="934" spans="1:17" x14ac:dyDescent="0.25">
      <c r="A934" t="s">
        <v>21</v>
      </c>
      <c r="B934">
        <v>47</v>
      </c>
      <c r="C934">
        <v>0.82</v>
      </c>
      <c r="D934">
        <v>2012</v>
      </c>
      <c r="E934" t="s">
        <v>29</v>
      </c>
      <c r="F934">
        <v>2012319</v>
      </c>
      <c r="G934">
        <v>2013111</v>
      </c>
      <c r="H934">
        <v>20574</v>
      </c>
      <c r="I934">
        <v>3739</v>
      </c>
      <c r="J934">
        <v>0</v>
      </c>
      <c r="K934">
        <v>593</v>
      </c>
      <c r="L934">
        <v>0</v>
      </c>
      <c r="M934">
        <v>125</v>
      </c>
      <c r="N934">
        <v>15.58564</v>
      </c>
      <c r="O934">
        <v>3.0902560000000001</v>
      </c>
      <c r="P934">
        <v>13.33282</v>
      </c>
      <c r="Q934">
        <v>89741</v>
      </c>
    </row>
    <row r="935" spans="1:17" x14ac:dyDescent="0.25">
      <c r="A935" t="s">
        <v>21</v>
      </c>
      <c r="B935">
        <v>47</v>
      </c>
      <c r="C935">
        <v>0.82</v>
      </c>
      <c r="D935">
        <v>2013</v>
      </c>
      <c r="E935" t="s">
        <v>29</v>
      </c>
      <c r="F935">
        <v>2013319</v>
      </c>
      <c r="G935">
        <v>2014109</v>
      </c>
      <c r="H935">
        <v>10088</v>
      </c>
      <c r="I935">
        <v>3618</v>
      </c>
      <c r="J935">
        <v>0</v>
      </c>
      <c r="K935">
        <v>387</v>
      </c>
      <c r="L935">
        <v>0</v>
      </c>
      <c r="M935">
        <v>125</v>
      </c>
      <c r="N935">
        <v>17.644089999999998</v>
      </c>
      <c r="O935">
        <v>3.2403219999999999</v>
      </c>
      <c r="P935">
        <v>16.205369999999998</v>
      </c>
      <c r="Q935">
        <v>86824</v>
      </c>
    </row>
    <row r="936" spans="1:17" x14ac:dyDescent="0.25">
      <c r="A936" t="s">
        <v>21</v>
      </c>
      <c r="B936">
        <v>47</v>
      </c>
      <c r="C936">
        <v>0.82</v>
      </c>
      <c r="D936">
        <v>2014</v>
      </c>
      <c r="E936" t="s">
        <v>29</v>
      </c>
      <c r="F936">
        <v>2014319</v>
      </c>
      <c r="G936">
        <v>2015113</v>
      </c>
      <c r="H936">
        <v>5500</v>
      </c>
      <c r="I936">
        <v>1539</v>
      </c>
      <c r="J936">
        <v>0</v>
      </c>
      <c r="K936">
        <v>253</v>
      </c>
      <c r="L936">
        <v>0</v>
      </c>
      <c r="M936">
        <v>125</v>
      </c>
      <c r="N936">
        <v>17.543530000000001</v>
      </c>
      <c r="O936">
        <v>2.7569949999999999</v>
      </c>
      <c r="P936">
        <v>15.48601</v>
      </c>
      <c r="Q936">
        <v>36932</v>
      </c>
    </row>
    <row r="937" spans="1:17" x14ac:dyDescent="0.25">
      <c r="A937" t="s">
        <v>21</v>
      </c>
      <c r="B937">
        <v>47</v>
      </c>
      <c r="C937">
        <v>0.82</v>
      </c>
      <c r="D937">
        <v>2015</v>
      </c>
      <c r="E937" t="s">
        <v>29</v>
      </c>
      <c r="F937">
        <v>2015319</v>
      </c>
      <c r="G937">
        <v>2016099</v>
      </c>
      <c r="H937">
        <v>1684</v>
      </c>
      <c r="I937">
        <v>413</v>
      </c>
      <c r="J937">
        <v>0</v>
      </c>
      <c r="K937">
        <v>187</v>
      </c>
      <c r="L937">
        <v>0</v>
      </c>
      <c r="M937">
        <v>125</v>
      </c>
      <c r="N937">
        <v>17.72907</v>
      </c>
      <c r="O937">
        <v>3.4098830000000002</v>
      </c>
      <c r="P937">
        <v>14.97035</v>
      </c>
      <c r="Q937">
        <v>9912</v>
      </c>
    </row>
    <row r="938" spans="1:17" x14ac:dyDescent="0.25">
      <c r="A938" t="s">
        <v>21</v>
      </c>
      <c r="B938">
        <v>47</v>
      </c>
      <c r="C938">
        <v>0.82</v>
      </c>
      <c r="D938">
        <v>2016</v>
      </c>
      <c r="E938" t="s">
        <v>29</v>
      </c>
      <c r="F938">
        <v>2016319</v>
      </c>
      <c r="G938">
        <v>2017108</v>
      </c>
      <c r="H938">
        <v>7558</v>
      </c>
      <c r="I938">
        <v>2318</v>
      </c>
      <c r="J938">
        <v>0</v>
      </c>
      <c r="K938">
        <v>303</v>
      </c>
      <c r="L938">
        <v>0</v>
      </c>
      <c r="M938">
        <v>125</v>
      </c>
      <c r="N938">
        <v>18.0199</v>
      </c>
      <c r="O938">
        <v>2.9854829999999999</v>
      </c>
      <c r="P938">
        <v>15.090859999999999</v>
      </c>
      <c r="Q938">
        <v>55627</v>
      </c>
    </row>
    <row r="939" spans="1:17" x14ac:dyDescent="0.25">
      <c r="A939" t="s">
        <v>21</v>
      </c>
      <c r="B939">
        <v>47</v>
      </c>
      <c r="C939">
        <v>0.82</v>
      </c>
      <c r="D939">
        <v>2017</v>
      </c>
      <c r="E939" t="s">
        <v>29</v>
      </c>
      <c r="F939">
        <v>2017319</v>
      </c>
      <c r="G939">
        <v>2018113</v>
      </c>
      <c r="H939">
        <v>16579</v>
      </c>
      <c r="I939">
        <v>3603</v>
      </c>
      <c r="J939">
        <v>0</v>
      </c>
      <c r="K939">
        <v>443</v>
      </c>
      <c r="L939">
        <v>0</v>
      </c>
      <c r="M939">
        <v>125</v>
      </c>
      <c r="N939">
        <v>16.10369</v>
      </c>
      <c r="O939">
        <v>2.8868420000000001</v>
      </c>
      <c r="P939">
        <v>14.52474</v>
      </c>
      <c r="Q939">
        <v>86475</v>
      </c>
    </row>
    <row r="940" spans="1:17" x14ac:dyDescent="0.25">
      <c r="A940" t="s">
        <v>21</v>
      </c>
      <c r="B940">
        <v>47</v>
      </c>
      <c r="C940">
        <v>0.82</v>
      </c>
      <c r="D940">
        <v>2018</v>
      </c>
      <c r="E940" t="s">
        <v>29</v>
      </c>
      <c r="F940">
        <v>2018319</v>
      </c>
      <c r="G940">
        <v>2019113</v>
      </c>
      <c r="H940">
        <v>8371</v>
      </c>
      <c r="I940">
        <v>2169</v>
      </c>
      <c r="J940">
        <v>0</v>
      </c>
      <c r="K940">
        <v>357</v>
      </c>
      <c r="L940">
        <v>0</v>
      </c>
      <c r="M940">
        <v>125</v>
      </c>
      <c r="N940">
        <v>17.977319999999999</v>
      </c>
      <c r="O940">
        <v>1.6731959999999999</v>
      </c>
      <c r="P940">
        <v>15.99227</v>
      </c>
      <c r="Q940">
        <v>52054</v>
      </c>
    </row>
    <row r="941" spans="1:17" x14ac:dyDescent="0.25">
      <c r="A941" t="s">
        <v>21</v>
      </c>
      <c r="B941">
        <v>47</v>
      </c>
      <c r="C941">
        <v>0.82</v>
      </c>
      <c r="D941">
        <v>2019</v>
      </c>
      <c r="E941" t="s">
        <v>29</v>
      </c>
      <c r="F941">
        <v>2019319</v>
      </c>
      <c r="G941">
        <v>2020098</v>
      </c>
      <c r="H941">
        <v>15489</v>
      </c>
      <c r="I941">
        <v>4223</v>
      </c>
      <c r="J941">
        <v>0</v>
      </c>
      <c r="K941">
        <v>489</v>
      </c>
      <c r="L941">
        <v>0</v>
      </c>
      <c r="M941">
        <v>125</v>
      </c>
      <c r="N941">
        <v>18.081150000000001</v>
      </c>
      <c r="O941">
        <v>4.137696</v>
      </c>
      <c r="P941">
        <v>15.445029999999999</v>
      </c>
      <c r="Q941">
        <v>101345</v>
      </c>
    </row>
    <row r="942" spans="1:17" x14ac:dyDescent="0.25">
      <c r="A942" t="s">
        <v>21</v>
      </c>
      <c r="B942">
        <v>48</v>
      </c>
      <c r="C942">
        <v>0.79</v>
      </c>
      <c r="D942">
        <v>2000</v>
      </c>
      <c r="E942" t="s">
        <v>28</v>
      </c>
      <c r="F942">
        <v>2000303</v>
      </c>
      <c r="G942">
        <v>2001092</v>
      </c>
      <c r="H942">
        <v>16663</v>
      </c>
      <c r="I942">
        <v>4530</v>
      </c>
      <c r="J942">
        <v>0</v>
      </c>
      <c r="K942">
        <v>423</v>
      </c>
      <c r="L942">
        <v>0</v>
      </c>
      <c r="M942">
        <v>125</v>
      </c>
      <c r="N942">
        <v>16.632539999999999</v>
      </c>
      <c r="O942">
        <v>3.7358500000000001</v>
      </c>
      <c r="P942">
        <v>14.55142</v>
      </c>
      <c r="Q942">
        <v>126830</v>
      </c>
    </row>
    <row r="943" spans="1:17" x14ac:dyDescent="0.25">
      <c r="A943" t="s">
        <v>21</v>
      </c>
      <c r="B943">
        <v>48</v>
      </c>
      <c r="C943">
        <v>0.79</v>
      </c>
      <c r="D943">
        <v>2001</v>
      </c>
      <c r="E943" t="s">
        <v>28</v>
      </c>
      <c r="F943">
        <v>2001303</v>
      </c>
      <c r="G943">
        <v>2002103</v>
      </c>
      <c r="H943">
        <v>11225</v>
      </c>
      <c r="I943">
        <v>2725</v>
      </c>
      <c r="J943">
        <v>0</v>
      </c>
      <c r="K943">
        <v>342</v>
      </c>
      <c r="L943">
        <v>0</v>
      </c>
      <c r="M943">
        <v>125</v>
      </c>
      <c r="N943">
        <v>16.39573</v>
      </c>
      <c r="O943">
        <v>2.6668240000000001</v>
      </c>
      <c r="P943">
        <v>14.35877</v>
      </c>
      <c r="Q943">
        <v>76301</v>
      </c>
    </row>
    <row r="944" spans="1:17" x14ac:dyDescent="0.25">
      <c r="A944" t="s">
        <v>21</v>
      </c>
      <c r="B944">
        <v>48</v>
      </c>
      <c r="C944">
        <v>0.79</v>
      </c>
      <c r="D944">
        <v>2002</v>
      </c>
      <c r="E944" t="s">
        <v>28</v>
      </c>
      <c r="F944">
        <v>2002303</v>
      </c>
      <c r="G944">
        <v>2003098</v>
      </c>
      <c r="H944">
        <v>15905</v>
      </c>
      <c r="I944">
        <v>4624</v>
      </c>
      <c r="J944">
        <v>0</v>
      </c>
      <c r="K944">
        <v>416</v>
      </c>
      <c r="L944">
        <v>0</v>
      </c>
      <c r="M944">
        <v>125</v>
      </c>
      <c r="N944">
        <v>16.145910000000001</v>
      </c>
      <c r="O944">
        <v>3.681632</v>
      </c>
      <c r="P944">
        <v>14.509180000000001</v>
      </c>
      <c r="Q944">
        <v>129481</v>
      </c>
    </row>
    <row r="945" spans="1:17" x14ac:dyDescent="0.25">
      <c r="A945" t="s">
        <v>21</v>
      </c>
      <c r="B945">
        <v>48</v>
      </c>
      <c r="C945">
        <v>0.79</v>
      </c>
      <c r="D945">
        <v>2003</v>
      </c>
      <c r="E945" t="s">
        <v>28</v>
      </c>
      <c r="F945">
        <v>2003303</v>
      </c>
      <c r="G945">
        <v>2004093</v>
      </c>
      <c r="H945">
        <v>12294</v>
      </c>
      <c r="I945">
        <v>1666</v>
      </c>
      <c r="J945">
        <v>0</v>
      </c>
      <c r="K945">
        <v>385</v>
      </c>
      <c r="L945">
        <v>0</v>
      </c>
      <c r="M945">
        <v>125</v>
      </c>
      <c r="N945">
        <v>15.85238</v>
      </c>
      <c r="O945">
        <v>3.3038090000000002</v>
      </c>
      <c r="P945">
        <v>14.05762</v>
      </c>
      <c r="Q945">
        <v>46636</v>
      </c>
    </row>
    <row r="946" spans="1:17" x14ac:dyDescent="0.25">
      <c r="A946" t="s">
        <v>21</v>
      </c>
      <c r="B946">
        <v>48</v>
      </c>
      <c r="C946">
        <v>0.79</v>
      </c>
      <c r="D946">
        <v>2004</v>
      </c>
      <c r="E946" t="s">
        <v>28</v>
      </c>
      <c r="F946">
        <v>2004303</v>
      </c>
      <c r="G946">
        <v>2005111</v>
      </c>
      <c r="H946">
        <v>2598</v>
      </c>
      <c r="I946">
        <v>750</v>
      </c>
      <c r="J946">
        <v>0</v>
      </c>
      <c r="K946">
        <v>207</v>
      </c>
      <c r="L946">
        <v>0</v>
      </c>
      <c r="M946">
        <v>125</v>
      </c>
      <c r="N946">
        <v>16.651219999999999</v>
      </c>
      <c r="O946">
        <v>1.7019519999999999</v>
      </c>
      <c r="P946">
        <v>16.16488</v>
      </c>
      <c r="Q946">
        <v>20999</v>
      </c>
    </row>
    <row r="947" spans="1:17" x14ac:dyDescent="0.25">
      <c r="A947" t="s">
        <v>21</v>
      </c>
      <c r="B947">
        <v>48</v>
      </c>
      <c r="C947">
        <v>0.79</v>
      </c>
      <c r="D947">
        <v>2005</v>
      </c>
      <c r="E947" t="s">
        <v>28</v>
      </c>
      <c r="F947">
        <v>2005303</v>
      </c>
      <c r="G947">
        <v>2006099</v>
      </c>
      <c r="H947">
        <v>7009</v>
      </c>
      <c r="I947">
        <v>1561</v>
      </c>
      <c r="J947">
        <v>0</v>
      </c>
      <c r="K947">
        <v>319</v>
      </c>
      <c r="L947">
        <v>0</v>
      </c>
      <c r="M947">
        <v>125</v>
      </c>
      <c r="N947">
        <v>16.55686</v>
      </c>
      <c r="O947">
        <v>3.6661769999999998</v>
      </c>
      <c r="P947">
        <v>14.862740000000001</v>
      </c>
      <c r="Q947">
        <v>43706</v>
      </c>
    </row>
    <row r="948" spans="1:17" x14ac:dyDescent="0.25">
      <c r="A948" t="s">
        <v>21</v>
      </c>
      <c r="B948">
        <v>48</v>
      </c>
      <c r="C948">
        <v>0.79</v>
      </c>
      <c r="D948">
        <v>2006</v>
      </c>
      <c r="E948" t="s">
        <v>28</v>
      </c>
      <c r="F948">
        <v>2006303</v>
      </c>
      <c r="G948">
        <v>2007102</v>
      </c>
      <c r="H948">
        <v>10463</v>
      </c>
      <c r="I948">
        <v>1832</v>
      </c>
      <c r="J948">
        <v>0</v>
      </c>
      <c r="K948">
        <v>343</v>
      </c>
      <c r="L948">
        <v>0</v>
      </c>
      <c r="M948">
        <v>125</v>
      </c>
      <c r="N948">
        <v>16.141539999999999</v>
      </c>
      <c r="O948">
        <v>3.0053139999999998</v>
      </c>
      <c r="P948">
        <v>14.84299</v>
      </c>
      <c r="Q948">
        <v>51300</v>
      </c>
    </row>
    <row r="949" spans="1:17" x14ac:dyDescent="0.25">
      <c r="A949" t="s">
        <v>21</v>
      </c>
      <c r="B949">
        <v>48</v>
      </c>
      <c r="C949">
        <v>0.79</v>
      </c>
      <c r="D949">
        <v>2007</v>
      </c>
      <c r="E949" t="s">
        <v>29</v>
      </c>
      <c r="F949">
        <v>2007303</v>
      </c>
      <c r="G949">
        <v>2008097</v>
      </c>
      <c r="H949">
        <v>2177</v>
      </c>
      <c r="I949">
        <v>314</v>
      </c>
      <c r="J949">
        <v>0</v>
      </c>
      <c r="K949">
        <v>240</v>
      </c>
      <c r="L949">
        <v>0</v>
      </c>
      <c r="M949">
        <v>125</v>
      </c>
      <c r="N949">
        <v>17.12679</v>
      </c>
      <c r="O949">
        <v>2.5267940000000002</v>
      </c>
      <c r="P949">
        <v>15.28373</v>
      </c>
      <c r="Q949">
        <v>8804</v>
      </c>
    </row>
    <row r="950" spans="1:17" x14ac:dyDescent="0.25">
      <c r="A950" t="s">
        <v>21</v>
      </c>
      <c r="B950">
        <v>48</v>
      </c>
      <c r="C950">
        <v>0.79</v>
      </c>
      <c r="D950">
        <v>2008</v>
      </c>
      <c r="E950" t="s">
        <v>29</v>
      </c>
      <c r="F950">
        <v>2008303</v>
      </c>
      <c r="G950">
        <v>2009108</v>
      </c>
      <c r="H950">
        <v>12492</v>
      </c>
      <c r="I950">
        <v>3953</v>
      </c>
      <c r="J950">
        <v>0</v>
      </c>
      <c r="K950">
        <v>372</v>
      </c>
      <c r="L950">
        <v>0</v>
      </c>
      <c r="M950">
        <v>125</v>
      </c>
      <c r="N950">
        <v>15.854290000000001</v>
      </c>
      <c r="O950">
        <v>2.875238</v>
      </c>
      <c r="P950">
        <v>15.55762</v>
      </c>
      <c r="Q950">
        <v>110683</v>
      </c>
    </row>
    <row r="951" spans="1:17" x14ac:dyDescent="0.25">
      <c r="A951" t="s">
        <v>21</v>
      </c>
      <c r="B951">
        <v>48</v>
      </c>
      <c r="C951">
        <v>0.79</v>
      </c>
      <c r="D951">
        <v>2009</v>
      </c>
      <c r="E951" t="s">
        <v>29</v>
      </c>
      <c r="F951">
        <v>2009303</v>
      </c>
      <c r="G951">
        <v>2010097</v>
      </c>
      <c r="H951">
        <v>15590</v>
      </c>
      <c r="I951">
        <v>3849</v>
      </c>
      <c r="J951">
        <v>0</v>
      </c>
      <c r="K951">
        <v>576</v>
      </c>
      <c r="L951">
        <v>0</v>
      </c>
      <c r="M951">
        <v>125</v>
      </c>
      <c r="N951">
        <v>16.120090000000001</v>
      </c>
      <c r="O951">
        <v>3.8861249999999998</v>
      </c>
      <c r="P951">
        <v>14.41531</v>
      </c>
      <c r="Q951">
        <v>107771</v>
      </c>
    </row>
    <row r="952" spans="1:17" x14ac:dyDescent="0.25">
      <c r="A952" t="s">
        <v>21</v>
      </c>
      <c r="B952">
        <v>48</v>
      </c>
      <c r="C952">
        <v>0.79</v>
      </c>
      <c r="D952">
        <v>2010</v>
      </c>
      <c r="E952" t="s">
        <v>29</v>
      </c>
      <c r="F952">
        <v>2010303</v>
      </c>
      <c r="G952">
        <v>2011099</v>
      </c>
      <c r="H952">
        <v>18191</v>
      </c>
      <c r="I952">
        <v>5461</v>
      </c>
      <c r="J952">
        <v>0</v>
      </c>
      <c r="K952">
        <v>485</v>
      </c>
      <c r="L952">
        <v>0</v>
      </c>
      <c r="M952">
        <v>125</v>
      </c>
      <c r="N952">
        <v>16.328569999999999</v>
      </c>
      <c r="O952">
        <v>3.5457139999999998</v>
      </c>
      <c r="P952">
        <v>13.549049999999999</v>
      </c>
      <c r="Q952">
        <v>152908</v>
      </c>
    </row>
    <row r="953" spans="1:17" x14ac:dyDescent="0.25">
      <c r="A953" t="s">
        <v>21</v>
      </c>
      <c r="B953">
        <v>48</v>
      </c>
      <c r="C953">
        <v>0.79</v>
      </c>
      <c r="D953">
        <v>2011</v>
      </c>
      <c r="E953" t="s">
        <v>29</v>
      </c>
      <c r="F953">
        <v>2011303</v>
      </c>
      <c r="G953">
        <v>2012112</v>
      </c>
      <c r="H953">
        <v>4974</v>
      </c>
      <c r="I953">
        <v>1047</v>
      </c>
      <c r="J953">
        <v>0</v>
      </c>
      <c r="K953">
        <v>290</v>
      </c>
      <c r="L953">
        <v>0</v>
      </c>
      <c r="M953">
        <v>125</v>
      </c>
      <c r="N953">
        <v>16.92464</v>
      </c>
      <c r="O953">
        <v>1.4369670000000001</v>
      </c>
      <c r="P953">
        <v>16.077729999999999</v>
      </c>
      <c r="Q953">
        <v>29310</v>
      </c>
    </row>
    <row r="954" spans="1:17" x14ac:dyDescent="0.25">
      <c r="A954" t="s">
        <v>21</v>
      </c>
      <c r="B954">
        <v>48</v>
      </c>
      <c r="C954">
        <v>0.79</v>
      </c>
      <c r="D954">
        <v>2012</v>
      </c>
      <c r="E954" t="s">
        <v>29</v>
      </c>
      <c r="F954">
        <v>2012303</v>
      </c>
      <c r="G954">
        <v>2013103</v>
      </c>
      <c r="H954">
        <v>22219</v>
      </c>
      <c r="I954">
        <v>4705</v>
      </c>
      <c r="J954">
        <v>0</v>
      </c>
      <c r="K954">
        <v>593</v>
      </c>
      <c r="L954">
        <v>0</v>
      </c>
      <c r="M954">
        <v>125</v>
      </c>
      <c r="N954">
        <v>15.5654</v>
      </c>
      <c r="O954">
        <v>3.4113730000000002</v>
      </c>
      <c r="P954">
        <v>12.76872</v>
      </c>
      <c r="Q954">
        <v>131740</v>
      </c>
    </row>
    <row r="955" spans="1:17" x14ac:dyDescent="0.25">
      <c r="A955" t="s">
        <v>21</v>
      </c>
      <c r="B955">
        <v>48</v>
      </c>
      <c r="C955">
        <v>0.79</v>
      </c>
      <c r="D955">
        <v>2013</v>
      </c>
      <c r="E955" t="s">
        <v>29</v>
      </c>
      <c r="F955">
        <v>2013303</v>
      </c>
      <c r="G955">
        <v>2014101</v>
      </c>
      <c r="H955">
        <v>11605</v>
      </c>
      <c r="I955">
        <v>4275</v>
      </c>
      <c r="J955">
        <v>0</v>
      </c>
      <c r="K955">
        <v>387</v>
      </c>
      <c r="L955">
        <v>0</v>
      </c>
      <c r="M955">
        <v>125</v>
      </c>
      <c r="N955">
        <v>17.27854</v>
      </c>
      <c r="O955">
        <v>2.858536</v>
      </c>
      <c r="P955">
        <v>15.71073</v>
      </c>
      <c r="Q955">
        <v>119708</v>
      </c>
    </row>
    <row r="956" spans="1:17" x14ac:dyDescent="0.25">
      <c r="A956" t="s">
        <v>21</v>
      </c>
      <c r="B956">
        <v>48</v>
      </c>
      <c r="C956">
        <v>0.79</v>
      </c>
      <c r="D956">
        <v>2014</v>
      </c>
      <c r="E956" t="s">
        <v>29</v>
      </c>
      <c r="F956">
        <v>2014303</v>
      </c>
      <c r="G956">
        <v>2015102</v>
      </c>
      <c r="H956">
        <v>6568</v>
      </c>
      <c r="I956">
        <v>2385</v>
      </c>
      <c r="J956">
        <v>0</v>
      </c>
      <c r="K956">
        <v>253</v>
      </c>
      <c r="L956">
        <v>0</v>
      </c>
      <c r="M956">
        <v>125</v>
      </c>
      <c r="N956">
        <v>17.465859999999999</v>
      </c>
      <c r="O956">
        <v>2.8390240000000002</v>
      </c>
      <c r="P956">
        <v>15.170730000000001</v>
      </c>
      <c r="Q956">
        <v>66774</v>
      </c>
    </row>
    <row r="957" spans="1:17" x14ac:dyDescent="0.25">
      <c r="A957" t="s">
        <v>21</v>
      </c>
      <c r="B957">
        <v>48</v>
      </c>
      <c r="C957">
        <v>0.79</v>
      </c>
      <c r="D957">
        <v>2015</v>
      </c>
      <c r="E957" t="s">
        <v>29</v>
      </c>
      <c r="F957">
        <v>2015303</v>
      </c>
      <c r="G957">
        <v>2016091</v>
      </c>
      <c r="H957">
        <v>1258</v>
      </c>
      <c r="I957">
        <v>313</v>
      </c>
      <c r="J957">
        <v>0</v>
      </c>
      <c r="K957">
        <v>187</v>
      </c>
      <c r="L957">
        <v>0</v>
      </c>
      <c r="M957">
        <v>125</v>
      </c>
      <c r="N957">
        <v>17.94285</v>
      </c>
      <c r="O957">
        <v>2.9128560000000001</v>
      </c>
      <c r="P957">
        <v>14.29142</v>
      </c>
      <c r="Q957">
        <v>8772</v>
      </c>
    </row>
    <row r="958" spans="1:17" x14ac:dyDescent="0.25">
      <c r="A958" t="s">
        <v>21</v>
      </c>
      <c r="B958">
        <v>48</v>
      </c>
      <c r="C958">
        <v>0.79</v>
      </c>
      <c r="D958">
        <v>2016</v>
      </c>
      <c r="E958" t="s">
        <v>29</v>
      </c>
      <c r="F958">
        <v>2016303</v>
      </c>
      <c r="G958">
        <v>2017098</v>
      </c>
      <c r="H958">
        <v>8383</v>
      </c>
      <c r="I958">
        <v>3153</v>
      </c>
      <c r="J958">
        <v>0</v>
      </c>
      <c r="K958">
        <v>303</v>
      </c>
      <c r="L958">
        <v>0</v>
      </c>
      <c r="M958">
        <v>125</v>
      </c>
      <c r="N958">
        <v>17.790050000000001</v>
      </c>
      <c r="O958">
        <v>2.8164169999999999</v>
      </c>
      <c r="P958">
        <v>14.62388</v>
      </c>
      <c r="Q958">
        <v>88281</v>
      </c>
    </row>
    <row r="959" spans="1:17" x14ac:dyDescent="0.25">
      <c r="A959" t="s">
        <v>21</v>
      </c>
      <c r="B959">
        <v>48</v>
      </c>
      <c r="C959">
        <v>0.79</v>
      </c>
      <c r="D959">
        <v>2017</v>
      </c>
      <c r="E959" t="s">
        <v>29</v>
      </c>
      <c r="F959">
        <v>2017303</v>
      </c>
      <c r="G959">
        <v>2018101</v>
      </c>
      <c r="H959">
        <v>16651</v>
      </c>
      <c r="I959">
        <v>4175</v>
      </c>
      <c r="J959">
        <v>0</v>
      </c>
      <c r="K959">
        <v>443</v>
      </c>
      <c r="L959">
        <v>0</v>
      </c>
      <c r="M959">
        <v>125</v>
      </c>
      <c r="N959">
        <v>16.353809999999999</v>
      </c>
      <c r="O959">
        <v>2.519047</v>
      </c>
      <c r="P959">
        <v>14.389530000000001</v>
      </c>
      <c r="Q959">
        <v>116896</v>
      </c>
    </row>
    <row r="960" spans="1:17" x14ac:dyDescent="0.25">
      <c r="A960" t="s">
        <v>21</v>
      </c>
      <c r="B960">
        <v>48</v>
      </c>
      <c r="C960">
        <v>0.79</v>
      </c>
      <c r="D960">
        <v>2018</v>
      </c>
      <c r="E960" t="s">
        <v>29</v>
      </c>
      <c r="F960">
        <v>2018303</v>
      </c>
      <c r="G960">
        <v>2019099</v>
      </c>
      <c r="H960">
        <v>9637</v>
      </c>
      <c r="I960">
        <v>2179</v>
      </c>
      <c r="J960">
        <v>0</v>
      </c>
      <c r="K960">
        <v>357</v>
      </c>
      <c r="L960">
        <v>0</v>
      </c>
      <c r="M960">
        <v>125</v>
      </c>
      <c r="N960">
        <v>17.804300000000001</v>
      </c>
      <c r="O960">
        <v>1.9306220000000001</v>
      </c>
      <c r="P960">
        <v>15.41244</v>
      </c>
      <c r="Q960">
        <v>61013</v>
      </c>
    </row>
    <row r="961" spans="1:17" x14ac:dyDescent="0.25">
      <c r="A961" t="s">
        <v>21</v>
      </c>
      <c r="B961">
        <v>48</v>
      </c>
      <c r="C961">
        <v>0.79</v>
      </c>
      <c r="D961">
        <v>2019</v>
      </c>
      <c r="E961" t="s">
        <v>29</v>
      </c>
      <c r="F961">
        <v>2019303</v>
      </c>
      <c r="G961">
        <v>2020083</v>
      </c>
      <c r="H961">
        <v>16143</v>
      </c>
      <c r="I961">
        <v>3479</v>
      </c>
      <c r="J961">
        <v>0</v>
      </c>
      <c r="K961">
        <v>489</v>
      </c>
      <c r="L961">
        <v>0</v>
      </c>
      <c r="M961">
        <v>125</v>
      </c>
      <c r="N961">
        <v>17.615639999999999</v>
      </c>
      <c r="O961">
        <v>4.2881520000000002</v>
      </c>
      <c r="P961">
        <v>14.93365</v>
      </c>
      <c r="Q961">
        <v>97422</v>
      </c>
    </row>
    <row r="962" spans="1:17" x14ac:dyDescent="0.25">
      <c r="A962" t="s">
        <v>21</v>
      </c>
      <c r="B962">
        <v>49</v>
      </c>
      <c r="C962">
        <v>0.59</v>
      </c>
      <c r="D962">
        <v>2000</v>
      </c>
      <c r="E962" t="s">
        <v>28</v>
      </c>
      <c r="F962">
        <v>2000289</v>
      </c>
      <c r="G962">
        <v>2001083</v>
      </c>
      <c r="H962">
        <v>13587</v>
      </c>
      <c r="I962">
        <v>3922</v>
      </c>
      <c r="J962">
        <v>0</v>
      </c>
      <c r="K962">
        <v>423</v>
      </c>
      <c r="L962">
        <v>0</v>
      </c>
      <c r="M962">
        <v>75</v>
      </c>
      <c r="N962">
        <v>17.014089999999999</v>
      </c>
      <c r="O962">
        <v>4.0074899999999998</v>
      </c>
      <c r="P962">
        <v>14.421150000000001</v>
      </c>
      <c r="Q962">
        <v>105890</v>
      </c>
    </row>
    <row r="963" spans="1:17" x14ac:dyDescent="0.25">
      <c r="A963" t="s">
        <v>21</v>
      </c>
      <c r="B963">
        <v>49</v>
      </c>
      <c r="C963">
        <v>0.59</v>
      </c>
      <c r="D963">
        <v>2001</v>
      </c>
      <c r="E963" t="s">
        <v>28</v>
      </c>
      <c r="F963">
        <v>2001289</v>
      </c>
      <c r="G963">
        <v>2002091</v>
      </c>
      <c r="H963">
        <v>11951</v>
      </c>
      <c r="I963">
        <v>2618</v>
      </c>
      <c r="J963">
        <v>0</v>
      </c>
      <c r="K963">
        <v>342</v>
      </c>
      <c r="L963">
        <v>0</v>
      </c>
      <c r="M963">
        <v>75</v>
      </c>
      <c r="N963">
        <v>16.794689999999999</v>
      </c>
      <c r="O963">
        <v>3.0106190000000002</v>
      </c>
      <c r="P963">
        <v>14.24071</v>
      </c>
      <c r="Q963">
        <v>70694</v>
      </c>
    </row>
    <row r="964" spans="1:17" x14ac:dyDescent="0.25">
      <c r="A964" t="s">
        <v>21</v>
      </c>
      <c r="B964">
        <v>49</v>
      </c>
      <c r="C964">
        <v>0.59</v>
      </c>
      <c r="D964">
        <v>2002</v>
      </c>
      <c r="E964" t="s">
        <v>28</v>
      </c>
      <c r="F964">
        <v>2002289</v>
      </c>
      <c r="G964">
        <v>2003084</v>
      </c>
      <c r="H964">
        <v>15992</v>
      </c>
      <c r="I964">
        <v>3578</v>
      </c>
      <c r="J964">
        <v>0</v>
      </c>
      <c r="K964">
        <v>416</v>
      </c>
      <c r="L964">
        <v>0</v>
      </c>
      <c r="M964">
        <v>75</v>
      </c>
      <c r="N964">
        <v>16.639189999999999</v>
      </c>
      <c r="O964">
        <v>3.8657659999999998</v>
      </c>
      <c r="P964">
        <v>14.256309999999999</v>
      </c>
      <c r="Q964">
        <v>96605</v>
      </c>
    </row>
    <row r="965" spans="1:17" x14ac:dyDescent="0.25">
      <c r="A965" t="s">
        <v>21</v>
      </c>
      <c r="B965">
        <v>49</v>
      </c>
      <c r="C965">
        <v>0.59</v>
      </c>
      <c r="D965">
        <v>2003</v>
      </c>
      <c r="E965" t="s">
        <v>28</v>
      </c>
      <c r="F965">
        <v>2003289</v>
      </c>
      <c r="G965">
        <v>2004078</v>
      </c>
      <c r="H965">
        <v>9473</v>
      </c>
      <c r="I965">
        <v>1213</v>
      </c>
      <c r="J965">
        <v>0</v>
      </c>
      <c r="K965">
        <v>385</v>
      </c>
      <c r="L965">
        <v>0</v>
      </c>
      <c r="M965">
        <v>75</v>
      </c>
      <c r="N965">
        <v>15.88978</v>
      </c>
      <c r="O965">
        <v>3.5791089999999999</v>
      </c>
      <c r="P965">
        <v>13.77956</v>
      </c>
      <c r="Q965">
        <v>32748</v>
      </c>
    </row>
    <row r="966" spans="1:17" x14ac:dyDescent="0.25">
      <c r="A966" t="s">
        <v>21</v>
      </c>
      <c r="B966">
        <v>49</v>
      </c>
      <c r="C966">
        <v>0.59</v>
      </c>
      <c r="D966">
        <v>2004</v>
      </c>
      <c r="E966" t="s">
        <v>28</v>
      </c>
      <c r="F966">
        <v>2004289</v>
      </c>
      <c r="G966">
        <v>2005100</v>
      </c>
      <c r="H966">
        <v>3045</v>
      </c>
      <c r="I966">
        <v>1069</v>
      </c>
      <c r="J966">
        <v>0</v>
      </c>
      <c r="K966">
        <v>207</v>
      </c>
      <c r="L966">
        <v>0</v>
      </c>
      <c r="M966">
        <v>75</v>
      </c>
      <c r="N966">
        <v>16.69378</v>
      </c>
      <c r="O966">
        <v>1.7937799999999999</v>
      </c>
      <c r="P966">
        <v>16.02966</v>
      </c>
      <c r="Q966">
        <v>28866</v>
      </c>
    </row>
    <row r="967" spans="1:17" x14ac:dyDescent="0.25">
      <c r="A967" t="s">
        <v>21</v>
      </c>
      <c r="B967">
        <v>49</v>
      </c>
      <c r="C967">
        <v>0.59</v>
      </c>
      <c r="D967">
        <v>2005</v>
      </c>
      <c r="E967" t="s">
        <v>28</v>
      </c>
      <c r="F967">
        <v>2005289</v>
      </c>
      <c r="G967">
        <v>2006092</v>
      </c>
      <c r="H967">
        <v>6826</v>
      </c>
      <c r="I967">
        <v>1660</v>
      </c>
      <c r="J967">
        <v>0</v>
      </c>
      <c r="K967">
        <v>319</v>
      </c>
      <c r="L967">
        <v>0</v>
      </c>
      <c r="M967">
        <v>75</v>
      </c>
      <c r="N967">
        <v>17.03125</v>
      </c>
      <c r="O967">
        <v>3.781698</v>
      </c>
      <c r="P967">
        <v>14.741960000000001</v>
      </c>
      <c r="Q967">
        <v>44808</v>
      </c>
    </row>
    <row r="968" spans="1:17" x14ac:dyDescent="0.25">
      <c r="A968" t="s">
        <v>21</v>
      </c>
      <c r="B968">
        <v>49</v>
      </c>
      <c r="C968">
        <v>0.59</v>
      </c>
      <c r="D968">
        <v>2006</v>
      </c>
      <c r="E968" t="s">
        <v>28</v>
      </c>
      <c r="F968">
        <v>2006289</v>
      </c>
      <c r="G968">
        <v>2007085</v>
      </c>
      <c r="H968">
        <v>9084</v>
      </c>
      <c r="I968">
        <v>1420</v>
      </c>
      <c r="J968">
        <v>0</v>
      </c>
      <c r="K968">
        <v>343</v>
      </c>
      <c r="L968">
        <v>0</v>
      </c>
      <c r="M968">
        <v>75</v>
      </c>
      <c r="N968">
        <v>16.134450000000001</v>
      </c>
      <c r="O968">
        <v>3.0703339999999999</v>
      </c>
      <c r="P968">
        <v>14.74689</v>
      </c>
      <c r="Q968">
        <v>38345</v>
      </c>
    </row>
    <row r="969" spans="1:17" x14ac:dyDescent="0.25">
      <c r="A969" t="s">
        <v>21</v>
      </c>
      <c r="B969">
        <v>49</v>
      </c>
      <c r="C969">
        <v>0.59</v>
      </c>
      <c r="D969">
        <v>2007</v>
      </c>
      <c r="E969" t="s">
        <v>29</v>
      </c>
      <c r="F969">
        <v>2007289</v>
      </c>
      <c r="G969">
        <v>2008084</v>
      </c>
      <c r="H969">
        <v>2064</v>
      </c>
      <c r="I969">
        <v>432</v>
      </c>
      <c r="J969">
        <v>0</v>
      </c>
      <c r="K969">
        <v>240</v>
      </c>
      <c r="L969">
        <v>0</v>
      </c>
      <c r="M969">
        <v>75</v>
      </c>
      <c r="N969">
        <v>17.21161</v>
      </c>
      <c r="O969">
        <v>2.6428569999999998</v>
      </c>
      <c r="P969">
        <v>15.112500000000001</v>
      </c>
      <c r="Q969">
        <v>11666</v>
      </c>
    </row>
    <row r="970" spans="1:17" x14ac:dyDescent="0.25">
      <c r="A970" t="s">
        <v>21</v>
      </c>
      <c r="B970">
        <v>49</v>
      </c>
      <c r="C970">
        <v>0.59</v>
      </c>
      <c r="D970">
        <v>2008</v>
      </c>
      <c r="E970" t="s">
        <v>29</v>
      </c>
      <c r="F970">
        <v>2008289</v>
      </c>
      <c r="G970">
        <v>2009096</v>
      </c>
      <c r="H970">
        <v>14026</v>
      </c>
      <c r="I970">
        <v>5074</v>
      </c>
      <c r="J970">
        <v>0</v>
      </c>
      <c r="K970">
        <v>372</v>
      </c>
      <c r="L970">
        <v>0</v>
      </c>
      <c r="M970">
        <v>75</v>
      </c>
      <c r="N970">
        <v>15.9146</v>
      </c>
      <c r="O970">
        <v>3.239824</v>
      </c>
      <c r="P970">
        <v>15.07522</v>
      </c>
      <c r="Q970">
        <v>137000</v>
      </c>
    </row>
    <row r="971" spans="1:17" x14ac:dyDescent="0.25">
      <c r="A971" t="s">
        <v>21</v>
      </c>
      <c r="B971">
        <v>49</v>
      </c>
      <c r="C971">
        <v>0.59</v>
      </c>
      <c r="D971">
        <v>2009</v>
      </c>
      <c r="E971" t="s">
        <v>29</v>
      </c>
      <c r="F971">
        <v>2009289</v>
      </c>
      <c r="G971">
        <v>2010085</v>
      </c>
      <c r="H971">
        <v>13863</v>
      </c>
      <c r="I971">
        <v>2632</v>
      </c>
      <c r="J971">
        <v>0</v>
      </c>
      <c r="K971">
        <v>576</v>
      </c>
      <c r="L971">
        <v>0</v>
      </c>
      <c r="M971">
        <v>75</v>
      </c>
      <c r="N971">
        <v>16.64865</v>
      </c>
      <c r="O971">
        <v>4.06982</v>
      </c>
      <c r="P971">
        <v>14.480180000000001</v>
      </c>
      <c r="Q971">
        <v>71073</v>
      </c>
    </row>
    <row r="972" spans="1:17" x14ac:dyDescent="0.25">
      <c r="A972" t="s">
        <v>21</v>
      </c>
      <c r="B972">
        <v>49</v>
      </c>
      <c r="C972">
        <v>0.59</v>
      </c>
      <c r="D972">
        <v>2010</v>
      </c>
      <c r="E972" t="s">
        <v>29</v>
      </c>
      <c r="F972">
        <v>2010289</v>
      </c>
      <c r="G972">
        <v>2011087</v>
      </c>
      <c r="H972">
        <v>17794</v>
      </c>
      <c r="I972">
        <v>4905</v>
      </c>
      <c r="J972">
        <v>0</v>
      </c>
      <c r="K972">
        <v>485</v>
      </c>
      <c r="L972">
        <v>0</v>
      </c>
      <c r="M972">
        <v>75</v>
      </c>
      <c r="N972">
        <v>16.569189999999999</v>
      </c>
      <c r="O972">
        <v>3.5401790000000002</v>
      </c>
      <c r="P972">
        <v>13.56697</v>
      </c>
      <c r="Q972">
        <v>132447</v>
      </c>
    </row>
    <row r="973" spans="1:17" x14ac:dyDescent="0.25">
      <c r="A973" t="s">
        <v>21</v>
      </c>
      <c r="B973">
        <v>49</v>
      </c>
      <c r="C973">
        <v>0.59</v>
      </c>
      <c r="D973">
        <v>2011</v>
      </c>
      <c r="E973" t="s">
        <v>29</v>
      </c>
      <c r="F973">
        <v>2011289</v>
      </c>
      <c r="G973">
        <v>2012097</v>
      </c>
      <c r="H973">
        <v>5063</v>
      </c>
      <c r="I973">
        <v>1028</v>
      </c>
      <c r="J973">
        <v>0</v>
      </c>
      <c r="K973">
        <v>290</v>
      </c>
      <c r="L973">
        <v>0</v>
      </c>
      <c r="M973">
        <v>75</v>
      </c>
      <c r="N973">
        <v>17.013570000000001</v>
      </c>
      <c r="O973">
        <v>1.6800900000000001</v>
      </c>
      <c r="P973">
        <v>15.777380000000001</v>
      </c>
      <c r="Q973">
        <v>27760</v>
      </c>
    </row>
    <row r="974" spans="1:17" x14ac:dyDescent="0.25">
      <c r="A974" t="s">
        <v>21</v>
      </c>
      <c r="B974">
        <v>49</v>
      </c>
      <c r="C974">
        <v>0.59</v>
      </c>
      <c r="D974">
        <v>2012</v>
      </c>
      <c r="E974" t="s">
        <v>29</v>
      </c>
      <c r="F974">
        <v>2012289</v>
      </c>
      <c r="G974">
        <v>2013087</v>
      </c>
      <c r="H974">
        <v>21909</v>
      </c>
      <c r="I974">
        <v>5127</v>
      </c>
      <c r="J974">
        <v>0</v>
      </c>
      <c r="K974">
        <v>593</v>
      </c>
      <c r="L974">
        <v>0</v>
      </c>
      <c r="M974">
        <v>75</v>
      </c>
      <c r="N974">
        <v>15.646459999999999</v>
      </c>
      <c r="O974">
        <v>3.6951329999999998</v>
      </c>
      <c r="P974">
        <v>12.538489999999999</v>
      </c>
      <c r="Q974">
        <v>138439</v>
      </c>
    </row>
    <row r="975" spans="1:17" x14ac:dyDescent="0.25">
      <c r="A975" t="s">
        <v>21</v>
      </c>
      <c r="B975">
        <v>49</v>
      </c>
      <c r="C975">
        <v>0.59</v>
      </c>
      <c r="D975">
        <v>2013</v>
      </c>
      <c r="E975" t="s">
        <v>29</v>
      </c>
      <c r="F975">
        <v>2013289</v>
      </c>
      <c r="G975">
        <v>2014088</v>
      </c>
      <c r="H975">
        <v>12011</v>
      </c>
      <c r="I975">
        <v>3751</v>
      </c>
      <c r="J975">
        <v>0</v>
      </c>
      <c r="K975">
        <v>387</v>
      </c>
      <c r="L975">
        <v>0</v>
      </c>
      <c r="M975">
        <v>75</v>
      </c>
      <c r="N975">
        <v>17.735420000000001</v>
      </c>
      <c r="O975">
        <v>3.0215239999999999</v>
      </c>
      <c r="P975">
        <v>15.4565</v>
      </c>
      <c r="Q975">
        <v>101277</v>
      </c>
    </row>
    <row r="976" spans="1:17" x14ac:dyDescent="0.25">
      <c r="A976" t="s">
        <v>21</v>
      </c>
      <c r="B976">
        <v>49</v>
      </c>
      <c r="C976">
        <v>0.59</v>
      </c>
      <c r="D976">
        <v>2014</v>
      </c>
      <c r="E976" t="s">
        <v>29</v>
      </c>
      <c r="F976">
        <v>2014289</v>
      </c>
      <c r="G976">
        <v>2015091</v>
      </c>
      <c r="H976">
        <v>6049</v>
      </c>
      <c r="I976">
        <v>2202</v>
      </c>
      <c r="J976">
        <v>0</v>
      </c>
      <c r="K976">
        <v>253</v>
      </c>
      <c r="L976">
        <v>0</v>
      </c>
      <c r="M976">
        <v>75</v>
      </c>
      <c r="N976">
        <v>17.985779999999998</v>
      </c>
      <c r="O976">
        <v>3.088889</v>
      </c>
      <c r="P976">
        <v>15.04711</v>
      </c>
      <c r="Q976">
        <v>59455</v>
      </c>
    </row>
    <row r="977" spans="1:17" x14ac:dyDescent="0.25">
      <c r="A977" t="s">
        <v>21</v>
      </c>
      <c r="B977">
        <v>49</v>
      </c>
      <c r="C977">
        <v>0.59</v>
      </c>
      <c r="D977">
        <v>2015</v>
      </c>
      <c r="E977" t="s">
        <v>29</v>
      </c>
      <c r="F977">
        <v>2015289</v>
      </c>
      <c r="G977">
        <v>2016072</v>
      </c>
      <c r="H977">
        <v>1471</v>
      </c>
      <c r="I977">
        <v>263</v>
      </c>
      <c r="J977">
        <v>0</v>
      </c>
      <c r="K977">
        <v>187</v>
      </c>
      <c r="L977">
        <v>0</v>
      </c>
      <c r="M977">
        <v>75</v>
      </c>
      <c r="N977">
        <v>18.041260000000001</v>
      </c>
      <c r="O977">
        <v>3.1071749999999998</v>
      </c>
      <c r="P977">
        <v>14.04753</v>
      </c>
      <c r="Q977">
        <v>7109</v>
      </c>
    </row>
    <row r="978" spans="1:17" x14ac:dyDescent="0.25">
      <c r="A978" t="s">
        <v>21</v>
      </c>
      <c r="B978">
        <v>49</v>
      </c>
      <c r="C978">
        <v>0.59</v>
      </c>
      <c r="D978">
        <v>2016</v>
      </c>
      <c r="E978" t="s">
        <v>29</v>
      </c>
      <c r="F978">
        <v>2016289</v>
      </c>
      <c r="G978">
        <v>2017089</v>
      </c>
      <c r="H978">
        <v>8687</v>
      </c>
      <c r="I978">
        <v>3274</v>
      </c>
      <c r="J978">
        <v>0</v>
      </c>
      <c r="K978">
        <v>303</v>
      </c>
      <c r="L978">
        <v>0</v>
      </c>
      <c r="M978">
        <v>75</v>
      </c>
      <c r="N978">
        <v>18.135840000000002</v>
      </c>
      <c r="O978">
        <v>3.1066370000000001</v>
      </c>
      <c r="P978">
        <v>14.33319</v>
      </c>
      <c r="Q978">
        <v>88395</v>
      </c>
    </row>
    <row r="979" spans="1:17" x14ac:dyDescent="0.25">
      <c r="A979" t="s">
        <v>21</v>
      </c>
      <c r="B979">
        <v>49</v>
      </c>
      <c r="C979">
        <v>0.59</v>
      </c>
      <c r="D979">
        <v>2017</v>
      </c>
      <c r="E979" t="s">
        <v>29</v>
      </c>
      <c r="F979">
        <v>2017289</v>
      </c>
      <c r="G979">
        <v>2018091</v>
      </c>
      <c r="H979">
        <v>16655</v>
      </c>
      <c r="I979">
        <v>4106</v>
      </c>
      <c r="J979">
        <v>0</v>
      </c>
      <c r="K979">
        <v>443</v>
      </c>
      <c r="L979">
        <v>0</v>
      </c>
      <c r="M979">
        <v>75</v>
      </c>
      <c r="N979">
        <v>16.86054</v>
      </c>
      <c r="O979">
        <v>2.695516</v>
      </c>
      <c r="P979">
        <v>14.37758</v>
      </c>
      <c r="Q979">
        <v>110852</v>
      </c>
    </row>
    <row r="980" spans="1:17" x14ac:dyDescent="0.25">
      <c r="A980" t="s">
        <v>21</v>
      </c>
      <c r="B980">
        <v>49</v>
      </c>
      <c r="C980">
        <v>0.59</v>
      </c>
      <c r="D980">
        <v>2018</v>
      </c>
      <c r="E980" t="s">
        <v>29</v>
      </c>
      <c r="F980">
        <v>2018289</v>
      </c>
      <c r="G980">
        <v>2019085</v>
      </c>
      <c r="H980">
        <v>8779</v>
      </c>
      <c r="I980">
        <v>1725</v>
      </c>
      <c r="J980">
        <v>0</v>
      </c>
      <c r="K980">
        <v>357</v>
      </c>
      <c r="L980">
        <v>0</v>
      </c>
      <c r="M980">
        <v>75</v>
      </c>
      <c r="N980">
        <v>17.765329999999999</v>
      </c>
      <c r="O980">
        <v>2.165778</v>
      </c>
      <c r="P980">
        <v>15.05111</v>
      </c>
      <c r="Q980">
        <v>46570</v>
      </c>
    </row>
    <row r="981" spans="1:17" x14ac:dyDescent="0.25">
      <c r="A981" t="s">
        <v>21</v>
      </c>
      <c r="B981">
        <v>49</v>
      </c>
      <c r="C981">
        <v>0.59</v>
      </c>
      <c r="D981">
        <v>2019</v>
      </c>
      <c r="E981" t="s">
        <v>29</v>
      </c>
      <c r="F981">
        <v>2019289</v>
      </c>
      <c r="G981">
        <v>2020067</v>
      </c>
      <c r="H981">
        <v>15280</v>
      </c>
      <c r="I981">
        <v>3710</v>
      </c>
      <c r="J981">
        <v>0</v>
      </c>
      <c r="K981">
        <v>489</v>
      </c>
      <c r="L981">
        <v>0</v>
      </c>
      <c r="M981">
        <v>75</v>
      </c>
      <c r="N981">
        <v>17.770530000000001</v>
      </c>
      <c r="O981">
        <v>4.4549110000000001</v>
      </c>
      <c r="P981">
        <v>14.824999999999999</v>
      </c>
      <c r="Q981">
        <v>100180</v>
      </c>
    </row>
    <row r="982" spans="1:17" x14ac:dyDescent="0.25">
      <c r="A982" t="s">
        <v>21</v>
      </c>
      <c r="B982">
        <v>50</v>
      </c>
      <c r="C982">
        <v>0.67</v>
      </c>
      <c r="D982">
        <v>2000</v>
      </c>
      <c r="E982" t="s">
        <v>28</v>
      </c>
      <c r="F982">
        <v>2000303</v>
      </c>
      <c r="G982">
        <v>2001092</v>
      </c>
      <c r="H982">
        <v>15159</v>
      </c>
      <c r="I982">
        <v>4364</v>
      </c>
      <c r="J982">
        <v>0</v>
      </c>
      <c r="K982">
        <v>423</v>
      </c>
      <c r="L982">
        <v>0</v>
      </c>
      <c r="M982">
        <v>125</v>
      </c>
      <c r="N982">
        <v>16.632539999999999</v>
      </c>
      <c r="O982">
        <v>3.7358500000000001</v>
      </c>
      <c r="P982">
        <v>14.55142</v>
      </c>
      <c r="Q982">
        <v>130933</v>
      </c>
    </row>
    <row r="983" spans="1:17" x14ac:dyDescent="0.25">
      <c r="A983" t="s">
        <v>21</v>
      </c>
      <c r="B983">
        <v>50</v>
      </c>
      <c r="C983">
        <v>0.67</v>
      </c>
      <c r="D983">
        <v>2001</v>
      </c>
      <c r="E983" t="s">
        <v>28</v>
      </c>
      <c r="F983">
        <v>2001303</v>
      </c>
      <c r="G983">
        <v>2002103</v>
      </c>
      <c r="H983">
        <v>11337</v>
      </c>
      <c r="I983">
        <v>2755</v>
      </c>
      <c r="J983">
        <v>0</v>
      </c>
      <c r="K983">
        <v>342</v>
      </c>
      <c r="L983">
        <v>0</v>
      </c>
      <c r="M983">
        <v>125</v>
      </c>
      <c r="N983">
        <v>16.39573</v>
      </c>
      <c r="O983">
        <v>2.6668240000000001</v>
      </c>
      <c r="P983">
        <v>14.35877</v>
      </c>
      <c r="Q983">
        <v>82642</v>
      </c>
    </row>
    <row r="984" spans="1:17" x14ac:dyDescent="0.25">
      <c r="A984" t="s">
        <v>21</v>
      </c>
      <c r="B984">
        <v>50</v>
      </c>
      <c r="C984">
        <v>0.67</v>
      </c>
      <c r="D984">
        <v>2002</v>
      </c>
      <c r="E984" t="s">
        <v>28</v>
      </c>
      <c r="F984">
        <v>2002303</v>
      </c>
      <c r="G984">
        <v>2003098</v>
      </c>
      <c r="H984">
        <v>15881</v>
      </c>
      <c r="I984">
        <v>4623</v>
      </c>
      <c r="J984">
        <v>0</v>
      </c>
      <c r="K984">
        <v>416</v>
      </c>
      <c r="L984">
        <v>0</v>
      </c>
      <c r="M984">
        <v>125</v>
      </c>
      <c r="N984">
        <v>16.145910000000001</v>
      </c>
      <c r="O984">
        <v>3.681632</v>
      </c>
      <c r="P984">
        <v>14.509180000000001</v>
      </c>
      <c r="Q984">
        <v>138690</v>
      </c>
    </row>
    <row r="985" spans="1:17" x14ac:dyDescent="0.25">
      <c r="A985" t="s">
        <v>21</v>
      </c>
      <c r="B985">
        <v>50</v>
      </c>
      <c r="C985">
        <v>0.67</v>
      </c>
      <c r="D985">
        <v>2003</v>
      </c>
      <c r="E985" t="s">
        <v>28</v>
      </c>
      <c r="F985">
        <v>2003303</v>
      </c>
      <c r="G985">
        <v>2004093</v>
      </c>
      <c r="H985">
        <v>12207</v>
      </c>
      <c r="I985">
        <v>1650</v>
      </c>
      <c r="J985">
        <v>0</v>
      </c>
      <c r="K985">
        <v>385</v>
      </c>
      <c r="L985">
        <v>0</v>
      </c>
      <c r="M985">
        <v>125</v>
      </c>
      <c r="N985">
        <v>15.85238</v>
      </c>
      <c r="O985">
        <v>3.3038090000000002</v>
      </c>
      <c r="P985">
        <v>14.05762</v>
      </c>
      <c r="Q985">
        <v>49495</v>
      </c>
    </row>
    <row r="986" spans="1:17" x14ac:dyDescent="0.25">
      <c r="A986" t="s">
        <v>21</v>
      </c>
      <c r="B986">
        <v>50</v>
      </c>
      <c r="C986">
        <v>0.67</v>
      </c>
      <c r="D986">
        <v>2004</v>
      </c>
      <c r="E986" t="s">
        <v>28</v>
      </c>
      <c r="F986">
        <v>2004303</v>
      </c>
      <c r="G986">
        <v>2005111</v>
      </c>
      <c r="H986">
        <v>2588</v>
      </c>
      <c r="I986">
        <v>747</v>
      </c>
      <c r="J986">
        <v>0</v>
      </c>
      <c r="K986">
        <v>207</v>
      </c>
      <c r="L986">
        <v>0</v>
      </c>
      <c r="M986">
        <v>125</v>
      </c>
      <c r="N986">
        <v>16.651219999999999</v>
      </c>
      <c r="O986">
        <v>1.7019519999999999</v>
      </c>
      <c r="P986">
        <v>16.16488</v>
      </c>
      <c r="Q986">
        <v>22411</v>
      </c>
    </row>
    <row r="987" spans="1:17" x14ac:dyDescent="0.25">
      <c r="A987" t="s">
        <v>21</v>
      </c>
      <c r="B987">
        <v>50</v>
      </c>
      <c r="C987">
        <v>0.67</v>
      </c>
      <c r="D987">
        <v>2005</v>
      </c>
      <c r="E987" t="s">
        <v>28</v>
      </c>
      <c r="F987">
        <v>2005303</v>
      </c>
      <c r="G987">
        <v>2006099</v>
      </c>
      <c r="H987">
        <v>6951</v>
      </c>
      <c r="I987">
        <v>1547</v>
      </c>
      <c r="J987">
        <v>0</v>
      </c>
      <c r="K987">
        <v>319</v>
      </c>
      <c r="L987">
        <v>0</v>
      </c>
      <c r="M987">
        <v>125</v>
      </c>
      <c r="N987">
        <v>16.55686</v>
      </c>
      <c r="O987">
        <v>3.6661769999999998</v>
      </c>
      <c r="P987">
        <v>14.862740000000001</v>
      </c>
      <c r="Q987">
        <v>46399</v>
      </c>
    </row>
    <row r="988" spans="1:17" x14ac:dyDescent="0.25">
      <c r="A988" t="s">
        <v>21</v>
      </c>
      <c r="B988">
        <v>50</v>
      </c>
      <c r="C988">
        <v>0.67</v>
      </c>
      <c r="D988">
        <v>2006</v>
      </c>
      <c r="E988" t="s">
        <v>28</v>
      </c>
      <c r="F988">
        <v>2006303</v>
      </c>
      <c r="G988">
        <v>2007102</v>
      </c>
      <c r="H988">
        <v>10433</v>
      </c>
      <c r="I988">
        <v>1828</v>
      </c>
      <c r="J988">
        <v>0</v>
      </c>
      <c r="K988">
        <v>343</v>
      </c>
      <c r="L988">
        <v>0</v>
      </c>
      <c r="M988">
        <v>125</v>
      </c>
      <c r="N988">
        <v>16.141539999999999</v>
      </c>
      <c r="O988">
        <v>3.0053139999999998</v>
      </c>
      <c r="P988">
        <v>14.84299</v>
      </c>
      <c r="Q988">
        <v>54826</v>
      </c>
    </row>
    <row r="989" spans="1:17" x14ac:dyDescent="0.25">
      <c r="A989" t="s">
        <v>21</v>
      </c>
      <c r="B989">
        <v>50</v>
      </c>
      <c r="C989">
        <v>0.67</v>
      </c>
      <c r="D989">
        <v>2007</v>
      </c>
      <c r="E989" t="s">
        <v>28</v>
      </c>
      <c r="F989">
        <v>2007303</v>
      </c>
      <c r="G989">
        <v>2008097</v>
      </c>
      <c r="H989">
        <v>2115</v>
      </c>
      <c r="I989">
        <v>251</v>
      </c>
      <c r="J989">
        <v>0</v>
      </c>
      <c r="K989">
        <v>240</v>
      </c>
      <c r="L989">
        <v>0</v>
      </c>
      <c r="M989">
        <v>125</v>
      </c>
      <c r="N989">
        <v>17.12679</v>
      </c>
      <c r="O989">
        <v>2.5267940000000002</v>
      </c>
      <c r="P989">
        <v>15.28373</v>
      </c>
      <c r="Q989">
        <v>7535</v>
      </c>
    </row>
    <row r="990" spans="1:17" x14ac:dyDescent="0.25">
      <c r="A990" t="s">
        <v>21</v>
      </c>
      <c r="B990">
        <v>50</v>
      </c>
      <c r="C990">
        <v>0.67</v>
      </c>
      <c r="D990">
        <v>2008</v>
      </c>
      <c r="E990" t="s">
        <v>28</v>
      </c>
      <c r="F990">
        <v>2008303</v>
      </c>
      <c r="G990">
        <v>2009108</v>
      </c>
      <c r="H990">
        <v>12473</v>
      </c>
      <c r="I990">
        <v>3156</v>
      </c>
      <c r="J990">
        <v>0</v>
      </c>
      <c r="K990">
        <v>372</v>
      </c>
      <c r="L990">
        <v>0</v>
      </c>
      <c r="M990">
        <v>125</v>
      </c>
      <c r="N990">
        <v>15.854290000000001</v>
      </c>
      <c r="O990">
        <v>2.875238</v>
      </c>
      <c r="P990">
        <v>15.55762</v>
      </c>
      <c r="Q990">
        <v>94690</v>
      </c>
    </row>
    <row r="991" spans="1:17" x14ac:dyDescent="0.25">
      <c r="A991" t="s">
        <v>21</v>
      </c>
      <c r="B991">
        <v>50</v>
      </c>
      <c r="C991">
        <v>0.67</v>
      </c>
      <c r="D991">
        <v>2009</v>
      </c>
      <c r="E991" t="s">
        <v>28</v>
      </c>
      <c r="F991">
        <v>2009303</v>
      </c>
      <c r="G991">
        <v>2010097</v>
      </c>
      <c r="H991">
        <v>14595</v>
      </c>
      <c r="I991">
        <v>3378</v>
      </c>
      <c r="J991">
        <v>0</v>
      </c>
      <c r="K991">
        <v>576</v>
      </c>
      <c r="L991">
        <v>0</v>
      </c>
      <c r="M991">
        <v>125</v>
      </c>
      <c r="N991">
        <v>16.120090000000001</v>
      </c>
      <c r="O991">
        <v>3.8861249999999998</v>
      </c>
      <c r="P991">
        <v>14.41531</v>
      </c>
      <c r="Q991">
        <v>101350</v>
      </c>
    </row>
    <row r="992" spans="1:17" x14ac:dyDescent="0.25">
      <c r="A992" t="s">
        <v>21</v>
      </c>
      <c r="B992">
        <v>50</v>
      </c>
      <c r="C992">
        <v>0.67</v>
      </c>
      <c r="D992">
        <v>2010</v>
      </c>
      <c r="E992" t="s">
        <v>28</v>
      </c>
      <c r="F992">
        <v>2010303</v>
      </c>
      <c r="G992">
        <v>2011099</v>
      </c>
      <c r="H992">
        <v>17901</v>
      </c>
      <c r="I992">
        <v>4279</v>
      </c>
      <c r="J992">
        <v>0</v>
      </c>
      <c r="K992">
        <v>485</v>
      </c>
      <c r="L992">
        <v>0</v>
      </c>
      <c r="M992">
        <v>125</v>
      </c>
      <c r="N992">
        <v>16.328569999999999</v>
      </c>
      <c r="O992">
        <v>3.5457139999999998</v>
      </c>
      <c r="P992">
        <v>13.549049999999999</v>
      </c>
      <c r="Q992">
        <v>128368</v>
      </c>
    </row>
    <row r="993" spans="1:17" x14ac:dyDescent="0.25">
      <c r="A993" t="s">
        <v>21</v>
      </c>
      <c r="B993">
        <v>50</v>
      </c>
      <c r="C993">
        <v>0.67</v>
      </c>
      <c r="D993">
        <v>2011</v>
      </c>
      <c r="E993" t="s">
        <v>29</v>
      </c>
      <c r="F993">
        <v>2011303</v>
      </c>
      <c r="G993">
        <v>2012112</v>
      </c>
      <c r="H993">
        <v>4907</v>
      </c>
      <c r="I993">
        <v>1029</v>
      </c>
      <c r="J993">
        <v>0</v>
      </c>
      <c r="K993">
        <v>290</v>
      </c>
      <c r="L993">
        <v>0</v>
      </c>
      <c r="M993">
        <v>125</v>
      </c>
      <c r="N993">
        <v>16.92464</v>
      </c>
      <c r="O993">
        <v>1.4369670000000001</v>
      </c>
      <c r="P993">
        <v>16.077729999999999</v>
      </c>
      <c r="Q993">
        <v>30856</v>
      </c>
    </row>
    <row r="994" spans="1:17" x14ac:dyDescent="0.25">
      <c r="A994" t="s">
        <v>21</v>
      </c>
      <c r="B994">
        <v>50</v>
      </c>
      <c r="C994">
        <v>0.67</v>
      </c>
      <c r="D994">
        <v>2012</v>
      </c>
      <c r="E994" t="s">
        <v>29</v>
      </c>
      <c r="F994">
        <v>2012303</v>
      </c>
      <c r="G994">
        <v>2013103</v>
      </c>
      <c r="H994">
        <v>21200</v>
      </c>
      <c r="I994">
        <v>4705</v>
      </c>
      <c r="J994">
        <v>0</v>
      </c>
      <c r="K994">
        <v>593</v>
      </c>
      <c r="L994">
        <v>0</v>
      </c>
      <c r="M994">
        <v>125</v>
      </c>
      <c r="N994">
        <v>15.5654</v>
      </c>
      <c r="O994">
        <v>3.4113730000000002</v>
      </c>
      <c r="P994">
        <v>12.76872</v>
      </c>
      <c r="Q994">
        <v>141150</v>
      </c>
    </row>
    <row r="995" spans="1:17" x14ac:dyDescent="0.25">
      <c r="A995" t="s">
        <v>21</v>
      </c>
      <c r="B995">
        <v>50</v>
      </c>
      <c r="C995">
        <v>0.67</v>
      </c>
      <c r="D995">
        <v>2013</v>
      </c>
      <c r="E995" t="s">
        <v>29</v>
      </c>
      <c r="F995">
        <v>2013303</v>
      </c>
      <c r="G995">
        <v>2014101</v>
      </c>
      <c r="H995">
        <v>11424</v>
      </c>
      <c r="I995">
        <v>4210</v>
      </c>
      <c r="J995">
        <v>0</v>
      </c>
      <c r="K995">
        <v>387</v>
      </c>
      <c r="L995">
        <v>0</v>
      </c>
      <c r="M995">
        <v>125</v>
      </c>
      <c r="N995">
        <v>17.27854</v>
      </c>
      <c r="O995">
        <v>2.858536</v>
      </c>
      <c r="P995">
        <v>15.71073</v>
      </c>
      <c r="Q995">
        <v>126286</v>
      </c>
    </row>
    <row r="996" spans="1:17" x14ac:dyDescent="0.25">
      <c r="A996" t="s">
        <v>21</v>
      </c>
      <c r="B996">
        <v>50</v>
      </c>
      <c r="C996">
        <v>0.67</v>
      </c>
      <c r="D996">
        <v>2014</v>
      </c>
      <c r="E996" t="s">
        <v>29</v>
      </c>
      <c r="F996">
        <v>2014303</v>
      </c>
      <c r="G996">
        <v>2015102</v>
      </c>
      <c r="H996">
        <v>6487</v>
      </c>
      <c r="I996">
        <v>2354</v>
      </c>
      <c r="J996">
        <v>0</v>
      </c>
      <c r="K996">
        <v>253</v>
      </c>
      <c r="L996">
        <v>0</v>
      </c>
      <c r="M996">
        <v>125</v>
      </c>
      <c r="N996">
        <v>17.465859999999999</v>
      </c>
      <c r="O996">
        <v>2.8390240000000002</v>
      </c>
      <c r="P996">
        <v>15.170730000000001</v>
      </c>
      <c r="Q996">
        <v>70612</v>
      </c>
    </row>
    <row r="997" spans="1:17" x14ac:dyDescent="0.25">
      <c r="A997" t="s">
        <v>21</v>
      </c>
      <c r="B997">
        <v>50</v>
      </c>
      <c r="C997">
        <v>0.67</v>
      </c>
      <c r="D997">
        <v>2015</v>
      </c>
      <c r="E997" t="s">
        <v>29</v>
      </c>
      <c r="F997">
        <v>2015303</v>
      </c>
      <c r="G997">
        <v>2016091</v>
      </c>
      <c r="H997">
        <v>1216</v>
      </c>
      <c r="I997">
        <v>300</v>
      </c>
      <c r="J997">
        <v>0</v>
      </c>
      <c r="K997">
        <v>187</v>
      </c>
      <c r="L997">
        <v>0</v>
      </c>
      <c r="M997">
        <v>125</v>
      </c>
      <c r="N997">
        <v>17.94285</v>
      </c>
      <c r="O997">
        <v>2.9128560000000001</v>
      </c>
      <c r="P997">
        <v>14.29142</v>
      </c>
      <c r="Q997">
        <v>9006</v>
      </c>
    </row>
    <row r="998" spans="1:17" x14ac:dyDescent="0.25">
      <c r="A998" t="s">
        <v>21</v>
      </c>
      <c r="B998">
        <v>50</v>
      </c>
      <c r="C998">
        <v>0.67</v>
      </c>
      <c r="D998">
        <v>2016</v>
      </c>
      <c r="E998" t="s">
        <v>29</v>
      </c>
      <c r="F998">
        <v>2016303</v>
      </c>
      <c r="G998">
        <v>2017098</v>
      </c>
      <c r="H998">
        <v>8290</v>
      </c>
      <c r="I998">
        <v>3127</v>
      </c>
      <c r="J998">
        <v>0</v>
      </c>
      <c r="K998">
        <v>303</v>
      </c>
      <c r="L998">
        <v>0</v>
      </c>
      <c r="M998">
        <v>125</v>
      </c>
      <c r="N998">
        <v>17.790050000000001</v>
      </c>
      <c r="O998">
        <v>2.8164169999999999</v>
      </c>
      <c r="P998">
        <v>14.62388</v>
      </c>
      <c r="Q998">
        <v>93808</v>
      </c>
    </row>
    <row r="999" spans="1:17" x14ac:dyDescent="0.25">
      <c r="A999" t="s">
        <v>21</v>
      </c>
      <c r="B999">
        <v>50</v>
      </c>
      <c r="C999">
        <v>0.67</v>
      </c>
      <c r="D999">
        <v>2017</v>
      </c>
      <c r="E999" t="s">
        <v>29</v>
      </c>
      <c r="F999">
        <v>2017303</v>
      </c>
      <c r="G999">
        <v>2018101</v>
      </c>
      <c r="H999">
        <v>16567</v>
      </c>
      <c r="I999">
        <v>4159</v>
      </c>
      <c r="J999">
        <v>0</v>
      </c>
      <c r="K999">
        <v>443</v>
      </c>
      <c r="L999">
        <v>0</v>
      </c>
      <c r="M999">
        <v>125</v>
      </c>
      <c r="N999">
        <v>16.353809999999999</v>
      </c>
      <c r="O999">
        <v>2.519047</v>
      </c>
      <c r="P999">
        <v>14.389530000000001</v>
      </c>
      <c r="Q999">
        <v>124763</v>
      </c>
    </row>
    <row r="1000" spans="1:17" x14ac:dyDescent="0.25">
      <c r="A1000" t="s">
        <v>21</v>
      </c>
      <c r="B1000">
        <v>50</v>
      </c>
      <c r="C1000">
        <v>0.67</v>
      </c>
      <c r="D1000">
        <v>2018</v>
      </c>
      <c r="E1000" t="s">
        <v>29</v>
      </c>
      <c r="F1000">
        <v>2018303</v>
      </c>
      <c r="G1000">
        <v>2019099</v>
      </c>
      <c r="H1000">
        <v>9564</v>
      </c>
      <c r="I1000">
        <v>2158</v>
      </c>
      <c r="J1000">
        <v>0</v>
      </c>
      <c r="K1000">
        <v>357</v>
      </c>
      <c r="L1000">
        <v>0</v>
      </c>
      <c r="M1000">
        <v>125</v>
      </c>
      <c r="N1000">
        <v>17.804300000000001</v>
      </c>
      <c r="O1000">
        <v>1.9306220000000001</v>
      </c>
      <c r="P1000">
        <v>15.41244</v>
      </c>
      <c r="Q1000">
        <v>64733</v>
      </c>
    </row>
    <row r="1001" spans="1:17" x14ac:dyDescent="0.25">
      <c r="A1001" t="s">
        <v>21</v>
      </c>
      <c r="B1001">
        <v>50</v>
      </c>
      <c r="C1001">
        <v>0.67</v>
      </c>
      <c r="D1001">
        <v>2019</v>
      </c>
      <c r="E1001" t="s">
        <v>29</v>
      </c>
      <c r="F1001">
        <v>2019303</v>
      </c>
      <c r="G1001">
        <v>2020083</v>
      </c>
      <c r="H1001">
        <v>15920</v>
      </c>
      <c r="I1001">
        <v>3394</v>
      </c>
      <c r="J1001">
        <v>0</v>
      </c>
      <c r="K1001">
        <v>489</v>
      </c>
      <c r="L1001">
        <v>0</v>
      </c>
      <c r="M1001">
        <v>125</v>
      </c>
      <c r="N1001">
        <v>17.615639999999999</v>
      </c>
      <c r="O1001">
        <v>4.2881520000000002</v>
      </c>
      <c r="P1001">
        <v>14.93365</v>
      </c>
      <c r="Q1001">
        <v>101811</v>
      </c>
    </row>
    <row r="1002" spans="1:17" x14ac:dyDescent="0.25">
      <c r="A1002" t="s">
        <v>22</v>
      </c>
      <c r="B1002">
        <v>51</v>
      </c>
      <c r="C1002">
        <v>0.74</v>
      </c>
      <c r="D1002">
        <v>2000</v>
      </c>
      <c r="E1002" t="s">
        <v>28</v>
      </c>
      <c r="F1002">
        <v>2000334</v>
      </c>
      <c r="G1002">
        <v>2001085</v>
      </c>
      <c r="H1002">
        <v>5926</v>
      </c>
      <c r="I1002">
        <v>869</v>
      </c>
      <c r="J1002">
        <v>50</v>
      </c>
      <c r="K1002">
        <v>441</v>
      </c>
      <c r="L1002">
        <v>0</v>
      </c>
      <c r="M1002">
        <v>25</v>
      </c>
      <c r="N1002">
        <v>19.017219999999998</v>
      </c>
      <c r="O1002">
        <v>7.5955570000000003</v>
      </c>
      <c r="P1002">
        <v>13.911659999999999</v>
      </c>
      <c r="Q1002">
        <v>21737</v>
      </c>
    </row>
    <row r="1003" spans="1:17" x14ac:dyDescent="0.25">
      <c r="A1003" t="s">
        <v>22</v>
      </c>
      <c r="B1003">
        <v>51</v>
      </c>
      <c r="C1003">
        <v>0.74</v>
      </c>
      <c r="D1003">
        <v>2001</v>
      </c>
      <c r="E1003" t="s">
        <v>28</v>
      </c>
      <c r="F1003">
        <v>2001334</v>
      </c>
      <c r="G1003">
        <v>2002090</v>
      </c>
      <c r="H1003">
        <v>10955</v>
      </c>
      <c r="I1003">
        <v>1335</v>
      </c>
      <c r="J1003">
        <v>50</v>
      </c>
      <c r="K1003">
        <v>573</v>
      </c>
      <c r="L1003">
        <v>0</v>
      </c>
      <c r="M1003">
        <v>25</v>
      </c>
      <c r="N1003">
        <v>17.96593</v>
      </c>
      <c r="O1003">
        <v>7.2256999999999998</v>
      </c>
      <c r="P1003">
        <v>13.42347</v>
      </c>
      <c r="Q1003">
        <v>33382</v>
      </c>
    </row>
    <row r="1004" spans="1:17" x14ac:dyDescent="0.25">
      <c r="A1004" t="s">
        <v>22</v>
      </c>
      <c r="B1004">
        <v>51</v>
      </c>
      <c r="C1004">
        <v>0.74</v>
      </c>
      <c r="D1004">
        <v>2002</v>
      </c>
      <c r="E1004" t="s">
        <v>28</v>
      </c>
      <c r="F1004">
        <v>2002334</v>
      </c>
      <c r="G1004">
        <v>2003091</v>
      </c>
      <c r="H1004">
        <v>15810</v>
      </c>
      <c r="I1004">
        <v>2513</v>
      </c>
      <c r="J1004">
        <v>50</v>
      </c>
      <c r="K1004">
        <v>509</v>
      </c>
      <c r="L1004">
        <v>0</v>
      </c>
      <c r="M1004">
        <v>25</v>
      </c>
      <c r="N1004">
        <v>18.017320000000002</v>
      </c>
      <c r="O1004">
        <v>7.5843569999999998</v>
      </c>
      <c r="P1004">
        <v>13.343019999999999</v>
      </c>
      <c r="Q1004">
        <v>62824</v>
      </c>
    </row>
    <row r="1005" spans="1:17" x14ac:dyDescent="0.25">
      <c r="A1005" t="s">
        <v>22</v>
      </c>
      <c r="B1005">
        <v>51</v>
      </c>
      <c r="C1005">
        <v>0.74</v>
      </c>
      <c r="D1005">
        <v>2003</v>
      </c>
      <c r="E1005" t="s">
        <v>28</v>
      </c>
      <c r="F1005">
        <v>2003334</v>
      </c>
      <c r="G1005">
        <v>2004092</v>
      </c>
      <c r="H1005">
        <v>13397</v>
      </c>
      <c r="I1005">
        <v>1992</v>
      </c>
      <c r="J1005">
        <v>50</v>
      </c>
      <c r="K1005">
        <v>651</v>
      </c>
      <c r="L1005">
        <v>0</v>
      </c>
      <c r="M1005">
        <v>25</v>
      </c>
      <c r="N1005">
        <v>17.562919999999998</v>
      </c>
      <c r="O1005">
        <v>6.7780899999999997</v>
      </c>
      <c r="P1005">
        <v>12.85674</v>
      </c>
      <c r="Q1005">
        <v>49807</v>
      </c>
    </row>
    <row r="1006" spans="1:17" x14ac:dyDescent="0.25">
      <c r="A1006" t="s">
        <v>22</v>
      </c>
      <c r="B1006">
        <v>51</v>
      </c>
      <c r="C1006">
        <v>0.74</v>
      </c>
      <c r="D1006">
        <v>2004</v>
      </c>
      <c r="E1006" t="s">
        <v>28</v>
      </c>
      <c r="F1006">
        <v>2004334</v>
      </c>
      <c r="G1006">
        <v>2005103</v>
      </c>
      <c r="H1006">
        <v>10912</v>
      </c>
      <c r="I1006">
        <v>2234</v>
      </c>
      <c r="J1006">
        <v>50</v>
      </c>
      <c r="K1006">
        <v>313</v>
      </c>
      <c r="L1006">
        <v>0</v>
      </c>
      <c r="M1006">
        <v>25</v>
      </c>
      <c r="N1006">
        <v>17.577780000000001</v>
      </c>
      <c r="O1006">
        <v>6.4122209999999997</v>
      </c>
      <c r="P1006">
        <v>14.355</v>
      </c>
      <c r="Q1006">
        <v>55859</v>
      </c>
    </row>
    <row r="1007" spans="1:17" x14ac:dyDescent="0.25">
      <c r="A1007" t="s">
        <v>22</v>
      </c>
      <c r="B1007">
        <v>51</v>
      </c>
      <c r="C1007">
        <v>0.74</v>
      </c>
      <c r="D1007">
        <v>2005</v>
      </c>
      <c r="E1007" t="s">
        <v>28</v>
      </c>
      <c r="F1007">
        <v>2005334</v>
      </c>
      <c r="G1007">
        <v>2006096</v>
      </c>
      <c r="H1007">
        <v>10909</v>
      </c>
      <c r="I1007">
        <v>2482</v>
      </c>
      <c r="J1007">
        <v>50</v>
      </c>
      <c r="K1007">
        <v>612</v>
      </c>
      <c r="L1007">
        <v>0</v>
      </c>
      <c r="M1007">
        <v>25</v>
      </c>
      <c r="N1007">
        <v>17.978770000000001</v>
      </c>
      <c r="O1007">
        <v>7.3474849999999998</v>
      </c>
      <c r="P1007">
        <v>13.85196</v>
      </c>
      <c r="Q1007">
        <v>62060</v>
      </c>
    </row>
    <row r="1008" spans="1:17" x14ac:dyDescent="0.25">
      <c r="A1008" t="s">
        <v>22</v>
      </c>
      <c r="B1008">
        <v>51</v>
      </c>
      <c r="C1008">
        <v>0.74</v>
      </c>
      <c r="D1008">
        <v>2006</v>
      </c>
      <c r="E1008" t="s">
        <v>28</v>
      </c>
      <c r="F1008">
        <v>2006334</v>
      </c>
      <c r="G1008">
        <v>2007087</v>
      </c>
      <c r="H1008">
        <v>11343</v>
      </c>
      <c r="I1008">
        <v>2009</v>
      </c>
      <c r="J1008">
        <v>50</v>
      </c>
      <c r="K1008">
        <v>512</v>
      </c>
      <c r="L1008">
        <v>0</v>
      </c>
      <c r="M1008">
        <v>25</v>
      </c>
      <c r="N1008">
        <v>19.065560000000001</v>
      </c>
      <c r="O1008">
        <v>7.7200009999999999</v>
      </c>
      <c r="P1008">
        <v>14.498889999999999</v>
      </c>
      <c r="Q1008">
        <v>50227</v>
      </c>
    </row>
    <row r="1009" spans="1:17" x14ac:dyDescent="0.25">
      <c r="A1009" t="s">
        <v>22</v>
      </c>
      <c r="B1009">
        <v>51</v>
      </c>
      <c r="C1009">
        <v>0.74</v>
      </c>
      <c r="D1009">
        <v>2007</v>
      </c>
      <c r="E1009" t="s">
        <v>28</v>
      </c>
      <c r="F1009">
        <v>2007334</v>
      </c>
      <c r="G1009">
        <v>2008090</v>
      </c>
      <c r="H1009">
        <v>11934</v>
      </c>
      <c r="I1009">
        <v>2587</v>
      </c>
      <c r="J1009">
        <v>50</v>
      </c>
      <c r="K1009">
        <v>647</v>
      </c>
      <c r="L1009">
        <v>0</v>
      </c>
      <c r="M1009">
        <v>25</v>
      </c>
      <c r="N1009">
        <v>18.479340000000001</v>
      </c>
      <c r="O1009">
        <v>7.3625689999999997</v>
      </c>
      <c r="P1009">
        <v>14.02402</v>
      </c>
      <c r="Q1009">
        <v>64670</v>
      </c>
    </row>
    <row r="1010" spans="1:17" x14ac:dyDescent="0.25">
      <c r="A1010" t="s">
        <v>22</v>
      </c>
      <c r="B1010">
        <v>51</v>
      </c>
      <c r="C1010">
        <v>0.74</v>
      </c>
      <c r="D1010">
        <v>2008</v>
      </c>
      <c r="E1010" t="s">
        <v>28</v>
      </c>
      <c r="F1010">
        <v>2008334</v>
      </c>
      <c r="G1010">
        <v>2009097</v>
      </c>
      <c r="H1010">
        <v>12648</v>
      </c>
      <c r="I1010">
        <v>1855</v>
      </c>
      <c r="J1010">
        <v>50</v>
      </c>
      <c r="K1010">
        <v>418</v>
      </c>
      <c r="L1010">
        <v>0</v>
      </c>
      <c r="M1010">
        <v>25</v>
      </c>
      <c r="N1010">
        <v>18.029209999999999</v>
      </c>
      <c r="O1010">
        <v>6.6337080000000004</v>
      </c>
      <c r="P1010">
        <v>14.66966</v>
      </c>
      <c r="Q1010">
        <v>46376</v>
      </c>
    </row>
    <row r="1011" spans="1:17" x14ac:dyDescent="0.25">
      <c r="A1011" t="s">
        <v>22</v>
      </c>
      <c r="B1011">
        <v>51</v>
      </c>
      <c r="C1011">
        <v>0.74</v>
      </c>
      <c r="D1011">
        <v>2009</v>
      </c>
      <c r="E1011" t="s">
        <v>29</v>
      </c>
      <c r="F1011">
        <v>2009334</v>
      </c>
      <c r="G1011">
        <v>2010103</v>
      </c>
      <c r="H1011">
        <v>14426</v>
      </c>
      <c r="I1011">
        <v>2846</v>
      </c>
      <c r="J1011">
        <v>50</v>
      </c>
      <c r="K1011">
        <v>632</v>
      </c>
      <c r="L1011">
        <v>0</v>
      </c>
      <c r="M1011">
        <v>25</v>
      </c>
      <c r="N1011">
        <v>17.326260000000001</v>
      </c>
      <c r="O1011">
        <v>6.2223449999999998</v>
      </c>
      <c r="P1011">
        <v>13.13632</v>
      </c>
      <c r="Q1011">
        <v>71142</v>
      </c>
    </row>
    <row r="1012" spans="1:17" x14ac:dyDescent="0.25">
      <c r="A1012" t="s">
        <v>22</v>
      </c>
      <c r="B1012">
        <v>51</v>
      </c>
      <c r="C1012">
        <v>0.74</v>
      </c>
      <c r="D1012">
        <v>2010</v>
      </c>
      <c r="E1012" t="s">
        <v>29</v>
      </c>
      <c r="F1012">
        <v>2010334</v>
      </c>
      <c r="G1012">
        <v>2011093</v>
      </c>
      <c r="H1012">
        <v>9731</v>
      </c>
      <c r="I1012">
        <v>2006</v>
      </c>
      <c r="J1012">
        <v>50</v>
      </c>
      <c r="K1012">
        <v>350</v>
      </c>
      <c r="L1012">
        <v>0</v>
      </c>
      <c r="M1012">
        <v>25</v>
      </c>
      <c r="N1012">
        <v>18.817519999999998</v>
      </c>
      <c r="O1012">
        <v>7.592657</v>
      </c>
      <c r="P1012">
        <v>13.63729</v>
      </c>
      <c r="Q1012">
        <v>50153</v>
      </c>
    </row>
    <row r="1013" spans="1:17" x14ac:dyDescent="0.25">
      <c r="A1013" t="s">
        <v>22</v>
      </c>
      <c r="B1013">
        <v>51</v>
      </c>
      <c r="C1013">
        <v>0.74</v>
      </c>
      <c r="D1013">
        <v>2011</v>
      </c>
      <c r="E1013" t="s">
        <v>29</v>
      </c>
      <c r="F1013">
        <v>2011334</v>
      </c>
      <c r="G1013">
        <v>2012095</v>
      </c>
      <c r="H1013">
        <v>10831</v>
      </c>
      <c r="I1013">
        <v>2711</v>
      </c>
      <c r="J1013">
        <v>50</v>
      </c>
      <c r="K1013">
        <v>411</v>
      </c>
      <c r="L1013">
        <v>0</v>
      </c>
      <c r="M1013">
        <v>25</v>
      </c>
      <c r="N1013">
        <v>19.103349999999999</v>
      </c>
      <c r="O1013">
        <v>6.2564250000000001</v>
      </c>
      <c r="P1013">
        <v>14.03631</v>
      </c>
      <c r="Q1013">
        <v>67786</v>
      </c>
    </row>
    <row r="1014" spans="1:17" x14ac:dyDescent="0.25">
      <c r="A1014" t="s">
        <v>22</v>
      </c>
      <c r="B1014">
        <v>51</v>
      </c>
      <c r="C1014">
        <v>0.74</v>
      </c>
      <c r="D1014">
        <v>2012</v>
      </c>
      <c r="E1014" t="s">
        <v>29</v>
      </c>
      <c r="F1014">
        <v>2012334</v>
      </c>
      <c r="G1014">
        <v>2013087</v>
      </c>
      <c r="H1014">
        <v>7102</v>
      </c>
      <c r="I1014">
        <v>1339</v>
      </c>
      <c r="J1014">
        <v>50</v>
      </c>
      <c r="K1014">
        <v>444</v>
      </c>
      <c r="L1014">
        <v>0</v>
      </c>
      <c r="M1014">
        <v>25</v>
      </c>
      <c r="N1014">
        <v>19</v>
      </c>
      <c r="O1014">
        <v>6.6122899999999998</v>
      </c>
      <c r="P1014">
        <v>14.14246</v>
      </c>
      <c r="Q1014">
        <v>33482</v>
      </c>
    </row>
    <row r="1015" spans="1:17" x14ac:dyDescent="0.25">
      <c r="A1015" t="s">
        <v>22</v>
      </c>
      <c r="B1015">
        <v>51</v>
      </c>
      <c r="C1015">
        <v>0.74</v>
      </c>
      <c r="D1015">
        <v>2013</v>
      </c>
      <c r="E1015" t="s">
        <v>29</v>
      </c>
      <c r="F1015">
        <v>2013334</v>
      </c>
      <c r="G1015">
        <v>2014087</v>
      </c>
      <c r="H1015">
        <v>8277</v>
      </c>
      <c r="I1015">
        <v>1810</v>
      </c>
      <c r="J1015">
        <v>50</v>
      </c>
      <c r="K1015">
        <v>174</v>
      </c>
      <c r="L1015">
        <v>0</v>
      </c>
      <c r="M1015">
        <v>25</v>
      </c>
      <c r="N1015">
        <v>19.42858</v>
      </c>
      <c r="O1015">
        <v>7.3520009999999996</v>
      </c>
      <c r="P1015">
        <v>14.888</v>
      </c>
      <c r="Q1015">
        <v>45252</v>
      </c>
    </row>
    <row r="1016" spans="1:17" x14ac:dyDescent="0.25">
      <c r="A1016" t="s">
        <v>22</v>
      </c>
      <c r="B1016">
        <v>51</v>
      </c>
      <c r="C1016">
        <v>0.74</v>
      </c>
      <c r="D1016">
        <v>2014</v>
      </c>
      <c r="E1016" t="s">
        <v>29</v>
      </c>
      <c r="F1016">
        <v>2014334</v>
      </c>
      <c r="G1016">
        <v>2015093</v>
      </c>
      <c r="H1016">
        <v>12414</v>
      </c>
      <c r="I1016">
        <v>2554</v>
      </c>
      <c r="J1016">
        <v>50</v>
      </c>
      <c r="K1016">
        <v>612</v>
      </c>
      <c r="L1016">
        <v>0</v>
      </c>
      <c r="M1016">
        <v>25</v>
      </c>
      <c r="N1016">
        <v>18.921659999999999</v>
      </c>
      <c r="O1016">
        <v>6.4488899999999996</v>
      </c>
      <c r="P1016">
        <v>15.15222</v>
      </c>
      <c r="Q1016">
        <v>63858</v>
      </c>
    </row>
    <row r="1017" spans="1:17" x14ac:dyDescent="0.25">
      <c r="A1017" t="s">
        <v>22</v>
      </c>
      <c r="B1017">
        <v>51</v>
      </c>
      <c r="C1017">
        <v>0.74</v>
      </c>
      <c r="D1017">
        <v>2015</v>
      </c>
      <c r="E1017" t="s">
        <v>29</v>
      </c>
      <c r="F1017">
        <v>2015334</v>
      </c>
      <c r="G1017">
        <v>2016082</v>
      </c>
      <c r="H1017">
        <v>5871</v>
      </c>
      <c r="I1017">
        <v>1185</v>
      </c>
      <c r="J1017">
        <v>50</v>
      </c>
      <c r="K1017">
        <v>436</v>
      </c>
      <c r="L1017">
        <v>0</v>
      </c>
      <c r="M1017">
        <v>25</v>
      </c>
      <c r="N1017">
        <v>19.64134</v>
      </c>
      <c r="O1017">
        <v>7.7726230000000003</v>
      </c>
      <c r="P1017">
        <v>13.889379999999999</v>
      </c>
      <c r="Q1017">
        <v>29637</v>
      </c>
    </row>
    <row r="1018" spans="1:17" x14ac:dyDescent="0.25">
      <c r="A1018" t="s">
        <v>22</v>
      </c>
      <c r="B1018">
        <v>51</v>
      </c>
      <c r="C1018">
        <v>0.74</v>
      </c>
      <c r="D1018">
        <v>2016</v>
      </c>
      <c r="E1018" t="s">
        <v>29</v>
      </c>
      <c r="F1018">
        <v>2016334</v>
      </c>
      <c r="G1018">
        <v>2017085</v>
      </c>
      <c r="H1018">
        <v>13359</v>
      </c>
      <c r="I1018">
        <v>3175</v>
      </c>
      <c r="J1018">
        <v>50</v>
      </c>
      <c r="K1018">
        <v>560</v>
      </c>
      <c r="L1018">
        <v>0</v>
      </c>
      <c r="M1018">
        <v>25</v>
      </c>
      <c r="N1018">
        <v>19.46022</v>
      </c>
      <c r="O1018">
        <v>7.7696139999999998</v>
      </c>
      <c r="P1018">
        <v>14.54862</v>
      </c>
      <c r="Q1018">
        <v>79364</v>
      </c>
    </row>
    <row r="1019" spans="1:17" x14ac:dyDescent="0.25">
      <c r="A1019" t="s">
        <v>22</v>
      </c>
      <c r="B1019">
        <v>51</v>
      </c>
      <c r="C1019">
        <v>0.74</v>
      </c>
      <c r="D1019">
        <v>2017</v>
      </c>
      <c r="E1019" t="s">
        <v>29</v>
      </c>
      <c r="F1019">
        <v>2017334</v>
      </c>
      <c r="G1019">
        <v>2018090</v>
      </c>
      <c r="H1019">
        <v>6198</v>
      </c>
      <c r="I1019">
        <v>1141</v>
      </c>
      <c r="J1019">
        <v>50</v>
      </c>
      <c r="K1019">
        <v>237</v>
      </c>
      <c r="L1019">
        <v>0</v>
      </c>
      <c r="M1019">
        <v>25</v>
      </c>
      <c r="N1019">
        <v>19.261710000000001</v>
      </c>
      <c r="O1019">
        <v>6.8697150000000002</v>
      </c>
      <c r="P1019">
        <v>14.21372</v>
      </c>
      <c r="Q1019">
        <v>28516</v>
      </c>
    </row>
    <row r="1020" spans="1:17" x14ac:dyDescent="0.25">
      <c r="A1020" t="s">
        <v>22</v>
      </c>
      <c r="B1020">
        <v>51</v>
      </c>
      <c r="C1020">
        <v>0.74</v>
      </c>
      <c r="D1020">
        <v>2018</v>
      </c>
      <c r="E1020" t="s">
        <v>29</v>
      </c>
      <c r="F1020">
        <v>2018334</v>
      </c>
      <c r="G1020">
        <v>2019087</v>
      </c>
      <c r="H1020">
        <v>5686</v>
      </c>
      <c r="I1020">
        <v>950</v>
      </c>
      <c r="J1020">
        <v>50</v>
      </c>
      <c r="K1020">
        <v>525</v>
      </c>
      <c r="L1020">
        <v>0</v>
      </c>
      <c r="M1020">
        <v>25</v>
      </c>
      <c r="N1020">
        <v>19.491669999999999</v>
      </c>
      <c r="O1020">
        <v>6.8244470000000002</v>
      </c>
      <c r="P1020">
        <v>15.228339999999999</v>
      </c>
      <c r="Q1020">
        <v>23754</v>
      </c>
    </row>
    <row r="1021" spans="1:17" x14ac:dyDescent="0.25">
      <c r="A1021" t="s">
        <v>22</v>
      </c>
      <c r="B1021">
        <v>51</v>
      </c>
      <c r="C1021">
        <v>0.74</v>
      </c>
      <c r="D1021">
        <v>2019</v>
      </c>
      <c r="E1021" t="s">
        <v>29</v>
      </c>
      <c r="F1021">
        <v>2019334</v>
      </c>
      <c r="G1021">
        <v>2020076</v>
      </c>
      <c r="H1021">
        <v>12601</v>
      </c>
      <c r="I1021">
        <v>2673</v>
      </c>
      <c r="J1021">
        <v>50</v>
      </c>
      <c r="K1021">
        <v>594</v>
      </c>
      <c r="L1021">
        <v>0</v>
      </c>
      <c r="M1021">
        <v>25</v>
      </c>
      <c r="N1021">
        <v>19.65363</v>
      </c>
      <c r="O1021">
        <v>8.5564230000000006</v>
      </c>
      <c r="P1021">
        <v>12.908379999999999</v>
      </c>
      <c r="Q1021">
        <v>66836</v>
      </c>
    </row>
    <row r="1022" spans="1:17" x14ac:dyDescent="0.25">
      <c r="A1022" t="s">
        <v>22</v>
      </c>
      <c r="B1022">
        <v>52</v>
      </c>
      <c r="C1022">
        <v>0.72</v>
      </c>
      <c r="D1022">
        <v>2000</v>
      </c>
      <c r="E1022" t="s">
        <v>28</v>
      </c>
      <c r="F1022">
        <v>2000350</v>
      </c>
      <c r="G1022">
        <v>2001094</v>
      </c>
      <c r="H1022">
        <v>9504</v>
      </c>
      <c r="I1022">
        <v>1183</v>
      </c>
      <c r="J1022">
        <v>50</v>
      </c>
      <c r="K1022">
        <v>441</v>
      </c>
      <c r="L1022">
        <v>0</v>
      </c>
      <c r="M1022">
        <v>75</v>
      </c>
      <c r="N1022">
        <v>19.67098</v>
      </c>
      <c r="O1022">
        <v>8.0246929999999992</v>
      </c>
      <c r="P1022">
        <v>14.775919999999999</v>
      </c>
      <c r="Q1022">
        <v>23656</v>
      </c>
    </row>
    <row r="1023" spans="1:17" x14ac:dyDescent="0.25">
      <c r="A1023" t="s">
        <v>22</v>
      </c>
      <c r="B1023">
        <v>52</v>
      </c>
      <c r="C1023">
        <v>0.72</v>
      </c>
      <c r="D1023">
        <v>2001</v>
      </c>
      <c r="E1023" t="s">
        <v>28</v>
      </c>
      <c r="F1023">
        <v>2001350</v>
      </c>
      <c r="G1023">
        <v>2002099</v>
      </c>
      <c r="H1023">
        <v>12759</v>
      </c>
      <c r="I1023">
        <v>1673</v>
      </c>
      <c r="J1023">
        <v>50</v>
      </c>
      <c r="K1023">
        <v>573</v>
      </c>
      <c r="L1023">
        <v>0</v>
      </c>
      <c r="M1023">
        <v>75</v>
      </c>
      <c r="N1023">
        <v>18.506209999999999</v>
      </c>
      <c r="O1023">
        <v>7.6161490000000001</v>
      </c>
      <c r="P1023">
        <v>14.23851</v>
      </c>
      <c r="Q1023">
        <v>33469</v>
      </c>
    </row>
    <row r="1024" spans="1:17" x14ac:dyDescent="0.25">
      <c r="A1024" t="s">
        <v>22</v>
      </c>
      <c r="B1024">
        <v>52</v>
      </c>
      <c r="C1024">
        <v>0.72</v>
      </c>
      <c r="D1024">
        <v>2002</v>
      </c>
      <c r="E1024" t="s">
        <v>28</v>
      </c>
      <c r="F1024">
        <v>2002350</v>
      </c>
      <c r="G1024">
        <v>2003105</v>
      </c>
      <c r="H1024">
        <v>18696</v>
      </c>
      <c r="I1024">
        <v>3004</v>
      </c>
      <c r="J1024">
        <v>50</v>
      </c>
      <c r="K1024">
        <v>509</v>
      </c>
      <c r="L1024">
        <v>0</v>
      </c>
      <c r="M1024">
        <v>75</v>
      </c>
      <c r="N1024">
        <v>18.208590000000001</v>
      </c>
      <c r="O1024">
        <v>7.6730070000000001</v>
      </c>
      <c r="P1024">
        <v>14.069330000000001</v>
      </c>
      <c r="Q1024">
        <v>60070</v>
      </c>
    </row>
    <row r="1025" spans="1:17" x14ac:dyDescent="0.25">
      <c r="A1025" t="s">
        <v>22</v>
      </c>
      <c r="B1025">
        <v>52</v>
      </c>
      <c r="C1025">
        <v>0.72</v>
      </c>
      <c r="D1025">
        <v>2003</v>
      </c>
      <c r="E1025" t="s">
        <v>28</v>
      </c>
      <c r="F1025">
        <v>2003350</v>
      </c>
      <c r="G1025">
        <v>2004107</v>
      </c>
      <c r="H1025">
        <v>12437</v>
      </c>
      <c r="I1025">
        <v>1768</v>
      </c>
      <c r="J1025">
        <v>50</v>
      </c>
      <c r="K1025">
        <v>651</v>
      </c>
      <c r="L1025">
        <v>0</v>
      </c>
      <c r="M1025">
        <v>75</v>
      </c>
      <c r="N1025">
        <v>17.669329999999999</v>
      </c>
      <c r="O1025">
        <v>6.8061350000000003</v>
      </c>
      <c r="P1025">
        <v>13.46749</v>
      </c>
      <c r="Q1025">
        <v>35355</v>
      </c>
    </row>
    <row r="1026" spans="1:17" x14ac:dyDescent="0.25">
      <c r="A1026" t="s">
        <v>22</v>
      </c>
      <c r="B1026">
        <v>52</v>
      </c>
      <c r="C1026">
        <v>0.72</v>
      </c>
      <c r="D1026">
        <v>2004</v>
      </c>
      <c r="E1026" t="s">
        <v>28</v>
      </c>
      <c r="F1026">
        <v>2004350</v>
      </c>
      <c r="G1026">
        <v>2005112</v>
      </c>
      <c r="H1026">
        <v>11069</v>
      </c>
      <c r="I1026">
        <v>2448</v>
      </c>
      <c r="J1026">
        <v>50</v>
      </c>
      <c r="K1026">
        <v>313</v>
      </c>
      <c r="L1026">
        <v>0</v>
      </c>
      <c r="M1026">
        <v>75</v>
      </c>
      <c r="N1026">
        <v>17.752120000000001</v>
      </c>
      <c r="O1026">
        <v>6.2490920000000001</v>
      </c>
      <c r="P1026">
        <v>15.227270000000001</v>
      </c>
      <c r="Q1026">
        <v>48954</v>
      </c>
    </row>
    <row r="1027" spans="1:17" x14ac:dyDescent="0.25">
      <c r="A1027" t="s">
        <v>22</v>
      </c>
      <c r="B1027">
        <v>52</v>
      </c>
      <c r="C1027">
        <v>0.72</v>
      </c>
      <c r="D1027">
        <v>2005</v>
      </c>
      <c r="E1027" t="s">
        <v>28</v>
      </c>
      <c r="F1027">
        <v>2005350</v>
      </c>
      <c r="G1027">
        <v>2006104</v>
      </c>
      <c r="H1027">
        <v>11692</v>
      </c>
      <c r="I1027">
        <v>3420</v>
      </c>
      <c r="J1027">
        <v>50</v>
      </c>
      <c r="K1027">
        <v>612</v>
      </c>
      <c r="L1027">
        <v>0</v>
      </c>
      <c r="M1027">
        <v>75</v>
      </c>
      <c r="N1027">
        <v>18.298760000000001</v>
      </c>
      <c r="O1027">
        <v>7.7604939999999996</v>
      </c>
      <c r="P1027">
        <v>14.52346</v>
      </c>
      <c r="Q1027">
        <v>68391</v>
      </c>
    </row>
    <row r="1028" spans="1:17" x14ac:dyDescent="0.25">
      <c r="A1028" t="s">
        <v>22</v>
      </c>
      <c r="B1028">
        <v>52</v>
      </c>
      <c r="C1028">
        <v>0.72</v>
      </c>
      <c r="D1028">
        <v>2006</v>
      </c>
      <c r="E1028" t="s">
        <v>28</v>
      </c>
      <c r="F1028">
        <v>2006350</v>
      </c>
      <c r="G1028">
        <v>2007098</v>
      </c>
      <c r="H1028">
        <v>13780</v>
      </c>
      <c r="I1028">
        <v>2256</v>
      </c>
      <c r="J1028">
        <v>50</v>
      </c>
      <c r="K1028">
        <v>512</v>
      </c>
      <c r="L1028">
        <v>0</v>
      </c>
      <c r="M1028">
        <v>75</v>
      </c>
      <c r="N1028">
        <v>19.335809999999999</v>
      </c>
      <c r="O1028">
        <v>7.9407399999999999</v>
      </c>
      <c r="P1028">
        <v>15.2142</v>
      </c>
      <c r="Q1028">
        <v>45114</v>
      </c>
    </row>
    <row r="1029" spans="1:17" x14ac:dyDescent="0.25">
      <c r="A1029" t="s">
        <v>22</v>
      </c>
      <c r="B1029">
        <v>52</v>
      </c>
      <c r="C1029">
        <v>0.72</v>
      </c>
      <c r="D1029">
        <v>2007</v>
      </c>
      <c r="E1029" t="s">
        <v>28</v>
      </c>
      <c r="F1029">
        <v>2007350</v>
      </c>
      <c r="G1029">
        <v>2008100</v>
      </c>
      <c r="H1029">
        <v>13302</v>
      </c>
      <c r="I1029">
        <v>3127</v>
      </c>
      <c r="J1029">
        <v>50</v>
      </c>
      <c r="K1029">
        <v>647</v>
      </c>
      <c r="L1029">
        <v>0</v>
      </c>
      <c r="M1029">
        <v>75</v>
      </c>
      <c r="N1029">
        <v>18.80001</v>
      </c>
      <c r="O1029">
        <v>7.6395049999999998</v>
      </c>
      <c r="P1029">
        <v>14.716049999999999</v>
      </c>
      <c r="Q1029">
        <v>62530</v>
      </c>
    </row>
    <row r="1030" spans="1:17" x14ac:dyDescent="0.25">
      <c r="A1030" t="s">
        <v>22</v>
      </c>
      <c r="B1030">
        <v>52</v>
      </c>
      <c r="C1030">
        <v>0.72</v>
      </c>
      <c r="D1030">
        <v>2008</v>
      </c>
      <c r="E1030" t="s">
        <v>28</v>
      </c>
      <c r="F1030">
        <v>2008350</v>
      </c>
      <c r="G1030">
        <v>2009108</v>
      </c>
      <c r="H1030">
        <v>12646</v>
      </c>
      <c r="I1030">
        <v>2414</v>
      </c>
      <c r="J1030">
        <v>50</v>
      </c>
      <c r="K1030">
        <v>418</v>
      </c>
      <c r="L1030">
        <v>0</v>
      </c>
      <c r="M1030">
        <v>75</v>
      </c>
      <c r="N1030">
        <v>18.301829999999999</v>
      </c>
      <c r="O1030">
        <v>6.8317069999999998</v>
      </c>
      <c r="P1030">
        <v>15.3628</v>
      </c>
      <c r="Q1030">
        <v>48280</v>
      </c>
    </row>
    <row r="1031" spans="1:17" x14ac:dyDescent="0.25">
      <c r="A1031" t="s">
        <v>22</v>
      </c>
      <c r="B1031">
        <v>52</v>
      </c>
      <c r="C1031">
        <v>0.72</v>
      </c>
      <c r="D1031">
        <v>2009</v>
      </c>
      <c r="E1031" t="s">
        <v>28</v>
      </c>
      <c r="F1031">
        <v>2009350</v>
      </c>
      <c r="G1031">
        <v>2010111</v>
      </c>
      <c r="H1031">
        <v>17808</v>
      </c>
      <c r="I1031">
        <v>2989</v>
      </c>
      <c r="J1031">
        <v>50</v>
      </c>
      <c r="K1031">
        <v>632</v>
      </c>
      <c r="L1031">
        <v>0</v>
      </c>
      <c r="M1031">
        <v>75</v>
      </c>
      <c r="N1031">
        <v>17.660869999999999</v>
      </c>
      <c r="O1031">
        <v>6.5354020000000004</v>
      </c>
      <c r="P1031">
        <v>13.8559</v>
      </c>
      <c r="Q1031">
        <v>59787</v>
      </c>
    </row>
    <row r="1032" spans="1:17" x14ac:dyDescent="0.25">
      <c r="A1032" t="s">
        <v>22</v>
      </c>
      <c r="B1032">
        <v>52</v>
      </c>
      <c r="C1032">
        <v>0.72</v>
      </c>
      <c r="D1032">
        <v>2010</v>
      </c>
      <c r="E1032" t="s">
        <v>28</v>
      </c>
      <c r="F1032">
        <v>2010350</v>
      </c>
      <c r="G1032">
        <v>2011102</v>
      </c>
      <c r="H1032">
        <v>11294</v>
      </c>
      <c r="I1032">
        <v>2604</v>
      </c>
      <c r="J1032">
        <v>50</v>
      </c>
      <c r="K1032">
        <v>350</v>
      </c>
      <c r="L1032">
        <v>0</v>
      </c>
      <c r="M1032">
        <v>75</v>
      </c>
      <c r="N1032">
        <v>19.13766</v>
      </c>
      <c r="O1032">
        <v>7.7802490000000004</v>
      </c>
      <c r="P1032">
        <v>14.379630000000001</v>
      </c>
      <c r="Q1032">
        <v>52079</v>
      </c>
    </row>
    <row r="1033" spans="1:17" x14ac:dyDescent="0.25">
      <c r="A1033" t="s">
        <v>22</v>
      </c>
      <c r="B1033">
        <v>52</v>
      </c>
      <c r="C1033">
        <v>0.72</v>
      </c>
      <c r="D1033">
        <v>2011</v>
      </c>
      <c r="E1033" t="s">
        <v>29</v>
      </c>
      <c r="F1033">
        <v>2011350</v>
      </c>
      <c r="G1033">
        <v>2012106</v>
      </c>
      <c r="H1033">
        <v>9660</v>
      </c>
      <c r="I1033">
        <v>2862</v>
      </c>
      <c r="J1033">
        <v>50</v>
      </c>
      <c r="K1033">
        <v>411</v>
      </c>
      <c r="L1033">
        <v>0</v>
      </c>
      <c r="M1033">
        <v>75</v>
      </c>
      <c r="N1033">
        <v>19.243829999999999</v>
      </c>
      <c r="O1033">
        <v>6.3407419999999997</v>
      </c>
      <c r="P1033">
        <v>14.830249999999999</v>
      </c>
      <c r="Q1033">
        <v>57230</v>
      </c>
    </row>
    <row r="1034" spans="1:17" x14ac:dyDescent="0.25">
      <c r="A1034" t="s">
        <v>22</v>
      </c>
      <c r="B1034">
        <v>52</v>
      </c>
      <c r="C1034">
        <v>0.72</v>
      </c>
      <c r="D1034">
        <v>2012</v>
      </c>
      <c r="E1034" t="s">
        <v>29</v>
      </c>
      <c r="F1034">
        <v>2012350</v>
      </c>
      <c r="G1034">
        <v>2013099</v>
      </c>
      <c r="H1034">
        <v>16767</v>
      </c>
      <c r="I1034">
        <v>3415</v>
      </c>
      <c r="J1034">
        <v>50</v>
      </c>
      <c r="K1034">
        <v>444</v>
      </c>
      <c r="L1034">
        <v>0</v>
      </c>
      <c r="M1034">
        <v>75</v>
      </c>
      <c r="N1034">
        <v>19.175609999999999</v>
      </c>
      <c r="O1034">
        <v>6.8024399999999998</v>
      </c>
      <c r="P1034">
        <v>14.77744</v>
      </c>
      <c r="Q1034">
        <v>68296</v>
      </c>
    </row>
    <row r="1035" spans="1:17" x14ac:dyDescent="0.25">
      <c r="A1035" t="s">
        <v>22</v>
      </c>
      <c r="B1035">
        <v>52</v>
      </c>
      <c r="C1035">
        <v>0.72</v>
      </c>
      <c r="D1035">
        <v>2013</v>
      </c>
      <c r="E1035" t="s">
        <v>29</v>
      </c>
      <c r="F1035">
        <v>2013350</v>
      </c>
      <c r="G1035">
        <v>2014098</v>
      </c>
      <c r="H1035">
        <v>4587</v>
      </c>
      <c r="I1035">
        <v>942</v>
      </c>
      <c r="J1035">
        <v>50</v>
      </c>
      <c r="K1035">
        <v>174</v>
      </c>
      <c r="L1035">
        <v>0</v>
      </c>
      <c r="M1035">
        <v>75</v>
      </c>
      <c r="N1035">
        <v>19.733550000000001</v>
      </c>
      <c r="O1035">
        <v>7.5608700000000004</v>
      </c>
      <c r="P1035">
        <v>15.614280000000001</v>
      </c>
      <c r="Q1035">
        <v>18844</v>
      </c>
    </row>
    <row r="1036" spans="1:17" x14ac:dyDescent="0.25">
      <c r="A1036" t="s">
        <v>22</v>
      </c>
      <c r="B1036">
        <v>52</v>
      </c>
      <c r="C1036">
        <v>0.72</v>
      </c>
      <c r="D1036">
        <v>2014</v>
      </c>
      <c r="E1036" t="s">
        <v>29</v>
      </c>
      <c r="F1036">
        <v>2014350</v>
      </c>
      <c r="G1036">
        <v>2015106</v>
      </c>
      <c r="H1036">
        <v>11813</v>
      </c>
      <c r="I1036">
        <v>3615</v>
      </c>
      <c r="J1036">
        <v>50</v>
      </c>
      <c r="K1036">
        <v>612</v>
      </c>
      <c r="L1036">
        <v>0</v>
      </c>
      <c r="M1036">
        <v>75</v>
      </c>
      <c r="N1036">
        <v>19.171340000000001</v>
      </c>
      <c r="O1036">
        <v>6.6079270000000001</v>
      </c>
      <c r="P1036">
        <v>15.85427</v>
      </c>
      <c r="Q1036">
        <v>72307</v>
      </c>
    </row>
    <row r="1037" spans="1:17" x14ac:dyDescent="0.25">
      <c r="A1037" t="s">
        <v>22</v>
      </c>
      <c r="B1037">
        <v>52</v>
      </c>
      <c r="C1037">
        <v>0.72</v>
      </c>
      <c r="D1037">
        <v>2015</v>
      </c>
      <c r="E1037" t="s">
        <v>29</v>
      </c>
      <c r="F1037">
        <v>2015350</v>
      </c>
      <c r="G1037">
        <v>2016094</v>
      </c>
      <c r="H1037">
        <v>10299</v>
      </c>
      <c r="I1037">
        <v>2207</v>
      </c>
      <c r="J1037">
        <v>50</v>
      </c>
      <c r="K1037">
        <v>436</v>
      </c>
      <c r="L1037">
        <v>0</v>
      </c>
      <c r="M1037">
        <v>75</v>
      </c>
      <c r="N1037">
        <v>19.761970000000002</v>
      </c>
      <c r="O1037">
        <v>7.7398749999999996</v>
      </c>
      <c r="P1037">
        <v>14.562569999999999</v>
      </c>
      <c r="Q1037">
        <v>44149</v>
      </c>
    </row>
    <row r="1038" spans="1:17" x14ac:dyDescent="0.25">
      <c r="A1038" t="s">
        <v>22</v>
      </c>
      <c r="B1038">
        <v>52</v>
      </c>
      <c r="C1038">
        <v>0.72</v>
      </c>
      <c r="D1038">
        <v>2016</v>
      </c>
      <c r="E1038" t="s">
        <v>29</v>
      </c>
      <c r="F1038">
        <v>2016350</v>
      </c>
      <c r="G1038">
        <v>2017096</v>
      </c>
      <c r="H1038">
        <v>13168</v>
      </c>
      <c r="I1038">
        <v>4028</v>
      </c>
      <c r="J1038">
        <v>50</v>
      </c>
      <c r="K1038">
        <v>560</v>
      </c>
      <c r="L1038">
        <v>0</v>
      </c>
      <c r="M1038">
        <v>75</v>
      </c>
      <c r="N1038">
        <v>19.764019999999999</v>
      </c>
      <c r="O1038">
        <v>7.701829</v>
      </c>
      <c r="P1038">
        <v>15.439030000000001</v>
      </c>
      <c r="Q1038">
        <v>80568</v>
      </c>
    </row>
    <row r="1039" spans="1:17" x14ac:dyDescent="0.25">
      <c r="A1039" t="s">
        <v>22</v>
      </c>
      <c r="B1039">
        <v>52</v>
      </c>
      <c r="C1039">
        <v>0.72</v>
      </c>
      <c r="D1039">
        <v>2017</v>
      </c>
      <c r="E1039" t="s">
        <v>29</v>
      </c>
      <c r="F1039">
        <v>2017350</v>
      </c>
      <c r="G1039">
        <v>2018101</v>
      </c>
      <c r="H1039">
        <v>7163</v>
      </c>
      <c r="I1039">
        <v>1963</v>
      </c>
      <c r="J1039">
        <v>50</v>
      </c>
      <c r="K1039">
        <v>237</v>
      </c>
      <c r="L1039">
        <v>0</v>
      </c>
      <c r="M1039">
        <v>75</v>
      </c>
      <c r="N1039">
        <v>19.53312</v>
      </c>
      <c r="O1039">
        <v>7.2764340000000001</v>
      </c>
      <c r="P1039">
        <v>14.96369</v>
      </c>
      <c r="Q1039">
        <v>39264</v>
      </c>
    </row>
    <row r="1040" spans="1:17" x14ac:dyDescent="0.25">
      <c r="A1040" t="s">
        <v>22</v>
      </c>
      <c r="B1040">
        <v>52</v>
      </c>
      <c r="C1040">
        <v>0.72</v>
      </c>
      <c r="D1040">
        <v>2018</v>
      </c>
      <c r="E1040" t="s">
        <v>29</v>
      </c>
      <c r="F1040">
        <v>2018350</v>
      </c>
      <c r="G1040">
        <v>2019099</v>
      </c>
      <c r="H1040">
        <v>7235</v>
      </c>
      <c r="I1040">
        <v>1451</v>
      </c>
      <c r="J1040">
        <v>50</v>
      </c>
      <c r="K1040">
        <v>525</v>
      </c>
      <c r="L1040">
        <v>0</v>
      </c>
      <c r="M1040">
        <v>75</v>
      </c>
      <c r="N1040">
        <v>19.63804</v>
      </c>
      <c r="O1040">
        <v>6.8331289999999996</v>
      </c>
      <c r="P1040">
        <v>16.006139999999998</v>
      </c>
      <c r="Q1040">
        <v>29024</v>
      </c>
    </row>
    <row r="1041" spans="1:17" x14ac:dyDescent="0.25">
      <c r="A1041" t="s">
        <v>22</v>
      </c>
      <c r="B1041">
        <v>52</v>
      </c>
      <c r="C1041">
        <v>0.72</v>
      </c>
      <c r="D1041">
        <v>2019</v>
      </c>
      <c r="E1041" t="s">
        <v>29</v>
      </c>
      <c r="F1041">
        <v>2019350</v>
      </c>
      <c r="G1041">
        <v>2020096</v>
      </c>
      <c r="H1041">
        <v>12737</v>
      </c>
      <c r="I1041">
        <v>2610</v>
      </c>
      <c r="J1041">
        <v>50</v>
      </c>
      <c r="K1041">
        <v>594</v>
      </c>
      <c r="L1041">
        <v>0</v>
      </c>
      <c r="M1041">
        <v>75</v>
      </c>
      <c r="N1041">
        <v>19.837810000000001</v>
      </c>
      <c r="O1041">
        <v>8.6902419999999996</v>
      </c>
      <c r="P1041">
        <v>13.5061</v>
      </c>
      <c r="Q1041">
        <v>52196</v>
      </c>
    </row>
    <row r="1042" spans="1:17" x14ac:dyDescent="0.25">
      <c r="A1042" t="s">
        <v>22</v>
      </c>
      <c r="B1042">
        <v>53</v>
      </c>
      <c r="C1042">
        <v>0.72</v>
      </c>
      <c r="D1042">
        <v>2000</v>
      </c>
      <c r="E1042" t="s">
        <v>28</v>
      </c>
      <c r="F1042">
        <v>2000320</v>
      </c>
      <c r="G1042">
        <v>2001077</v>
      </c>
      <c r="H1042">
        <v>10413</v>
      </c>
      <c r="I1042">
        <v>1802</v>
      </c>
      <c r="J1042">
        <v>50</v>
      </c>
      <c r="K1042">
        <v>441</v>
      </c>
      <c r="L1042">
        <v>0</v>
      </c>
      <c r="M1042">
        <v>75</v>
      </c>
      <c r="N1042">
        <v>18.856179999999998</v>
      </c>
      <c r="O1042">
        <v>7.4345369999999997</v>
      </c>
      <c r="P1042">
        <v>13.4969</v>
      </c>
      <c r="Q1042">
        <v>48641</v>
      </c>
    </row>
    <row r="1043" spans="1:17" x14ac:dyDescent="0.25">
      <c r="A1043" t="s">
        <v>22</v>
      </c>
      <c r="B1043">
        <v>53</v>
      </c>
      <c r="C1043">
        <v>0.72</v>
      </c>
      <c r="D1043">
        <v>2001</v>
      </c>
      <c r="E1043" t="s">
        <v>28</v>
      </c>
      <c r="F1043">
        <v>2001320</v>
      </c>
      <c r="G1043">
        <v>2002079</v>
      </c>
      <c r="H1043">
        <v>13930</v>
      </c>
      <c r="I1043">
        <v>1925</v>
      </c>
      <c r="J1043">
        <v>50</v>
      </c>
      <c r="K1043">
        <v>573</v>
      </c>
      <c r="L1043">
        <v>0</v>
      </c>
      <c r="M1043">
        <v>75</v>
      </c>
      <c r="N1043">
        <v>17.880320000000001</v>
      </c>
      <c r="O1043">
        <v>7.0906760000000002</v>
      </c>
      <c r="P1043">
        <v>13.041969999999999</v>
      </c>
      <c r="Q1043">
        <v>51981</v>
      </c>
    </row>
    <row r="1044" spans="1:17" x14ac:dyDescent="0.25">
      <c r="A1044" t="s">
        <v>22</v>
      </c>
      <c r="B1044">
        <v>53</v>
      </c>
      <c r="C1044">
        <v>0.72</v>
      </c>
      <c r="D1044">
        <v>2002</v>
      </c>
      <c r="E1044" t="s">
        <v>28</v>
      </c>
      <c r="F1044">
        <v>2002320</v>
      </c>
      <c r="G1044">
        <v>2003080</v>
      </c>
      <c r="H1044">
        <v>15764</v>
      </c>
      <c r="I1044">
        <v>2529</v>
      </c>
      <c r="J1044">
        <v>50</v>
      </c>
      <c r="K1044">
        <v>509</v>
      </c>
      <c r="L1044">
        <v>0</v>
      </c>
      <c r="M1044">
        <v>75</v>
      </c>
      <c r="N1044">
        <v>18.089639999999999</v>
      </c>
      <c r="O1044">
        <v>7.5005179999999996</v>
      </c>
      <c r="P1044">
        <v>12.870990000000001</v>
      </c>
      <c r="Q1044">
        <v>68277</v>
      </c>
    </row>
    <row r="1045" spans="1:17" x14ac:dyDescent="0.25">
      <c r="A1045" t="s">
        <v>22</v>
      </c>
      <c r="B1045">
        <v>53</v>
      </c>
      <c r="C1045">
        <v>0.72</v>
      </c>
      <c r="D1045">
        <v>2003</v>
      </c>
      <c r="E1045" t="s">
        <v>28</v>
      </c>
      <c r="F1045">
        <v>2003320</v>
      </c>
      <c r="G1045">
        <v>2004081</v>
      </c>
      <c r="H1045">
        <v>18472</v>
      </c>
      <c r="I1045">
        <v>2660</v>
      </c>
      <c r="J1045">
        <v>50</v>
      </c>
      <c r="K1045">
        <v>651</v>
      </c>
      <c r="L1045">
        <v>0</v>
      </c>
      <c r="M1045">
        <v>75</v>
      </c>
      <c r="N1045">
        <v>17.49587</v>
      </c>
      <c r="O1045">
        <v>6.8262900000000002</v>
      </c>
      <c r="P1045">
        <v>12.2799</v>
      </c>
      <c r="Q1045">
        <v>71825</v>
      </c>
    </row>
    <row r="1046" spans="1:17" x14ac:dyDescent="0.25">
      <c r="A1046" t="s">
        <v>22</v>
      </c>
      <c r="B1046">
        <v>53</v>
      </c>
      <c r="C1046">
        <v>0.72</v>
      </c>
      <c r="D1046">
        <v>2004</v>
      </c>
      <c r="E1046" t="s">
        <v>28</v>
      </c>
      <c r="F1046">
        <v>2004320</v>
      </c>
      <c r="G1046">
        <v>2005091</v>
      </c>
      <c r="H1046">
        <v>12800</v>
      </c>
      <c r="I1046">
        <v>2510</v>
      </c>
      <c r="J1046">
        <v>50</v>
      </c>
      <c r="K1046">
        <v>313</v>
      </c>
      <c r="L1046">
        <v>0</v>
      </c>
      <c r="M1046">
        <v>75</v>
      </c>
      <c r="N1046">
        <v>17.480930000000001</v>
      </c>
      <c r="O1046">
        <v>6.4716480000000001</v>
      </c>
      <c r="P1046">
        <v>13.795360000000001</v>
      </c>
      <c r="Q1046">
        <v>67781</v>
      </c>
    </row>
    <row r="1047" spans="1:17" x14ac:dyDescent="0.25">
      <c r="A1047" t="s">
        <v>22</v>
      </c>
      <c r="B1047">
        <v>53</v>
      </c>
      <c r="C1047">
        <v>0.72</v>
      </c>
      <c r="D1047">
        <v>2005</v>
      </c>
      <c r="E1047" t="s">
        <v>28</v>
      </c>
      <c r="F1047">
        <v>2005320</v>
      </c>
      <c r="G1047">
        <v>2006087</v>
      </c>
      <c r="H1047">
        <v>15684</v>
      </c>
      <c r="I1047">
        <v>3398</v>
      </c>
      <c r="J1047">
        <v>50</v>
      </c>
      <c r="K1047">
        <v>612</v>
      </c>
      <c r="L1047">
        <v>0</v>
      </c>
      <c r="M1047">
        <v>75</v>
      </c>
      <c r="N1047">
        <v>17.81804</v>
      </c>
      <c r="O1047">
        <v>7.1618560000000002</v>
      </c>
      <c r="P1047">
        <v>13.35619</v>
      </c>
      <c r="Q1047">
        <v>91751</v>
      </c>
    </row>
    <row r="1048" spans="1:17" x14ac:dyDescent="0.25">
      <c r="A1048" t="s">
        <v>22</v>
      </c>
      <c r="B1048">
        <v>53</v>
      </c>
      <c r="C1048">
        <v>0.72</v>
      </c>
      <c r="D1048">
        <v>2006</v>
      </c>
      <c r="E1048" t="s">
        <v>28</v>
      </c>
      <c r="F1048">
        <v>2006320</v>
      </c>
      <c r="G1048">
        <v>2007077</v>
      </c>
      <c r="H1048">
        <v>10499</v>
      </c>
      <c r="I1048">
        <v>1818</v>
      </c>
      <c r="J1048">
        <v>50</v>
      </c>
      <c r="K1048">
        <v>512</v>
      </c>
      <c r="L1048">
        <v>0</v>
      </c>
      <c r="M1048">
        <v>75</v>
      </c>
      <c r="N1048">
        <v>19.12011</v>
      </c>
      <c r="O1048">
        <v>7.8597939999999999</v>
      </c>
      <c r="P1048">
        <v>14.00412</v>
      </c>
      <c r="Q1048">
        <v>49074</v>
      </c>
    </row>
    <row r="1049" spans="1:17" x14ac:dyDescent="0.25">
      <c r="A1049" t="s">
        <v>22</v>
      </c>
      <c r="B1049">
        <v>53</v>
      </c>
      <c r="C1049">
        <v>0.72</v>
      </c>
      <c r="D1049">
        <v>2007</v>
      </c>
      <c r="E1049" t="s">
        <v>28</v>
      </c>
      <c r="F1049">
        <v>2007320</v>
      </c>
      <c r="G1049">
        <v>2008077</v>
      </c>
      <c r="H1049">
        <v>12380</v>
      </c>
      <c r="I1049">
        <v>2134</v>
      </c>
      <c r="J1049">
        <v>50</v>
      </c>
      <c r="K1049">
        <v>647</v>
      </c>
      <c r="L1049">
        <v>0</v>
      </c>
      <c r="M1049">
        <v>75</v>
      </c>
      <c r="N1049">
        <v>18.42136</v>
      </c>
      <c r="O1049">
        <v>7.2234369999999997</v>
      </c>
      <c r="P1049">
        <v>13.7026</v>
      </c>
      <c r="Q1049">
        <v>57621</v>
      </c>
    </row>
    <row r="1050" spans="1:17" x14ac:dyDescent="0.25">
      <c r="A1050" t="s">
        <v>22</v>
      </c>
      <c r="B1050">
        <v>53</v>
      </c>
      <c r="C1050">
        <v>0.72</v>
      </c>
      <c r="D1050">
        <v>2008</v>
      </c>
      <c r="E1050" t="s">
        <v>28</v>
      </c>
      <c r="F1050">
        <v>2008320</v>
      </c>
      <c r="G1050">
        <v>2009087</v>
      </c>
      <c r="H1050">
        <v>15733</v>
      </c>
      <c r="I1050">
        <v>2598</v>
      </c>
      <c r="J1050">
        <v>50</v>
      </c>
      <c r="K1050">
        <v>418</v>
      </c>
      <c r="L1050">
        <v>0</v>
      </c>
      <c r="M1050">
        <v>75</v>
      </c>
      <c r="N1050">
        <v>17.878969999999999</v>
      </c>
      <c r="O1050">
        <v>6.3512820000000003</v>
      </c>
      <c r="P1050">
        <v>14.23282</v>
      </c>
      <c r="Q1050">
        <v>70147</v>
      </c>
    </row>
    <row r="1051" spans="1:17" x14ac:dyDescent="0.25">
      <c r="A1051" t="s">
        <v>22</v>
      </c>
      <c r="B1051">
        <v>53</v>
      </c>
      <c r="C1051">
        <v>0.72</v>
      </c>
      <c r="D1051">
        <v>2009</v>
      </c>
      <c r="E1051" t="s">
        <v>28</v>
      </c>
      <c r="F1051">
        <v>2009320</v>
      </c>
      <c r="G1051">
        <v>2010091</v>
      </c>
      <c r="H1051">
        <v>17654</v>
      </c>
      <c r="I1051">
        <v>2966</v>
      </c>
      <c r="J1051">
        <v>50</v>
      </c>
      <c r="K1051">
        <v>632</v>
      </c>
      <c r="L1051">
        <v>0</v>
      </c>
      <c r="M1051">
        <v>75</v>
      </c>
      <c r="N1051">
        <v>17.426939999999998</v>
      </c>
      <c r="O1051">
        <v>6.2450770000000002</v>
      </c>
      <c r="P1051">
        <v>12.773059999999999</v>
      </c>
      <c r="Q1051">
        <v>80093</v>
      </c>
    </row>
    <row r="1052" spans="1:17" x14ac:dyDescent="0.25">
      <c r="A1052" t="s">
        <v>22</v>
      </c>
      <c r="B1052">
        <v>53</v>
      </c>
      <c r="C1052">
        <v>0.72</v>
      </c>
      <c r="D1052">
        <v>2010</v>
      </c>
      <c r="E1052" t="s">
        <v>28</v>
      </c>
      <c r="F1052">
        <v>2010320</v>
      </c>
      <c r="G1052">
        <v>2011085</v>
      </c>
      <c r="H1052">
        <v>10086</v>
      </c>
      <c r="I1052">
        <v>1485</v>
      </c>
      <c r="J1052">
        <v>50</v>
      </c>
      <c r="K1052">
        <v>350</v>
      </c>
      <c r="L1052">
        <v>0</v>
      </c>
      <c r="M1052">
        <v>75</v>
      </c>
      <c r="N1052">
        <v>18.549230000000001</v>
      </c>
      <c r="O1052">
        <v>7.2072539999999998</v>
      </c>
      <c r="P1052">
        <v>13.13472</v>
      </c>
      <c r="Q1052">
        <v>40089</v>
      </c>
    </row>
    <row r="1053" spans="1:17" x14ac:dyDescent="0.25">
      <c r="A1053" t="s">
        <v>22</v>
      </c>
      <c r="B1053">
        <v>53</v>
      </c>
      <c r="C1053">
        <v>0.72</v>
      </c>
      <c r="D1053">
        <v>2011</v>
      </c>
      <c r="E1053" t="s">
        <v>29</v>
      </c>
      <c r="F1053">
        <v>2011320</v>
      </c>
      <c r="G1053">
        <v>2012086</v>
      </c>
      <c r="H1053">
        <v>14651</v>
      </c>
      <c r="I1053">
        <v>3950</v>
      </c>
      <c r="J1053">
        <v>50</v>
      </c>
      <c r="K1053">
        <v>411</v>
      </c>
      <c r="L1053">
        <v>0</v>
      </c>
      <c r="M1053">
        <v>75</v>
      </c>
      <c r="N1053">
        <v>19.00516</v>
      </c>
      <c r="O1053">
        <v>6.4541240000000002</v>
      </c>
      <c r="P1053">
        <v>13.414429999999999</v>
      </c>
      <c r="Q1053">
        <v>106663</v>
      </c>
    </row>
    <row r="1054" spans="1:17" x14ac:dyDescent="0.25">
      <c r="A1054" t="s">
        <v>22</v>
      </c>
      <c r="B1054">
        <v>53</v>
      </c>
      <c r="C1054">
        <v>0.72</v>
      </c>
      <c r="D1054">
        <v>2012</v>
      </c>
      <c r="E1054" t="s">
        <v>29</v>
      </c>
      <c r="F1054">
        <v>2012320</v>
      </c>
      <c r="G1054">
        <v>2013078</v>
      </c>
      <c r="H1054">
        <v>12360</v>
      </c>
      <c r="I1054">
        <v>2146</v>
      </c>
      <c r="J1054">
        <v>50</v>
      </c>
      <c r="K1054">
        <v>444</v>
      </c>
      <c r="L1054">
        <v>0</v>
      </c>
      <c r="M1054">
        <v>75</v>
      </c>
      <c r="N1054">
        <v>18.845130000000001</v>
      </c>
      <c r="O1054">
        <v>6.5446160000000004</v>
      </c>
      <c r="P1054">
        <v>13.657439999999999</v>
      </c>
      <c r="Q1054">
        <v>57950</v>
      </c>
    </row>
    <row r="1055" spans="1:17" x14ac:dyDescent="0.25">
      <c r="A1055" t="s">
        <v>22</v>
      </c>
      <c r="B1055">
        <v>53</v>
      </c>
      <c r="C1055">
        <v>0.72</v>
      </c>
      <c r="D1055">
        <v>2013</v>
      </c>
      <c r="E1055" t="s">
        <v>29</v>
      </c>
      <c r="F1055">
        <v>2013320</v>
      </c>
      <c r="G1055">
        <v>2014077</v>
      </c>
      <c r="H1055">
        <v>7465</v>
      </c>
      <c r="I1055">
        <v>1726</v>
      </c>
      <c r="J1055">
        <v>50</v>
      </c>
      <c r="K1055">
        <v>174</v>
      </c>
      <c r="L1055">
        <v>0</v>
      </c>
      <c r="M1055">
        <v>75</v>
      </c>
      <c r="N1055">
        <v>19.100519999999999</v>
      </c>
      <c r="O1055">
        <v>6.9278360000000001</v>
      </c>
      <c r="P1055">
        <v>14.307729999999999</v>
      </c>
      <c r="Q1055">
        <v>46594</v>
      </c>
    </row>
    <row r="1056" spans="1:17" x14ac:dyDescent="0.25">
      <c r="A1056" t="s">
        <v>22</v>
      </c>
      <c r="B1056">
        <v>53</v>
      </c>
      <c r="C1056">
        <v>0.72</v>
      </c>
      <c r="D1056">
        <v>2014</v>
      </c>
      <c r="E1056" t="s">
        <v>29</v>
      </c>
      <c r="F1056">
        <v>2014320</v>
      </c>
      <c r="G1056">
        <v>2015086</v>
      </c>
      <c r="H1056">
        <v>16146</v>
      </c>
      <c r="I1056">
        <v>3127</v>
      </c>
      <c r="J1056">
        <v>50</v>
      </c>
      <c r="K1056">
        <v>612</v>
      </c>
      <c r="L1056">
        <v>0</v>
      </c>
      <c r="M1056">
        <v>75</v>
      </c>
      <c r="N1056">
        <v>18.909839999999999</v>
      </c>
      <c r="O1056">
        <v>6.7497429999999996</v>
      </c>
      <c r="P1056">
        <v>14.530049999999999</v>
      </c>
      <c r="Q1056">
        <v>84422</v>
      </c>
    </row>
    <row r="1057" spans="1:17" x14ac:dyDescent="0.25">
      <c r="A1057" t="s">
        <v>22</v>
      </c>
      <c r="B1057">
        <v>53</v>
      </c>
      <c r="C1057">
        <v>0.72</v>
      </c>
      <c r="D1057">
        <v>2015</v>
      </c>
      <c r="E1057" t="s">
        <v>29</v>
      </c>
      <c r="F1057">
        <v>2015320</v>
      </c>
      <c r="G1057">
        <v>2016065</v>
      </c>
      <c r="H1057">
        <v>5864</v>
      </c>
      <c r="I1057">
        <v>1078</v>
      </c>
      <c r="J1057">
        <v>50</v>
      </c>
      <c r="K1057">
        <v>436</v>
      </c>
      <c r="L1057">
        <v>0</v>
      </c>
      <c r="M1057">
        <v>75</v>
      </c>
      <c r="N1057">
        <v>19.558759999999999</v>
      </c>
      <c r="O1057">
        <v>7.6721630000000003</v>
      </c>
      <c r="P1057">
        <v>13.53505</v>
      </c>
      <c r="Q1057">
        <v>29110</v>
      </c>
    </row>
    <row r="1058" spans="1:17" x14ac:dyDescent="0.25">
      <c r="A1058" t="s">
        <v>22</v>
      </c>
      <c r="B1058">
        <v>53</v>
      </c>
      <c r="C1058">
        <v>0.72</v>
      </c>
      <c r="D1058">
        <v>2016</v>
      </c>
      <c r="E1058" t="s">
        <v>29</v>
      </c>
      <c r="F1058">
        <v>2016320</v>
      </c>
      <c r="G1058">
        <v>2017071</v>
      </c>
      <c r="H1058">
        <v>17036</v>
      </c>
      <c r="I1058">
        <v>3393</v>
      </c>
      <c r="J1058">
        <v>50</v>
      </c>
      <c r="K1058">
        <v>560</v>
      </c>
      <c r="L1058">
        <v>0</v>
      </c>
      <c r="M1058">
        <v>75</v>
      </c>
      <c r="N1058">
        <v>19.20824</v>
      </c>
      <c r="O1058">
        <v>7.8329909999999998</v>
      </c>
      <c r="P1058">
        <v>13.87372</v>
      </c>
      <c r="Q1058">
        <v>91618</v>
      </c>
    </row>
    <row r="1059" spans="1:17" x14ac:dyDescent="0.25">
      <c r="A1059" t="s">
        <v>22</v>
      </c>
      <c r="B1059">
        <v>53</v>
      </c>
      <c r="C1059">
        <v>0.72</v>
      </c>
      <c r="D1059">
        <v>2017</v>
      </c>
      <c r="E1059" t="s">
        <v>29</v>
      </c>
      <c r="F1059">
        <v>2017320</v>
      </c>
      <c r="G1059">
        <v>2018080</v>
      </c>
      <c r="H1059">
        <v>5218</v>
      </c>
      <c r="I1059">
        <v>1173</v>
      </c>
      <c r="J1059">
        <v>50</v>
      </c>
      <c r="K1059">
        <v>237</v>
      </c>
      <c r="L1059">
        <v>0</v>
      </c>
      <c r="M1059">
        <v>75</v>
      </c>
      <c r="N1059">
        <v>19.079689999999999</v>
      </c>
      <c r="O1059">
        <v>6.6177099999999998</v>
      </c>
      <c r="P1059">
        <v>13.731260000000001</v>
      </c>
      <c r="Q1059">
        <v>31679</v>
      </c>
    </row>
    <row r="1060" spans="1:17" x14ac:dyDescent="0.25">
      <c r="A1060" t="s">
        <v>22</v>
      </c>
      <c r="B1060">
        <v>53</v>
      </c>
      <c r="C1060">
        <v>0.72</v>
      </c>
      <c r="D1060">
        <v>2018</v>
      </c>
      <c r="E1060" t="s">
        <v>29</v>
      </c>
      <c r="F1060">
        <v>2018320</v>
      </c>
      <c r="G1060">
        <v>2019072</v>
      </c>
      <c r="H1060">
        <v>6243</v>
      </c>
      <c r="I1060">
        <v>1116</v>
      </c>
      <c r="J1060">
        <v>50</v>
      </c>
      <c r="K1060">
        <v>525</v>
      </c>
      <c r="L1060">
        <v>0</v>
      </c>
      <c r="M1060">
        <v>75</v>
      </c>
      <c r="N1060">
        <v>19.40053</v>
      </c>
      <c r="O1060">
        <v>6.8211360000000001</v>
      </c>
      <c r="P1060">
        <v>14.724740000000001</v>
      </c>
      <c r="Q1060">
        <v>30137</v>
      </c>
    </row>
    <row r="1061" spans="1:17" x14ac:dyDescent="0.25">
      <c r="A1061" t="s">
        <v>22</v>
      </c>
      <c r="B1061">
        <v>53</v>
      </c>
      <c r="C1061">
        <v>0.72</v>
      </c>
      <c r="D1061">
        <v>2019</v>
      </c>
      <c r="E1061" t="s">
        <v>29</v>
      </c>
      <c r="F1061">
        <v>2019320</v>
      </c>
      <c r="G1061">
        <v>2020066</v>
      </c>
      <c r="H1061">
        <v>12504</v>
      </c>
      <c r="I1061">
        <v>2715</v>
      </c>
      <c r="J1061">
        <v>50</v>
      </c>
      <c r="K1061">
        <v>594</v>
      </c>
      <c r="L1061">
        <v>0</v>
      </c>
      <c r="M1061">
        <v>75</v>
      </c>
      <c r="N1061">
        <v>19.588609999999999</v>
      </c>
      <c r="O1061">
        <v>8.5455950000000005</v>
      </c>
      <c r="P1061">
        <v>12.478759999999999</v>
      </c>
      <c r="Q1061">
        <v>73298</v>
      </c>
    </row>
    <row r="1062" spans="1:17" x14ac:dyDescent="0.25">
      <c r="A1062" t="s">
        <v>22</v>
      </c>
      <c r="B1062">
        <v>54</v>
      </c>
      <c r="C1062">
        <v>0.71</v>
      </c>
      <c r="D1062">
        <v>2000</v>
      </c>
      <c r="E1062" t="s">
        <v>28</v>
      </c>
      <c r="F1062">
        <v>2000350</v>
      </c>
      <c r="G1062">
        <v>2001094</v>
      </c>
      <c r="H1062">
        <v>9318</v>
      </c>
      <c r="I1062">
        <v>1121</v>
      </c>
      <c r="J1062">
        <v>50</v>
      </c>
      <c r="K1062">
        <v>441</v>
      </c>
      <c r="L1062">
        <v>0</v>
      </c>
      <c r="M1062">
        <v>50</v>
      </c>
      <c r="N1062">
        <v>19.67098</v>
      </c>
      <c r="O1062">
        <v>8.0246929999999992</v>
      </c>
      <c r="P1062">
        <v>14.775919999999999</v>
      </c>
      <c r="Q1062">
        <v>25787</v>
      </c>
    </row>
    <row r="1063" spans="1:17" x14ac:dyDescent="0.25">
      <c r="A1063" t="s">
        <v>22</v>
      </c>
      <c r="B1063">
        <v>54</v>
      </c>
      <c r="C1063">
        <v>0.71</v>
      </c>
      <c r="D1063">
        <v>2001</v>
      </c>
      <c r="E1063" t="s">
        <v>28</v>
      </c>
      <c r="F1063">
        <v>2001350</v>
      </c>
      <c r="G1063">
        <v>2002099</v>
      </c>
      <c r="H1063">
        <v>12005</v>
      </c>
      <c r="I1063">
        <v>1555</v>
      </c>
      <c r="J1063">
        <v>50</v>
      </c>
      <c r="K1063">
        <v>573</v>
      </c>
      <c r="L1063">
        <v>0</v>
      </c>
      <c r="M1063">
        <v>50</v>
      </c>
      <c r="N1063">
        <v>18.506209999999999</v>
      </c>
      <c r="O1063">
        <v>7.6161490000000001</v>
      </c>
      <c r="P1063">
        <v>14.23851</v>
      </c>
      <c r="Q1063">
        <v>35757</v>
      </c>
    </row>
    <row r="1064" spans="1:17" x14ac:dyDescent="0.25">
      <c r="A1064" t="s">
        <v>22</v>
      </c>
      <c r="B1064">
        <v>54</v>
      </c>
      <c r="C1064">
        <v>0.71</v>
      </c>
      <c r="D1064">
        <v>2002</v>
      </c>
      <c r="E1064" t="s">
        <v>28</v>
      </c>
      <c r="F1064">
        <v>2002350</v>
      </c>
      <c r="G1064">
        <v>2003105</v>
      </c>
      <c r="H1064">
        <v>18298</v>
      </c>
      <c r="I1064">
        <v>2937</v>
      </c>
      <c r="J1064">
        <v>50</v>
      </c>
      <c r="K1064">
        <v>509</v>
      </c>
      <c r="L1064">
        <v>0</v>
      </c>
      <c r="M1064">
        <v>50</v>
      </c>
      <c r="N1064">
        <v>18.208590000000001</v>
      </c>
      <c r="O1064">
        <v>7.6730070000000001</v>
      </c>
      <c r="P1064">
        <v>14.069330000000001</v>
      </c>
      <c r="Q1064">
        <v>67552</v>
      </c>
    </row>
    <row r="1065" spans="1:17" x14ac:dyDescent="0.25">
      <c r="A1065" t="s">
        <v>22</v>
      </c>
      <c r="B1065">
        <v>54</v>
      </c>
      <c r="C1065">
        <v>0.71</v>
      </c>
      <c r="D1065">
        <v>2003</v>
      </c>
      <c r="E1065" t="s">
        <v>28</v>
      </c>
      <c r="F1065">
        <v>2003350</v>
      </c>
      <c r="G1065">
        <v>2004107</v>
      </c>
      <c r="H1065">
        <v>9779</v>
      </c>
      <c r="I1065">
        <v>1388</v>
      </c>
      <c r="J1065">
        <v>50</v>
      </c>
      <c r="K1065">
        <v>651</v>
      </c>
      <c r="L1065">
        <v>0</v>
      </c>
      <c r="M1065">
        <v>50</v>
      </c>
      <c r="N1065">
        <v>17.669329999999999</v>
      </c>
      <c r="O1065">
        <v>6.8061350000000003</v>
      </c>
      <c r="P1065">
        <v>13.46749</v>
      </c>
      <c r="Q1065">
        <v>31924</v>
      </c>
    </row>
    <row r="1066" spans="1:17" x14ac:dyDescent="0.25">
      <c r="A1066" t="s">
        <v>22</v>
      </c>
      <c r="B1066">
        <v>54</v>
      </c>
      <c r="C1066">
        <v>0.71</v>
      </c>
      <c r="D1066">
        <v>2004</v>
      </c>
      <c r="E1066" t="s">
        <v>28</v>
      </c>
      <c r="F1066">
        <v>2004350</v>
      </c>
      <c r="G1066">
        <v>2005112</v>
      </c>
      <c r="H1066">
        <v>11070</v>
      </c>
      <c r="I1066">
        <v>2444</v>
      </c>
      <c r="J1066">
        <v>50</v>
      </c>
      <c r="K1066">
        <v>313</v>
      </c>
      <c r="L1066">
        <v>0</v>
      </c>
      <c r="M1066">
        <v>50</v>
      </c>
      <c r="N1066">
        <v>17.752120000000001</v>
      </c>
      <c r="O1066">
        <v>6.2490920000000001</v>
      </c>
      <c r="P1066">
        <v>15.227270000000001</v>
      </c>
      <c r="Q1066">
        <v>56203</v>
      </c>
    </row>
    <row r="1067" spans="1:17" x14ac:dyDescent="0.25">
      <c r="A1067" t="s">
        <v>22</v>
      </c>
      <c r="B1067">
        <v>54</v>
      </c>
      <c r="C1067">
        <v>0.71</v>
      </c>
      <c r="D1067">
        <v>2005</v>
      </c>
      <c r="E1067" t="s">
        <v>28</v>
      </c>
      <c r="F1067">
        <v>2005350</v>
      </c>
      <c r="G1067">
        <v>2006104</v>
      </c>
      <c r="H1067">
        <v>10453</v>
      </c>
      <c r="I1067">
        <v>3008</v>
      </c>
      <c r="J1067">
        <v>50</v>
      </c>
      <c r="K1067">
        <v>612</v>
      </c>
      <c r="L1067">
        <v>0</v>
      </c>
      <c r="M1067">
        <v>50</v>
      </c>
      <c r="N1067">
        <v>18.298760000000001</v>
      </c>
      <c r="O1067">
        <v>7.7604939999999996</v>
      </c>
      <c r="P1067">
        <v>14.52346</v>
      </c>
      <c r="Q1067">
        <v>69187</v>
      </c>
    </row>
    <row r="1068" spans="1:17" x14ac:dyDescent="0.25">
      <c r="A1068" t="s">
        <v>22</v>
      </c>
      <c r="B1068">
        <v>54</v>
      </c>
      <c r="C1068">
        <v>0.71</v>
      </c>
      <c r="D1068">
        <v>2006</v>
      </c>
      <c r="E1068" t="s">
        <v>28</v>
      </c>
      <c r="F1068">
        <v>2006350</v>
      </c>
      <c r="G1068">
        <v>2007098</v>
      </c>
      <c r="H1068">
        <v>13269</v>
      </c>
      <c r="I1068">
        <v>2179</v>
      </c>
      <c r="J1068">
        <v>50</v>
      </c>
      <c r="K1068">
        <v>512</v>
      </c>
      <c r="L1068">
        <v>0</v>
      </c>
      <c r="M1068">
        <v>50</v>
      </c>
      <c r="N1068">
        <v>19.335809999999999</v>
      </c>
      <c r="O1068">
        <v>7.9407399999999999</v>
      </c>
      <c r="P1068">
        <v>15.2142</v>
      </c>
      <c r="Q1068">
        <v>50125</v>
      </c>
    </row>
    <row r="1069" spans="1:17" x14ac:dyDescent="0.25">
      <c r="A1069" t="s">
        <v>22</v>
      </c>
      <c r="B1069">
        <v>54</v>
      </c>
      <c r="C1069">
        <v>0.71</v>
      </c>
      <c r="D1069">
        <v>2007</v>
      </c>
      <c r="E1069" t="s">
        <v>29</v>
      </c>
      <c r="F1069">
        <v>2007350</v>
      </c>
      <c r="G1069">
        <v>2008100</v>
      </c>
      <c r="H1069">
        <v>12060</v>
      </c>
      <c r="I1069">
        <v>3575</v>
      </c>
      <c r="J1069">
        <v>50</v>
      </c>
      <c r="K1069">
        <v>647</v>
      </c>
      <c r="L1069">
        <v>0</v>
      </c>
      <c r="M1069">
        <v>50</v>
      </c>
      <c r="N1069">
        <v>18.80001</v>
      </c>
      <c r="O1069">
        <v>7.6395049999999998</v>
      </c>
      <c r="P1069">
        <v>14.716049999999999</v>
      </c>
      <c r="Q1069">
        <v>82223</v>
      </c>
    </row>
    <row r="1070" spans="1:17" x14ac:dyDescent="0.25">
      <c r="A1070" t="s">
        <v>22</v>
      </c>
      <c r="B1070">
        <v>54</v>
      </c>
      <c r="C1070">
        <v>0.71</v>
      </c>
      <c r="D1070">
        <v>2008</v>
      </c>
      <c r="E1070" t="s">
        <v>29</v>
      </c>
      <c r="F1070">
        <v>2008350</v>
      </c>
      <c r="G1070">
        <v>2009108</v>
      </c>
      <c r="H1070">
        <v>12045</v>
      </c>
      <c r="I1070">
        <v>2792</v>
      </c>
      <c r="J1070">
        <v>50</v>
      </c>
      <c r="K1070">
        <v>418</v>
      </c>
      <c r="L1070">
        <v>0</v>
      </c>
      <c r="M1070">
        <v>50</v>
      </c>
      <c r="N1070">
        <v>18.301829999999999</v>
      </c>
      <c r="O1070">
        <v>6.8317069999999998</v>
      </c>
      <c r="P1070">
        <v>15.3628</v>
      </c>
      <c r="Q1070">
        <v>64221</v>
      </c>
    </row>
    <row r="1071" spans="1:17" x14ac:dyDescent="0.25">
      <c r="A1071" t="s">
        <v>22</v>
      </c>
      <c r="B1071">
        <v>54</v>
      </c>
      <c r="C1071">
        <v>0.71</v>
      </c>
      <c r="D1071">
        <v>2009</v>
      </c>
      <c r="E1071" t="s">
        <v>29</v>
      </c>
      <c r="F1071">
        <v>2009350</v>
      </c>
      <c r="G1071">
        <v>2010111</v>
      </c>
      <c r="H1071">
        <v>16323</v>
      </c>
      <c r="I1071">
        <v>3264</v>
      </c>
      <c r="J1071">
        <v>50</v>
      </c>
      <c r="K1071">
        <v>632</v>
      </c>
      <c r="L1071">
        <v>0</v>
      </c>
      <c r="M1071">
        <v>50</v>
      </c>
      <c r="N1071">
        <v>17.660869999999999</v>
      </c>
      <c r="O1071">
        <v>6.5354020000000004</v>
      </c>
      <c r="P1071">
        <v>13.8559</v>
      </c>
      <c r="Q1071">
        <v>75072</v>
      </c>
    </row>
    <row r="1072" spans="1:17" x14ac:dyDescent="0.25">
      <c r="A1072" t="s">
        <v>22</v>
      </c>
      <c r="B1072">
        <v>54</v>
      </c>
      <c r="C1072">
        <v>0.71</v>
      </c>
      <c r="D1072">
        <v>2010</v>
      </c>
      <c r="E1072" t="s">
        <v>29</v>
      </c>
      <c r="F1072">
        <v>2010350</v>
      </c>
      <c r="G1072">
        <v>2011102</v>
      </c>
      <c r="H1072">
        <v>10521</v>
      </c>
      <c r="I1072">
        <v>2496</v>
      </c>
      <c r="J1072">
        <v>50</v>
      </c>
      <c r="K1072">
        <v>350</v>
      </c>
      <c r="L1072">
        <v>0</v>
      </c>
      <c r="M1072">
        <v>50</v>
      </c>
      <c r="N1072">
        <v>19.13766</v>
      </c>
      <c r="O1072">
        <v>7.7802490000000004</v>
      </c>
      <c r="P1072">
        <v>14.379630000000001</v>
      </c>
      <c r="Q1072">
        <v>57402</v>
      </c>
    </row>
    <row r="1073" spans="1:17" x14ac:dyDescent="0.25">
      <c r="A1073" t="s">
        <v>22</v>
      </c>
      <c r="B1073">
        <v>54</v>
      </c>
      <c r="C1073">
        <v>0.71</v>
      </c>
      <c r="D1073">
        <v>2011</v>
      </c>
      <c r="E1073" t="s">
        <v>29</v>
      </c>
      <c r="F1073">
        <v>2011350</v>
      </c>
      <c r="G1073">
        <v>2012106</v>
      </c>
      <c r="H1073">
        <v>9181</v>
      </c>
      <c r="I1073">
        <v>2525</v>
      </c>
      <c r="J1073">
        <v>50</v>
      </c>
      <c r="K1073">
        <v>411</v>
      </c>
      <c r="L1073">
        <v>0</v>
      </c>
      <c r="M1073">
        <v>50</v>
      </c>
      <c r="N1073">
        <v>19.243829999999999</v>
      </c>
      <c r="O1073">
        <v>6.3407419999999997</v>
      </c>
      <c r="P1073">
        <v>14.830249999999999</v>
      </c>
      <c r="Q1073">
        <v>58071</v>
      </c>
    </row>
    <row r="1074" spans="1:17" x14ac:dyDescent="0.25">
      <c r="A1074" t="s">
        <v>22</v>
      </c>
      <c r="B1074">
        <v>54</v>
      </c>
      <c r="C1074">
        <v>0.71</v>
      </c>
      <c r="D1074">
        <v>2012</v>
      </c>
      <c r="E1074" t="s">
        <v>29</v>
      </c>
      <c r="F1074">
        <v>2012350</v>
      </c>
      <c r="G1074">
        <v>2013099</v>
      </c>
      <c r="H1074">
        <v>14609</v>
      </c>
      <c r="I1074">
        <v>2971</v>
      </c>
      <c r="J1074">
        <v>50</v>
      </c>
      <c r="K1074">
        <v>444</v>
      </c>
      <c r="L1074">
        <v>0</v>
      </c>
      <c r="M1074">
        <v>50</v>
      </c>
      <c r="N1074">
        <v>19.175609999999999</v>
      </c>
      <c r="O1074">
        <v>6.8024399999999998</v>
      </c>
      <c r="P1074">
        <v>14.77744</v>
      </c>
      <c r="Q1074">
        <v>68338</v>
      </c>
    </row>
    <row r="1075" spans="1:17" x14ac:dyDescent="0.25">
      <c r="A1075" t="s">
        <v>22</v>
      </c>
      <c r="B1075">
        <v>54</v>
      </c>
      <c r="C1075">
        <v>0.71</v>
      </c>
      <c r="D1075">
        <v>2013</v>
      </c>
      <c r="E1075" t="s">
        <v>29</v>
      </c>
      <c r="F1075">
        <v>2013350</v>
      </c>
      <c r="G1075">
        <v>2014098</v>
      </c>
      <c r="H1075">
        <v>4866</v>
      </c>
      <c r="I1075">
        <v>1012</v>
      </c>
      <c r="J1075">
        <v>50</v>
      </c>
      <c r="K1075">
        <v>174</v>
      </c>
      <c r="L1075">
        <v>0</v>
      </c>
      <c r="M1075">
        <v>50</v>
      </c>
      <c r="N1075">
        <v>19.733550000000001</v>
      </c>
      <c r="O1075">
        <v>7.5608700000000004</v>
      </c>
      <c r="P1075">
        <v>15.614280000000001</v>
      </c>
      <c r="Q1075">
        <v>23265</v>
      </c>
    </row>
    <row r="1076" spans="1:17" x14ac:dyDescent="0.25">
      <c r="A1076" t="s">
        <v>22</v>
      </c>
      <c r="B1076">
        <v>54</v>
      </c>
      <c r="C1076">
        <v>0.71</v>
      </c>
      <c r="D1076">
        <v>2014</v>
      </c>
      <c r="E1076" t="s">
        <v>29</v>
      </c>
      <c r="F1076">
        <v>2014350</v>
      </c>
      <c r="G1076">
        <v>2015106</v>
      </c>
      <c r="H1076">
        <v>11312</v>
      </c>
      <c r="I1076">
        <v>3374</v>
      </c>
      <c r="J1076">
        <v>50</v>
      </c>
      <c r="K1076">
        <v>612</v>
      </c>
      <c r="L1076">
        <v>0</v>
      </c>
      <c r="M1076">
        <v>50</v>
      </c>
      <c r="N1076">
        <v>19.171340000000001</v>
      </c>
      <c r="O1076">
        <v>6.6079270000000001</v>
      </c>
      <c r="P1076">
        <v>15.85427</v>
      </c>
      <c r="Q1076">
        <v>77600</v>
      </c>
    </row>
    <row r="1077" spans="1:17" x14ac:dyDescent="0.25">
      <c r="A1077" t="s">
        <v>22</v>
      </c>
      <c r="B1077">
        <v>54</v>
      </c>
      <c r="C1077">
        <v>0.71</v>
      </c>
      <c r="D1077">
        <v>2015</v>
      </c>
      <c r="E1077" t="s">
        <v>29</v>
      </c>
      <c r="F1077">
        <v>2015350</v>
      </c>
      <c r="G1077">
        <v>2016094</v>
      </c>
      <c r="H1077">
        <v>8397</v>
      </c>
      <c r="I1077">
        <v>1721</v>
      </c>
      <c r="J1077">
        <v>50</v>
      </c>
      <c r="K1077">
        <v>436</v>
      </c>
      <c r="L1077">
        <v>0</v>
      </c>
      <c r="M1077">
        <v>50</v>
      </c>
      <c r="N1077">
        <v>19.761970000000002</v>
      </c>
      <c r="O1077">
        <v>7.7398749999999996</v>
      </c>
      <c r="P1077">
        <v>14.562569999999999</v>
      </c>
      <c r="Q1077">
        <v>39589</v>
      </c>
    </row>
    <row r="1078" spans="1:17" x14ac:dyDescent="0.25">
      <c r="A1078" t="s">
        <v>22</v>
      </c>
      <c r="B1078">
        <v>54</v>
      </c>
      <c r="C1078">
        <v>0.71</v>
      </c>
      <c r="D1078">
        <v>2016</v>
      </c>
      <c r="E1078" t="s">
        <v>29</v>
      </c>
      <c r="F1078">
        <v>2016350</v>
      </c>
      <c r="G1078">
        <v>2017096</v>
      </c>
      <c r="H1078">
        <v>11746</v>
      </c>
      <c r="I1078">
        <v>3349</v>
      </c>
      <c r="J1078">
        <v>50</v>
      </c>
      <c r="K1078">
        <v>560</v>
      </c>
      <c r="L1078">
        <v>0</v>
      </c>
      <c r="M1078">
        <v>50</v>
      </c>
      <c r="N1078">
        <v>19.764019999999999</v>
      </c>
      <c r="O1078">
        <v>7.701829</v>
      </c>
      <c r="P1078">
        <v>15.439030000000001</v>
      </c>
      <c r="Q1078">
        <v>77026</v>
      </c>
    </row>
    <row r="1079" spans="1:17" x14ac:dyDescent="0.25">
      <c r="A1079" t="s">
        <v>22</v>
      </c>
      <c r="B1079">
        <v>54</v>
      </c>
      <c r="C1079">
        <v>0.71</v>
      </c>
      <c r="D1079">
        <v>2017</v>
      </c>
      <c r="E1079" t="s">
        <v>29</v>
      </c>
      <c r="F1079">
        <v>2017350</v>
      </c>
      <c r="G1079">
        <v>2018101</v>
      </c>
      <c r="H1079">
        <v>6847</v>
      </c>
      <c r="I1079">
        <v>1657</v>
      </c>
      <c r="J1079">
        <v>50</v>
      </c>
      <c r="K1079">
        <v>237</v>
      </c>
      <c r="L1079">
        <v>0</v>
      </c>
      <c r="M1079">
        <v>50</v>
      </c>
      <c r="N1079">
        <v>19.53312</v>
      </c>
      <c r="O1079">
        <v>7.2764340000000001</v>
      </c>
      <c r="P1079">
        <v>14.96369</v>
      </c>
      <c r="Q1079">
        <v>38102</v>
      </c>
    </row>
    <row r="1080" spans="1:17" x14ac:dyDescent="0.25">
      <c r="A1080" t="s">
        <v>22</v>
      </c>
      <c r="B1080">
        <v>54</v>
      </c>
      <c r="C1080">
        <v>0.71</v>
      </c>
      <c r="D1080">
        <v>2018</v>
      </c>
      <c r="E1080" t="s">
        <v>29</v>
      </c>
      <c r="F1080">
        <v>2018350</v>
      </c>
      <c r="G1080">
        <v>2019099</v>
      </c>
      <c r="H1080">
        <v>5836</v>
      </c>
      <c r="I1080">
        <v>1195</v>
      </c>
      <c r="J1080">
        <v>50</v>
      </c>
      <c r="K1080">
        <v>525</v>
      </c>
      <c r="L1080">
        <v>0</v>
      </c>
      <c r="M1080">
        <v>50</v>
      </c>
      <c r="N1080">
        <v>19.63804</v>
      </c>
      <c r="O1080">
        <v>6.8331289999999996</v>
      </c>
      <c r="P1080">
        <v>16.006139999999998</v>
      </c>
      <c r="Q1080">
        <v>27480</v>
      </c>
    </row>
    <row r="1081" spans="1:17" x14ac:dyDescent="0.25">
      <c r="A1081" t="s">
        <v>22</v>
      </c>
      <c r="B1081">
        <v>54</v>
      </c>
      <c r="C1081">
        <v>0.71</v>
      </c>
      <c r="D1081">
        <v>2019</v>
      </c>
      <c r="E1081" t="s">
        <v>29</v>
      </c>
      <c r="F1081">
        <v>2019350</v>
      </c>
      <c r="G1081">
        <v>2020096</v>
      </c>
      <c r="H1081">
        <v>11918</v>
      </c>
      <c r="I1081">
        <v>2465</v>
      </c>
      <c r="J1081">
        <v>50</v>
      </c>
      <c r="K1081">
        <v>594</v>
      </c>
      <c r="L1081">
        <v>0</v>
      </c>
      <c r="M1081">
        <v>50</v>
      </c>
      <c r="N1081">
        <v>19.837810000000001</v>
      </c>
      <c r="O1081">
        <v>8.6902419999999996</v>
      </c>
      <c r="P1081">
        <v>13.5061</v>
      </c>
      <c r="Q1081">
        <v>56692</v>
      </c>
    </row>
    <row r="1082" spans="1:17" x14ac:dyDescent="0.25">
      <c r="A1082" t="s">
        <v>22</v>
      </c>
      <c r="B1082">
        <v>55</v>
      </c>
      <c r="C1082">
        <v>0.79</v>
      </c>
      <c r="D1082">
        <v>2000</v>
      </c>
      <c r="E1082" t="s">
        <v>28</v>
      </c>
      <c r="F1082">
        <v>2000320</v>
      </c>
      <c r="G1082">
        <v>2001077</v>
      </c>
      <c r="H1082">
        <v>9752</v>
      </c>
      <c r="I1082">
        <v>1613</v>
      </c>
      <c r="J1082">
        <v>50</v>
      </c>
      <c r="K1082">
        <v>441</v>
      </c>
      <c r="L1082">
        <v>0</v>
      </c>
      <c r="M1082">
        <v>50</v>
      </c>
      <c r="N1082">
        <v>18.856179999999998</v>
      </c>
      <c r="O1082">
        <v>7.4345369999999997</v>
      </c>
      <c r="P1082">
        <v>13.4969</v>
      </c>
      <c r="Q1082">
        <v>45177</v>
      </c>
    </row>
    <row r="1083" spans="1:17" x14ac:dyDescent="0.25">
      <c r="A1083" t="s">
        <v>22</v>
      </c>
      <c r="B1083">
        <v>55</v>
      </c>
      <c r="C1083">
        <v>0.79</v>
      </c>
      <c r="D1083">
        <v>2001</v>
      </c>
      <c r="E1083" t="s">
        <v>28</v>
      </c>
      <c r="F1083">
        <v>2001320</v>
      </c>
      <c r="G1083">
        <v>2002079</v>
      </c>
      <c r="H1083">
        <v>13107</v>
      </c>
      <c r="I1083">
        <v>1772</v>
      </c>
      <c r="J1083">
        <v>50</v>
      </c>
      <c r="K1083">
        <v>573</v>
      </c>
      <c r="L1083">
        <v>0</v>
      </c>
      <c r="M1083">
        <v>50</v>
      </c>
      <c r="N1083">
        <v>17.880320000000001</v>
      </c>
      <c r="O1083">
        <v>7.0906760000000002</v>
      </c>
      <c r="P1083">
        <v>13.041969999999999</v>
      </c>
      <c r="Q1083">
        <v>49619</v>
      </c>
    </row>
    <row r="1084" spans="1:17" x14ac:dyDescent="0.25">
      <c r="A1084" t="s">
        <v>22</v>
      </c>
      <c r="B1084">
        <v>55</v>
      </c>
      <c r="C1084">
        <v>0.79</v>
      </c>
      <c r="D1084">
        <v>2002</v>
      </c>
      <c r="E1084" t="s">
        <v>28</v>
      </c>
      <c r="F1084">
        <v>2002320</v>
      </c>
      <c r="G1084">
        <v>2003080</v>
      </c>
      <c r="H1084">
        <v>15710</v>
      </c>
      <c r="I1084">
        <v>2514</v>
      </c>
      <c r="J1084">
        <v>50</v>
      </c>
      <c r="K1084">
        <v>509</v>
      </c>
      <c r="L1084">
        <v>0</v>
      </c>
      <c r="M1084">
        <v>50</v>
      </c>
      <c r="N1084">
        <v>18.089639999999999</v>
      </c>
      <c r="O1084">
        <v>7.5005179999999996</v>
      </c>
      <c r="P1084">
        <v>12.870990000000001</v>
      </c>
      <c r="Q1084">
        <v>70384</v>
      </c>
    </row>
    <row r="1085" spans="1:17" x14ac:dyDescent="0.25">
      <c r="A1085" t="s">
        <v>22</v>
      </c>
      <c r="B1085">
        <v>55</v>
      </c>
      <c r="C1085">
        <v>0.79</v>
      </c>
      <c r="D1085">
        <v>2003</v>
      </c>
      <c r="E1085" t="s">
        <v>28</v>
      </c>
      <c r="F1085">
        <v>2003320</v>
      </c>
      <c r="G1085">
        <v>2004081</v>
      </c>
      <c r="H1085">
        <v>18043</v>
      </c>
      <c r="I1085">
        <v>2609</v>
      </c>
      <c r="J1085">
        <v>50</v>
      </c>
      <c r="K1085">
        <v>651</v>
      </c>
      <c r="L1085">
        <v>0</v>
      </c>
      <c r="M1085">
        <v>50</v>
      </c>
      <c r="N1085">
        <v>17.49587</v>
      </c>
      <c r="O1085">
        <v>6.8262900000000002</v>
      </c>
      <c r="P1085">
        <v>12.2799</v>
      </c>
      <c r="Q1085">
        <v>73054</v>
      </c>
    </row>
    <row r="1086" spans="1:17" x14ac:dyDescent="0.25">
      <c r="A1086" t="s">
        <v>22</v>
      </c>
      <c r="B1086">
        <v>55</v>
      </c>
      <c r="C1086">
        <v>0.79</v>
      </c>
      <c r="D1086">
        <v>2004</v>
      </c>
      <c r="E1086" t="s">
        <v>28</v>
      </c>
      <c r="F1086">
        <v>2004320</v>
      </c>
      <c r="G1086">
        <v>2005091</v>
      </c>
      <c r="H1086">
        <v>12460</v>
      </c>
      <c r="I1086">
        <v>2410</v>
      </c>
      <c r="J1086">
        <v>50</v>
      </c>
      <c r="K1086">
        <v>313</v>
      </c>
      <c r="L1086">
        <v>0</v>
      </c>
      <c r="M1086">
        <v>50</v>
      </c>
      <c r="N1086">
        <v>17.480930000000001</v>
      </c>
      <c r="O1086">
        <v>6.4716480000000001</v>
      </c>
      <c r="P1086">
        <v>13.795360000000001</v>
      </c>
      <c r="Q1086">
        <v>67483</v>
      </c>
    </row>
    <row r="1087" spans="1:17" x14ac:dyDescent="0.25">
      <c r="A1087" t="s">
        <v>22</v>
      </c>
      <c r="B1087">
        <v>55</v>
      </c>
      <c r="C1087">
        <v>0.79</v>
      </c>
      <c r="D1087">
        <v>2005</v>
      </c>
      <c r="E1087" t="s">
        <v>28</v>
      </c>
      <c r="F1087">
        <v>2005320</v>
      </c>
      <c r="G1087">
        <v>2006087</v>
      </c>
      <c r="H1087">
        <v>14644</v>
      </c>
      <c r="I1087">
        <v>3085</v>
      </c>
      <c r="J1087">
        <v>50</v>
      </c>
      <c r="K1087">
        <v>612</v>
      </c>
      <c r="L1087">
        <v>0</v>
      </c>
      <c r="M1087">
        <v>50</v>
      </c>
      <c r="N1087">
        <v>17.81804</v>
      </c>
      <c r="O1087">
        <v>7.1618560000000002</v>
      </c>
      <c r="P1087">
        <v>13.35619</v>
      </c>
      <c r="Q1087">
        <v>86367</v>
      </c>
    </row>
    <row r="1088" spans="1:17" x14ac:dyDescent="0.25">
      <c r="A1088" t="s">
        <v>22</v>
      </c>
      <c r="B1088">
        <v>55</v>
      </c>
      <c r="C1088">
        <v>0.79</v>
      </c>
      <c r="D1088">
        <v>2006</v>
      </c>
      <c r="E1088" t="s">
        <v>28</v>
      </c>
      <c r="F1088">
        <v>2006320</v>
      </c>
      <c r="G1088">
        <v>2007077</v>
      </c>
      <c r="H1088">
        <v>9806</v>
      </c>
      <c r="I1088">
        <v>1690</v>
      </c>
      <c r="J1088">
        <v>50</v>
      </c>
      <c r="K1088">
        <v>512</v>
      </c>
      <c r="L1088">
        <v>0</v>
      </c>
      <c r="M1088">
        <v>50</v>
      </c>
      <c r="N1088">
        <v>19.12011</v>
      </c>
      <c r="O1088">
        <v>7.8597939999999999</v>
      </c>
      <c r="P1088">
        <v>14.00412</v>
      </c>
      <c r="Q1088">
        <v>47328</v>
      </c>
    </row>
    <row r="1089" spans="1:17" x14ac:dyDescent="0.25">
      <c r="A1089" t="s">
        <v>22</v>
      </c>
      <c r="B1089">
        <v>55</v>
      </c>
      <c r="C1089">
        <v>0.79</v>
      </c>
      <c r="D1089">
        <v>2007</v>
      </c>
      <c r="E1089" t="s">
        <v>28</v>
      </c>
      <c r="F1089">
        <v>2007320</v>
      </c>
      <c r="G1089">
        <v>2008077</v>
      </c>
      <c r="H1089">
        <v>12245</v>
      </c>
      <c r="I1089">
        <v>2011</v>
      </c>
      <c r="J1089">
        <v>50</v>
      </c>
      <c r="K1089">
        <v>647</v>
      </c>
      <c r="L1089">
        <v>0</v>
      </c>
      <c r="M1089">
        <v>50</v>
      </c>
      <c r="N1089">
        <v>18.42136</v>
      </c>
      <c r="O1089">
        <v>7.2234369999999997</v>
      </c>
      <c r="P1089">
        <v>13.7026</v>
      </c>
      <c r="Q1089">
        <v>56306</v>
      </c>
    </row>
    <row r="1090" spans="1:17" x14ac:dyDescent="0.25">
      <c r="A1090" t="s">
        <v>22</v>
      </c>
      <c r="B1090">
        <v>55</v>
      </c>
      <c r="C1090">
        <v>0.79</v>
      </c>
      <c r="D1090">
        <v>2008</v>
      </c>
      <c r="E1090" t="s">
        <v>29</v>
      </c>
      <c r="F1090">
        <v>2008320</v>
      </c>
      <c r="G1090">
        <v>2009087</v>
      </c>
      <c r="H1090">
        <v>15035</v>
      </c>
      <c r="I1090">
        <v>2989</v>
      </c>
      <c r="J1090">
        <v>50</v>
      </c>
      <c r="K1090">
        <v>418</v>
      </c>
      <c r="L1090">
        <v>0</v>
      </c>
      <c r="M1090">
        <v>50</v>
      </c>
      <c r="N1090">
        <v>17.878969999999999</v>
      </c>
      <c r="O1090">
        <v>6.3512820000000003</v>
      </c>
      <c r="P1090">
        <v>14.23282</v>
      </c>
      <c r="Q1090">
        <v>83694</v>
      </c>
    </row>
    <row r="1091" spans="1:17" x14ac:dyDescent="0.25">
      <c r="A1091" t="s">
        <v>22</v>
      </c>
      <c r="B1091">
        <v>55</v>
      </c>
      <c r="C1091">
        <v>0.79</v>
      </c>
      <c r="D1091">
        <v>2009</v>
      </c>
      <c r="E1091" t="s">
        <v>29</v>
      </c>
      <c r="F1091">
        <v>2009320</v>
      </c>
      <c r="G1091">
        <v>2010091</v>
      </c>
      <c r="H1091">
        <v>15976</v>
      </c>
      <c r="I1091">
        <v>3319</v>
      </c>
      <c r="J1091">
        <v>50</v>
      </c>
      <c r="K1091">
        <v>632</v>
      </c>
      <c r="L1091">
        <v>0</v>
      </c>
      <c r="M1091">
        <v>50</v>
      </c>
      <c r="N1091">
        <v>17.426939999999998</v>
      </c>
      <c r="O1091">
        <v>6.2450770000000002</v>
      </c>
      <c r="P1091">
        <v>12.773059999999999</v>
      </c>
      <c r="Q1091">
        <v>92928</v>
      </c>
    </row>
    <row r="1092" spans="1:17" x14ac:dyDescent="0.25">
      <c r="A1092" t="s">
        <v>22</v>
      </c>
      <c r="B1092">
        <v>55</v>
      </c>
      <c r="C1092">
        <v>0.79</v>
      </c>
      <c r="D1092">
        <v>2010</v>
      </c>
      <c r="E1092" t="s">
        <v>29</v>
      </c>
      <c r="F1092">
        <v>2010320</v>
      </c>
      <c r="G1092">
        <v>2011084</v>
      </c>
      <c r="H1092">
        <v>10156</v>
      </c>
      <c r="I1092">
        <v>1821</v>
      </c>
      <c r="J1092">
        <v>50</v>
      </c>
      <c r="K1092">
        <v>350</v>
      </c>
      <c r="L1092">
        <v>0</v>
      </c>
      <c r="M1092">
        <v>50</v>
      </c>
      <c r="N1092">
        <v>18.548439999999999</v>
      </c>
      <c r="O1092">
        <v>7.220834</v>
      </c>
      <c r="P1092">
        <v>13.15781</v>
      </c>
      <c r="Q1092">
        <v>50986</v>
      </c>
    </row>
    <row r="1093" spans="1:17" x14ac:dyDescent="0.25">
      <c r="A1093" t="s">
        <v>22</v>
      </c>
      <c r="B1093">
        <v>55</v>
      </c>
      <c r="C1093">
        <v>0.79</v>
      </c>
      <c r="D1093">
        <v>2011</v>
      </c>
      <c r="E1093" t="s">
        <v>29</v>
      </c>
      <c r="F1093">
        <v>2011320</v>
      </c>
      <c r="G1093">
        <v>2012086</v>
      </c>
      <c r="H1093">
        <v>14534</v>
      </c>
      <c r="I1093">
        <v>3895</v>
      </c>
      <c r="J1093">
        <v>50</v>
      </c>
      <c r="K1093">
        <v>411</v>
      </c>
      <c r="L1093">
        <v>0</v>
      </c>
      <c r="M1093">
        <v>50</v>
      </c>
      <c r="N1093">
        <v>19.00516</v>
      </c>
      <c r="O1093">
        <v>6.4541240000000002</v>
      </c>
      <c r="P1093">
        <v>13.414429999999999</v>
      </c>
      <c r="Q1093">
        <v>109054</v>
      </c>
    </row>
    <row r="1094" spans="1:17" x14ac:dyDescent="0.25">
      <c r="A1094" t="s">
        <v>22</v>
      </c>
      <c r="B1094">
        <v>55</v>
      </c>
      <c r="C1094">
        <v>0.79</v>
      </c>
      <c r="D1094">
        <v>2012</v>
      </c>
      <c r="E1094" t="s">
        <v>29</v>
      </c>
      <c r="F1094">
        <v>2012320</v>
      </c>
      <c r="G1094">
        <v>2013078</v>
      </c>
      <c r="H1094">
        <v>11062</v>
      </c>
      <c r="I1094">
        <v>1893</v>
      </c>
      <c r="J1094">
        <v>50</v>
      </c>
      <c r="K1094">
        <v>444</v>
      </c>
      <c r="L1094">
        <v>0</v>
      </c>
      <c r="M1094">
        <v>50</v>
      </c>
      <c r="N1094">
        <v>18.845130000000001</v>
      </c>
      <c r="O1094">
        <v>6.5446160000000004</v>
      </c>
      <c r="P1094">
        <v>13.657439999999999</v>
      </c>
      <c r="Q1094">
        <v>53008</v>
      </c>
    </row>
    <row r="1095" spans="1:17" x14ac:dyDescent="0.25">
      <c r="A1095" t="s">
        <v>22</v>
      </c>
      <c r="B1095">
        <v>55</v>
      </c>
      <c r="C1095">
        <v>0.79</v>
      </c>
      <c r="D1095">
        <v>2013</v>
      </c>
      <c r="E1095" t="s">
        <v>29</v>
      </c>
      <c r="F1095">
        <v>2013320</v>
      </c>
      <c r="G1095">
        <v>2014077</v>
      </c>
      <c r="H1095">
        <v>7965</v>
      </c>
      <c r="I1095">
        <v>1932</v>
      </c>
      <c r="J1095">
        <v>50</v>
      </c>
      <c r="K1095">
        <v>174</v>
      </c>
      <c r="L1095">
        <v>0</v>
      </c>
      <c r="M1095">
        <v>50</v>
      </c>
      <c r="N1095">
        <v>19.100519999999999</v>
      </c>
      <c r="O1095">
        <v>6.9278360000000001</v>
      </c>
      <c r="P1095">
        <v>14.307729999999999</v>
      </c>
      <c r="Q1095">
        <v>54085</v>
      </c>
    </row>
    <row r="1096" spans="1:17" x14ac:dyDescent="0.25">
      <c r="A1096" t="s">
        <v>22</v>
      </c>
      <c r="B1096">
        <v>55</v>
      </c>
      <c r="C1096">
        <v>0.79</v>
      </c>
      <c r="D1096">
        <v>2014</v>
      </c>
      <c r="E1096" t="s">
        <v>29</v>
      </c>
      <c r="F1096">
        <v>2014320</v>
      </c>
      <c r="G1096">
        <v>2015086</v>
      </c>
      <c r="H1096">
        <v>16239</v>
      </c>
      <c r="I1096">
        <v>3133</v>
      </c>
      <c r="J1096">
        <v>50</v>
      </c>
      <c r="K1096">
        <v>612</v>
      </c>
      <c r="L1096">
        <v>0</v>
      </c>
      <c r="M1096">
        <v>50</v>
      </c>
      <c r="N1096">
        <v>18.909839999999999</v>
      </c>
      <c r="O1096">
        <v>6.7497429999999996</v>
      </c>
      <c r="P1096">
        <v>14.530049999999999</v>
      </c>
      <c r="Q1096">
        <v>87737</v>
      </c>
    </row>
    <row r="1097" spans="1:17" x14ac:dyDescent="0.25">
      <c r="A1097" t="s">
        <v>22</v>
      </c>
      <c r="B1097">
        <v>55</v>
      </c>
      <c r="C1097">
        <v>0.79</v>
      </c>
      <c r="D1097">
        <v>2015</v>
      </c>
      <c r="E1097" t="s">
        <v>29</v>
      </c>
      <c r="F1097">
        <v>2015320</v>
      </c>
      <c r="G1097">
        <v>2016065</v>
      </c>
      <c r="H1097">
        <v>4315</v>
      </c>
      <c r="I1097">
        <v>789</v>
      </c>
      <c r="J1097">
        <v>50</v>
      </c>
      <c r="K1097">
        <v>436</v>
      </c>
      <c r="L1097">
        <v>0</v>
      </c>
      <c r="M1097">
        <v>50</v>
      </c>
      <c r="N1097">
        <v>19.558759999999999</v>
      </c>
      <c r="O1097">
        <v>7.6721630000000003</v>
      </c>
      <c r="P1097">
        <v>13.53505</v>
      </c>
      <c r="Q1097">
        <v>22096</v>
      </c>
    </row>
    <row r="1098" spans="1:17" x14ac:dyDescent="0.25">
      <c r="A1098" t="s">
        <v>22</v>
      </c>
      <c r="B1098">
        <v>55</v>
      </c>
      <c r="C1098">
        <v>0.79</v>
      </c>
      <c r="D1098">
        <v>2016</v>
      </c>
      <c r="E1098" t="s">
        <v>29</v>
      </c>
      <c r="F1098">
        <v>2016320</v>
      </c>
      <c r="G1098">
        <v>2017071</v>
      </c>
      <c r="H1098">
        <v>16615</v>
      </c>
      <c r="I1098">
        <v>3240</v>
      </c>
      <c r="J1098">
        <v>50</v>
      </c>
      <c r="K1098">
        <v>560</v>
      </c>
      <c r="L1098">
        <v>0</v>
      </c>
      <c r="M1098">
        <v>50</v>
      </c>
      <c r="N1098">
        <v>19.213840000000001</v>
      </c>
      <c r="O1098">
        <v>7.838463</v>
      </c>
      <c r="P1098">
        <v>13.850770000000001</v>
      </c>
      <c r="Q1098">
        <v>90729</v>
      </c>
    </row>
    <row r="1099" spans="1:17" x14ac:dyDescent="0.25">
      <c r="A1099" t="s">
        <v>22</v>
      </c>
      <c r="B1099">
        <v>55</v>
      </c>
      <c r="C1099">
        <v>0.79</v>
      </c>
      <c r="D1099">
        <v>2017</v>
      </c>
      <c r="E1099" t="s">
        <v>29</v>
      </c>
      <c r="F1099">
        <v>2017320</v>
      </c>
      <c r="G1099">
        <v>2018080</v>
      </c>
      <c r="H1099">
        <v>5091</v>
      </c>
      <c r="I1099">
        <v>1124</v>
      </c>
      <c r="J1099">
        <v>50</v>
      </c>
      <c r="K1099">
        <v>237</v>
      </c>
      <c r="L1099">
        <v>0</v>
      </c>
      <c r="M1099">
        <v>50</v>
      </c>
      <c r="N1099">
        <v>19.079689999999999</v>
      </c>
      <c r="O1099">
        <v>6.6177099999999998</v>
      </c>
      <c r="P1099">
        <v>13.731260000000001</v>
      </c>
      <c r="Q1099">
        <v>31485</v>
      </c>
    </row>
    <row r="1100" spans="1:17" x14ac:dyDescent="0.25">
      <c r="A1100" t="s">
        <v>22</v>
      </c>
      <c r="B1100">
        <v>55</v>
      </c>
      <c r="C1100">
        <v>0.79</v>
      </c>
      <c r="D1100">
        <v>2018</v>
      </c>
      <c r="E1100" t="s">
        <v>29</v>
      </c>
      <c r="F1100">
        <v>2018320</v>
      </c>
      <c r="G1100">
        <v>2019072</v>
      </c>
      <c r="H1100">
        <v>5899</v>
      </c>
      <c r="I1100">
        <v>1050</v>
      </c>
      <c r="J1100">
        <v>50</v>
      </c>
      <c r="K1100">
        <v>525</v>
      </c>
      <c r="L1100">
        <v>0</v>
      </c>
      <c r="M1100">
        <v>50</v>
      </c>
      <c r="N1100">
        <v>19.40053</v>
      </c>
      <c r="O1100">
        <v>6.8211360000000001</v>
      </c>
      <c r="P1100">
        <v>14.724740000000001</v>
      </c>
      <c r="Q1100">
        <v>29395</v>
      </c>
    </row>
    <row r="1101" spans="1:17" x14ac:dyDescent="0.25">
      <c r="A1101" t="s">
        <v>22</v>
      </c>
      <c r="B1101">
        <v>55</v>
      </c>
      <c r="C1101">
        <v>0.79</v>
      </c>
      <c r="D1101">
        <v>2019</v>
      </c>
      <c r="E1101" t="s">
        <v>29</v>
      </c>
      <c r="F1101">
        <v>2019320</v>
      </c>
      <c r="G1101">
        <v>2020066</v>
      </c>
      <c r="H1101">
        <v>11981</v>
      </c>
      <c r="I1101">
        <v>2576</v>
      </c>
      <c r="J1101">
        <v>50</v>
      </c>
      <c r="K1101">
        <v>594</v>
      </c>
      <c r="L1101">
        <v>0</v>
      </c>
      <c r="M1101">
        <v>50</v>
      </c>
      <c r="N1101">
        <v>19.588609999999999</v>
      </c>
      <c r="O1101">
        <v>8.5455950000000005</v>
      </c>
      <c r="P1101">
        <v>12.478759999999999</v>
      </c>
      <c r="Q1101">
        <v>72139</v>
      </c>
    </row>
    <row r="1102" spans="1:17" x14ac:dyDescent="0.25">
      <c r="A1102" t="s">
        <v>22</v>
      </c>
      <c r="B1102">
        <v>56</v>
      </c>
      <c r="C1102">
        <v>0.63</v>
      </c>
      <c r="D1102">
        <v>2000</v>
      </c>
      <c r="E1102" t="s">
        <v>28</v>
      </c>
      <c r="F1102">
        <v>2000320</v>
      </c>
      <c r="G1102">
        <v>2001077</v>
      </c>
      <c r="H1102">
        <v>8858</v>
      </c>
      <c r="I1102">
        <v>1386</v>
      </c>
      <c r="J1102">
        <v>50</v>
      </c>
      <c r="K1102">
        <v>441</v>
      </c>
      <c r="L1102">
        <v>0</v>
      </c>
      <c r="M1102">
        <v>25</v>
      </c>
      <c r="N1102">
        <v>18.856179999999998</v>
      </c>
      <c r="O1102">
        <v>7.4345369999999997</v>
      </c>
      <c r="P1102">
        <v>13.4969</v>
      </c>
      <c r="Q1102">
        <v>38800</v>
      </c>
    </row>
    <row r="1103" spans="1:17" x14ac:dyDescent="0.25">
      <c r="A1103" t="s">
        <v>22</v>
      </c>
      <c r="B1103">
        <v>56</v>
      </c>
      <c r="C1103">
        <v>0.63</v>
      </c>
      <c r="D1103">
        <v>2001</v>
      </c>
      <c r="E1103" t="s">
        <v>28</v>
      </c>
      <c r="F1103">
        <v>2001320</v>
      </c>
      <c r="G1103">
        <v>2002079</v>
      </c>
      <c r="H1103">
        <v>11490</v>
      </c>
      <c r="I1103">
        <v>1520</v>
      </c>
      <c r="J1103">
        <v>50</v>
      </c>
      <c r="K1103">
        <v>573</v>
      </c>
      <c r="L1103">
        <v>0</v>
      </c>
      <c r="M1103">
        <v>25</v>
      </c>
      <c r="N1103">
        <v>17.880320000000001</v>
      </c>
      <c r="O1103">
        <v>7.0906760000000002</v>
      </c>
      <c r="P1103">
        <v>13.041969999999999</v>
      </c>
      <c r="Q1103">
        <v>42547</v>
      </c>
    </row>
    <row r="1104" spans="1:17" x14ac:dyDescent="0.25">
      <c r="A1104" t="s">
        <v>22</v>
      </c>
      <c r="B1104">
        <v>56</v>
      </c>
      <c r="C1104">
        <v>0.63</v>
      </c>
      <c r="D1104">
        <v>2002</v>
      </c>
      <c r="E1104" t="s">
        <v>28</v>
      </c>
      <c r="F1104">
        <v>2002320</v>
      </c>
      <c r="G1104">
        <v>2003080</v>
      </c>
      <c r="H1104">
        <v>15309</v>
      </c>
      <c r="I1104">
        <v>2442</v>
      </c>
      <c r="J1104">
        <v>50</v>
      </c>
      <c r="K1104">
        <v>509</v>
      </c>
      <c r="L1104">
        <v>0</v>
      </c>
      <c r="M1104">
        <v>25</v>
      </c>
      <c r="N1104">
        <v>18.089639999999999</v>
      </c>
      <c r="O1104">
        <v>7.5005179999999996</v>
      </c>
      <c r="P1104">
        <v>12.870990000000001</v>
      </c>
      <c r="Q1104">
        <v>68371</v>
      </c>
    </row>
    <row r="1105" spans="1:17" x14ac:dyDescent="0.25">
      <c r="A1105" t="s">
        <v>22</v>
      </c>
      <c r="B1105">
        <v>56</v>
      </c>
      <c r="C1105">
        <v>0.63</v>
      </c>
      <c r="D1105">
        <v>2003</v>
      </c>
      <c r="E1105" t="s">
        <v>28</v>
      </c>
      <c r="F1105">
        <v>2003320</v>
      </c>
      <c r="G1105">
        <v>2004081</v>
      </c>
      <c r="H1105">
        <v>15475</v>
      </c>
      <c r="I1105">
        <v>2224</v>
      </c>
      <c r="J1105">
        <v>50</v>
      </c>
      <c r="K1105">
        <v>651</v>
      </c>
      <c r="L1105">
        <v>0</v>
      </c>
      <c r="M1105">
        <v>25</v>
      </c>
      <c r="N1105">
        <v>17.49587</v>
      </c>
      <c r="O1105">
        <v>6.8262900000000002</v>
      </c>
      <c r="P1105">
        <v>12.2799</v>
      </c>
      <c r="Q1105">
        <v>62284</v>
      </c>
    </row>
    <row r="1106" spans="1:17" x14ac:dyDescent="0.25">
      <c r="A1106" t="s">
        <v>22</v>
      </c>
      <c r="B1106">
        <v>56</v>
      </c>
      <c r="C1106">
        <v>0.63</v>
      </c>
      <c r="D1106">
        <v>2004</v>
      </c>
      <c r="E1106" t="s">
        <v>28</v>
      </c>
      <c r="F1106">
        <v>2004320</v>
      </c>
      <c r="G1106">
        <v>2005091</v>
      </c>
      <c r="H1106">
        <v>11816</v>
      </c>
      <c r="I1106">
        <v>2248</v>
      </c>
      <c r="J1106">
        <v>50</v>
      </c>
      <c r="K1106">
        <v>313</v>
      </c>
      <c r="L1106">
        <v>0</v>
      </c>
      <c r="M1106">
        <v>25</v>
      </c>
      <c r="N1106">
        <v>17.480930000000001</v>
      </c>
      <c r="O1106">
        <v>6.4716480000000001</v>
      </c>
      <c r="P1106">
        <v>13.795360000000001</v>
      </c>
      <c r="Q1106">
        <v>62946</v>
      </c>
    </row>
    <row r="1107" spans="1:17" x14ac:dyDescent="0.25">
      <c r="A1107" t="s">
        <v>22</v>
      </c>
      <c r="B1107">
        <v>56</v>
      </c>
      <c r="C1107">
        <v>0.63</v>
      </c>
      <c r="D1107">
        <v>2005</v>
      </c>
      <c r="E1107" t="s">
        <v>28</v>
      </c>
      <c r="F1107">
        <v>2005320</v>
      </c>
      <c r="G1107">
        <v>2006087</v>
      </c>
      <c r="H1107">
        <v>12762</v>
      </c>
      <c r="I1107">
        <v>2509</v>
      </c>
      <c r="J1107">
        <v>50</v>
      </c>
      <c r="K1107">
        <v>612</v>
      </c>
      <c r="L1107">
        <v>0</v>
      </c>
      <c r="M1107">
        <v>25</v>
      </c>
      <c r="N1107">
        <v>17.81804</v>
      </c>
      <c r="O1107">
        <v>7.1618560000000002</v>
      </c>
      <c r="P1107">
        <v>13.35619</v>
      </c>
      <c r="Q1107">
        <v>70248</v>
      </c>
    </row>
    <row r="1108" spans="1:17" x14ac:dyDescent="0.25">
      <c r="A1108" t="s">
        <v>22</v>
      </c>
      <c r="B1108">
        <v>56</v>
      </c>
      <c r="C1108">
        <v>0.63</v>
      </c>
      <c r="D1108">
        <v>2006</v>
      </c>
      <c r="E1108" t="s">
        <v>28</v>
      </c>
      <c r="F1108">
        <v>2006320</v>
      </c>
      <c r="G1108">
        <v>2007077</v>
      </c>
      <c r="H1108">
        <v>8195</v>
      </c>
      <c r="I1108">
        <v>1421</v>
      </c>
      <c r="J1108">
        <v>50</v>
      </c>
      <c r="K1108">
        <v>512</v>
      </c>
      <c r="L1108">
        <v>0</v>
      </c>
      <c r="M1108">
        <v>25</v>
      </c>
      <c r="N1108">
        <v>19.12011</v>
      </c>
      <c r="O1108">
        <v>7.8597939999999999</v>
      </c>
      <c r="P1108">
        <v>14.00412</v>
      </c>
      <c r="Q1108">
        <v>39794</v>
      </c>
    </row>
    <row r="1109" spans="1:17" x14ac:dyDescent="0.25">
      <c r="A1109" t="s">
        <v>22</v>
      </c>
      <c r="B1109">
        <v>56</v>
      </c>
      <c r="C1109">
        <v>0.63</v>
      </c>
      <c r="D1109">
        <v>2007</v>
      </c>
      <c r="E1109" t="s">
        <v>28</v>
      </c>
      <c r="F1109">
        <v>2007320</v>
      </c>
      <c r="G1109">
        <v>2008077</v>
      </c>
      <c r="H1109">
        <v>11874</v>
      </c>
      <c r="I1109">
        <v>1863</v>
      </c>
      <c r="J1109">
        <v>50</v>
      </c>
      <c r="K1109">
        <v>647</v>
      </c>
      <c r="L1109">
        <v>0</v>
      </c>
      <c r="M1109">
        <v>25</v>
      </c>
      <c r="N1109">
        <v>18.42136</v>
      </c>
      <c r="O1109">
        <v>7.2234369999999997</v>
      </c>
      <c r="P1109">
        <v>13.7026</v>
      </c>
      <c r="Q1109">
        <v>52175</v>
      </c>
    </row>
    <row r="1110" spans="1:17" x14ac:dyDescent="0.25">
      <c r="A1110" t="s">
        <v>22</v>
      </c>
      <c r="B1110">
        <v>56</v>
      </c>
      <c r="C1110">
        <v>0.63</v>
      </c>
      <c r="D1110">
        <v>2008</v>
      </c>
      <c r="E1110" t="s">
        <v>29</v>
      </c>
      <c r="F1110">
        <v>2008320</v>
      </c>
      <c r="G1110">
        <v>2009087</v>
      </c>
      <c r="H1110">
        <v>13628</v>
      </c>
      <c r="I1110">
        <v>2543</v>
      </c>
      <c r="J1110">
        <v>50</v>
      </c>
      <c r="K1110">
        <v>418</v>
      </c>
      <c r="L1110">
        <v>0</v>
      </c>
      <c r="M1110">
        <v>25</v>
      </c>
      <c r="N1110">
        <v>17.878969999999999</v>
      </c>
      <c r="O1110">
        <v>6.3512820000000003</v>
      </c>
      <c r="P1110">
        <v>14.23282</v>
      </c>
      <c r="Q1110">
        <v>71198</v>
      </c>
    </row>
    <row r="1111" spans="1:17" x14ac:dyDescent="0.25">
      <c r="A1111" t="s">
        <v>22</v>
      </c>
      <c r="B1111">
        <v>56</v>
      </c>
      <c r="C1111">
        <v>0.63</v>
      </c>
      <c r="D1111">
        <v>2009</v>
      </c>
      <c r="E1111" t="s">
        <v>29</v>
      </c>
      <c r="F1111">
        <v>2009320</v>
      </c>
      <c r="G1111">
        <v>2010091</v>
      </c>
      <c r="H1111">
        <v>11688</v>
      </c>
      <c r="I1111">
        <v>2340</v>
      </c>
      <c r="J1111">
        <v>50</v>
      </c>
      <c r="K1111">
        <v>632</v>
      </c>
      <c r="L1111">
        <v>0</v>
      </c>
      <c r="M1111">
        <v>25</v>
      </c>
      <c r="N1111">
        <v>17.426939999999998</v>
      </c>
      <c r="O1111">
        <v>6.2450770000000002</v>
      </c>
      <c r="P1111">
        <v>12.773059999999999</v>
      </c>
      <c r="Q1111">
        <v>65517</v>
      </c>
    </row>
    <row r="1112" spans="1:17" x14ac:dyDescent="0.25">
      <c r="A1112" t="s">
        <v>22</v>
      </c>
      <c r="B1112">
        <v>56</v>
      </c>
      <c r="C1112">
        <v>0.63</v>
      </c>
      <c r="D1112">
        <v>2010</v>
      </c>
      <c r="E1112" t="s">
        <v>29</v>
      </c>
      <c r="F1112">
        <v>2010320</v>
      </c>
      <c r="G1112">
        <v>2011084</v>
      </c>
      <c r="H1112">
        <v>11370</v>
      </c>
      <c r="I1112">
        <v>2067</v>
      </c>
      <c r="J1112">
        <v>50</v>
      </c>
      <c r="K1112">
        <v>350</v>
      </c>
      <c r="L1112">
        <v>0</v>
      </c>
      <c r="M1112">
        <v>25</v>
      </c>
      <c r="N1112">
        <v>18.548439999999999</v>
      </c>
      <c r="O1112">
        <v>7.220834</v>
      </c>
      <c r="P1112">
        <v>13.15781</v>
      </c>
      <c r="Q1112">
        <v>57869</v>
      </c>
    </row>
    <row r="1113" spans="1:17" x14ac:dyDescent="0.25">
      <c r="A1113" t="s">
        <v>22</v>
      </c>
      <c r="B1113">
        <v>56</v>
      </c>
      <c r="C1113">
        <v>0.63</v>
      </c>
      <c r="D1113">
        <v>2011</v>
      </c>
      <c r="E1113" t="s">
        <v>29</v>
      </c>
      <c r="F1113">
        <v>2011320</v>
      </c>
      <c r="G1113">
        <v>2012086</v>
      </c>
      <c r="H1113">
        <v>13206</v>
      </c>
      <c r="I1113">
        <v>3392</v>
      </c>
      <c r="J1113">
        <v>50</v>
      </c>
      <c r="K1113">
        <v>411</v>
      </c>
      <c r="L1113">
        <v>0</v>
      </c>
      <c r="M1113">
        <v>25</v>
      </c>
      <c r="N1113">
        <v>19.00516</v>
      </c>
      <c r="O1113">
        <v>6.4541240000000002</v>
      </c>
      <c r="P1113">
        <v>13.414429999999999</v>
      </c>
      <c r="Q1113">
        <v>94966</v>
      </c>
    </row>
    <row r="1114" spans="1:17" x14ac:dyDescent="0.25">
      <c r="A1114" t="s">
        <v>22</v>
      </c>
      <c r="B1114">
        <v>56</v>
      </c>
      <c r="C1114">
        <v>0.63</v>
      </c>
      <c r="D1114">
        <v>2012</v>
      </c>
      <c r="E1114" t="s">
        <v>29</v>
      </c>
      <c r="F1114">
        <v>2012320</v>
      </c>
      <c r="G1114">
        <v>2013078</v>
      </c>
      <c r="H1114">
        <v>10308</v>
      </c>
      <c r="I1114">
        <v>1736</v>
      </c>
      <c r="J1114">
        <v>50</v>
      </c>
      <c r="K1114">
        <v>444</v>
      </c>
      <c r="L1114">
        <v>0</v>
      </c>
      <c r="M1114">
        <v>25</v>
      </c>
      <c r="N1114">
        <v>18.845130000000001</v>
      </c>
      <c r="O1114">
        <v>6.5446160000000004</v>
      </c>
      <c r="P1114">
        <v>13.657439999999999</v>
      </c>
      <c r="Q1114">
        <v>48607</v>
      </c>
    </row>
    <row r="1115" spans="1:17" x14ac:dyDescent="0.25">
      <c r="A1115" t="s">
        <v>22</v>
      </c>
      <c r="B1115">
        <v>56</v>
      </c>
      <c r="C1115">
        <v>0.63</v>
      </c>
      <c r="D1115">
        <v>2013</v>
      </c>
      <c r="E1115" t="s">
        <v>29</v>
      </c>
      <c r="F1115">
        <v>2013320</v>
      </c>
      <c r="G1115">
        <v>2014077</v>
      </c>
      <c r="H1115">
        <v>7811</v>
      </c>
      <c r="I1115">
        <v>1894</v>
      </c>
      <c r="J1115">
        <v>50</v>
      </c>
      <c r="K1115">
        <v>174</v>
      </c>
      <c r="L1115">
        <v>0</v>
      </c>
      <c r="M1115">
        <v>25</v>
      </c>
      <c r="N1115">
        <v>19.100519999999999</v>
      </c>
      <c r="O1115">
        <v>6.9278360000000001</v>
      </c>
      <c r="P1115">
        <v>14.307729999999999</v>
      </c>
      <c r="Q1115">
        <v>53040</v>
      </c>
    </row>
    <row r="1116" spans="1:17" x14ac:dyDescent="0.25">
      <c r="A1116" t="s">
        <v>22</v>
      </c>
      <c r="B1116">
        <v>56</v>
      </c>
      <c r="C1116">
        <v>0.63</v>
      </c>
      <c r="D1116">
        <v>2014</v>
      </c>
      <c r="E1116" t="s">
        <v>29</v>
      </c>
      <c r="F1116">
        <v>2014320</v>
      </c>
      <c r="G1116">
        <v>2015086</v>
      </c>
      <c r="H1116">
        <v>15241</v>
      </c>
      <c r="I1116">
        <v>2857</v>
      </c>
      <c r="J1116">
        <v>50</v>
      </c>
      <c r="K1116">
        <v>612</v>
      </c>
      <c r="L1116">
        <v>0</v>
      </c>
      <c r="M1116">
        <v>25</v>
      </c>
      <c r="N1116">
        <v>18.909839999999999</v>
      </c>
      <c r="O1116">
        <v>6.7497429999999996</v>
      </c>
      <c r="P1116">
        <v>14.530049999999999</v>
      </c>
      <c r="Q1116">
        <v>79985</v>
      </c>
    </row>
    <row r="1117" spans="1:17" x14ac:dyDescent="0.25">
      <c r="A1117" t="s">
        <v>22</v>
      </c>
      <c r="B1117">
        <v>56</v>
      </c>
      <c r="C1117">
        <v>0.63</v>
      </c>
      <c r="D1117">
        <v>2015</v>
      </c>
      <c r="E1117" t="s">
        <v>29</v>
      </c>
      <c r="F1117">
        <v>2015320</v>
      </c>
      <c r="G1117">
        <v>2016065</v>
      </c>
      <c r="H1117">
        <v>2624</v>
      </c>
      <c r="I1117">
        <v>470</v>
      </c>
      <c r="J1117">
        <v>50</v>
      </c>
      <c r="K1117">
        <v>436</v>
      </c>
      <c r="L1117">
        <v>0</v>
      </c>
      <c r="M1117">
        <v>25</v>
      </c>
      <c r="N1117">
        <v>19.558759999999999</v>
      </c>
      <c r="O1117">
        <v>7.6721630000000003</v>
      </c>
      <c r="P1117">
        <v>13.53505</v>
      </c>
      <c r="Q1117">
        <v>13167</v>
      </c>
    </row>
    <row r="1118" spans="1:17" x14ac:dyDescent="0.25">
      <c r="A1118" t="s">
        <v>22</v>
      </c>
      <c r="B1118">
        <v>56</v>
      </c>
      <c r="C1118">
        <v>0.63</v>
      </c>
      <c r="D1118">
        <v>2016</v>
      </c>
      <c r="E1118" t="s">
        <v>29</v>
      </c>
      <c r="F1118">
        <v>2016320</v>
      </c>
      <c r="G1118">
        <v>2017071</v>
      </c>
      <c r="H1118">
        <v>15031</v>
      </c>
      <c r="I1118">
        <v>2848</v>
      </c>
      <c r="J1118">
        <v>50</v>
      </c>
      <c r="K1118">
        <v>560</v>
      </c>
      <c r="L1118">
        <v>0</v>
      </c>
      <c r="M1118">
        <v>25</v>
      </c>
      <c r="N1118">
        <v>19.213840000000001</v>
      </c>
      <c r="O1118">
        <v>7.838463</v>
      </c>
      <c r="P1118">
        <v>13.850770000000001</v>
      </c>
      <c r="Q1118">
        <v>79733</v>
      </c>
    </row>
    <row r="1119" spans="1:17" x14ac:dyDescent="0.25">
      <c r="A1119" t="s">
        <v>22</v>
      </c>
      <c r="B1119">
        <v>56</v>
      </c>
      <c r="C1119">
        <v>0.63</v>
      </c>
      <c r="D1119">
        <v>2017</v>
      </c>
      <c r="E1119" t="s">
        <v>29</v>
      </c>
      <c r="F1119">
        <v>2017320</v>
      </c>
      <c r="G1119">
        <v>2018080</v>
      </c>
      <c r="H1119">
        <v>4433</v>
      </c>
      <c r="I1119">
        <v>895</v>
      </c>
      <c r="J1119">
        <v>50</v>
      </c>
      <c r="K1119">
        <v>237</v>
      </c>
      <c r="L1119">
        <v>0</v>
      </c>
      <c r="M1119">
        <v>25</v>
      </c>
      <c r="N1119">
        <v>19.079689999999999</v>
      </c>
      <c r="O1119">
        <v>6.6177099999999998</v>
      </c>
      <c r="P1119">
        <v>13.731260000000001</v>
      </c>
      <c r="Q1119">
        <v>25072</v>
      </c>
    </row>
    <row r="1120" spans="1:17" x14ac:dyDescent="0.25">
      <c r="A1120" t="s">
        <v>22</v>
      </c>
      <c r="B1120">
        <v>56</v>
      </c>
      <c r="C1120">
        <v>0.63</v>
      </c>
      <c r="D1120">
        <v>2018</v>
      </c>
      <c r="E1120" t="s">
        <v>29</v>
      </c>
      <c r="F1120">
        <v>2018320</v>
      </c>
      <c r="G1120">
        <v>2019072</v>
      </c>
      <c r="H1120">
        <v>5825</v>
      </c>
      <c r="I1120">
        <v>1011</v>
      </c>
      <c r="J1120">
        <v>50</v>
      </c>
      <c r="K1120">
        <v>525</v>
      </c>
      <c r="L1120">
        <v>0</v>
      </c>
      <c r="M1120">
        <v>25</v>
      </c>
      <c r="N1120">
        <v>19.40053</v>
      </c>
      <c r="O1120">
        <v>6.8211360000000001</v>
      </c>
      <c r="P1120">
        <v>14.724740000000001</v>
      </c>
      <c r="Q1120">
        <v>28319</v>
      </c>
    </row>
    <row r="1121" spans="1:17" x14ac:dyDescent="0.25">
      <c r="A1121" t="s">
        <v>22</v>
      </c>
      <c r="B1121">
        <v>56</v>
      </c>
      <c r="C1121">
        <v>0.63</v>
      </c>
      <c r="D1121">
        <v>2019</v>
      </c>
      <c r="E1121" t="s">
        <v>29</v>
      </c>
      <c r="F1121">
        <v>2019320</v>
      </c>
      <c r="G1121">
        <v>2020066</v>
      </c>
      <c r="H1121">
        <v>10996</v>
      </c>
      <c r="I1121">
        <v>2339</v>
      </c>
      <c r="J1121">
        <v>50</v>
      </c>
      <c r="K1121">
        <v>594</v>
      </c>
      <c r="L1121">
        <v>0</v>
      </c>
      <c r="M1121">
        <v>25</v>
      </c>
      <c r="N1121">
        <v>19.588609999999999</v>
      </c>
      <c r="O1121">
        <v>8.5455950000000005</v>
      </c>
      <c r="P1121">
        <v>12.478759999999999</v>
      </c>
      <c r="Q1121">
        <v>65486</v>
      </c>
    </row>
    <row r="1122" spans="1:17" x14ac:dyDescent="0.25">
      <c r="A1122" t="s">
        <v>22</v>
      </c>
      <c r="B1122">
        <v>57</v>
      </c>
      <c r="C1122">
        <v>0.87</v>
      </c>
      <c r="D1122">
        <v>2000</v>
      </c>
      <c r="E1122" t="s">
        <v>28</v>
      </c>
      <c r="F1122">
        <v>2000334</v>
      </c>
      <c r="G1122">
        <v>2001085</v>
      </c>
      <c r="H1122">
        <v>5932</v>
      </c>
      <c r="I1122">
        <v>872</v>
      </c>
      <c r="J1122">
        <v>50</v>
      </c>
      <c r="K1122">
        <v>441</v>
      </c>
      <c r="L1122">
        <v>0</v>
      </c>
      <c r="M1122">
        <v>25</v>
      </c>
      <c r="N1122">
        <v>19.017219999999998</v>
      </c>
      <c r="O1122">
        <v>7.5955570000000003</v>
      </c>
      <c r="P1122">
        <v>13.911659999999999</v>
      </c>
      <c r="Q1122">
        <v>18312</v>
      </c>
    </row>
    <row r="1123" spans="1:17" x14ac:dyDescent="0.25">
      <c r="A1123" t="s">
        <v>22</v>
      </c>
      <c r="B1123">
        <v>57</v>
      </c>
      <c r="C1123">
        <v>0.87</v>
      </c>
      <c r="D1123">
        <v>2001</v>
      </c>
      <c r="E1123" t="s">
        <v>28</v>
      </c>
      <c r="F1123">
        <v>2001334</v>
      </c>
      <c r="G1123">
        <v>2002090</v>
      </c>
      <c r="H1123">
        <v>11031</v>
      </c>
      <c r="I1123">
        <v>1348</v>
      </c>
      <c r="J1123">
        <v>50</v>
      </c>
      <c r="K1123">
        <v>573</v>
      </c>
      <c r="L1123">
        <v>0</v>
      </c>
      <c r="M1123">
        <v>25</v>
      </c>
      <c r="N1123">
        <v>17.96593</v>
      </c>
      <c r="O1123">
        <v>7.2256999999999998</v>
      </c>
      <c r="P1123">
        <v>13.42347</v>
      </c>
      <c r="Q1123">
        <v>28311</v>
      </c>
    </row>
    <row r="1124" spans="1:17" x14ac:dyDescent="0.25">
      <c r="A1124" t="s">
        <v>22</v>
      </c>
      <c r="B1124">
        <v>57</v>
      </c>
      <c r="C1124">
        <v>0.87</v>
      </c>
      <c r="D1124">
        <v>2002</v>
      </c>
      <c r="E1124" t="s">
        <v>28</v>
      </c>
      <c r="F1124">
        <v>2002334</v>
      </c>
      <c r="G1124">
        <v>2003091</v>
      </c>
      <c r="H1124">
        <v>16034</v>
      </c>
      <c r="I1124">
        <v>2560</v>
      </c>
      <c r="J1124">
        <v>50</v>
      </c>
      <c r="K1124">
        <v>509</v>
      </c>
      <c r="L1124">
        <v>0</v>
      </c>
      <c r="M1124">
        <v>25</v>
      </c>
      <c r="N1124">
        <v>18.017320000000002</v>
      </c>
      <c r="O1124">
        <v>7.5843569999999998</v>
      </c>
      <c r="P1124">
        <v>13.343019999999999</v>
      </c>
      <c r="Q1124">
        <v>53761</v>
      </c>
    </row>
    <row r="1125" spans="1:17" x14ac:dyDescent="0.25">
      <c r="A1125" t="s">
        <v>22</v>
      </c>
      <c r="B1125">
        <v>57</v>
      </c>
      <c r="C1125">
        <v>0.87</v>
      </c>
      <c r="D1125">
        <v>2003</v>
      </c>
      <c r="E1125" t="s">
        <v>28</v>
      </c>
      <c r="F1125">
        <v>2003334</v>
      </c>
      <c r="G1125">
        <v>2004092</v>
      </c>
      <c r="H1125">
        <v>13984</v>
      </c>
      <c r="I1125">
        <v>2082</v>
      </c>
      <c r="J1125">
        <v>50</v>
      </c>
      <c r="K1125">
        <v>651</v>
      </c>
      <c r="L1125">
        <v>0</v>
      </c>
      <c r="M1125">
        <v>25</v>
      </c>
      <c r="N1125">
        <v>17.562919999999998</v>
      </c>
      <c r="O1125">
        <v>6.7780899999999997</v>
      </c>
      <c r="P1125">
        <v>12.85674</v>
      </c>
      <c r="Q1125">
        <v>43731</v>
      </c>
    </row>
    <row r="1126" spans="1:17" x14ac:dyDescent="0.25">
      <c r="A1126" t="s">
        <v>22</v>
      </c>
      <c r="B1126">
        <v>57</v>
      </c>
      <c r="C1126">
        <v>0.87</v>
      </c>
      <c r="D1126">
        <v>2004</v>
      </c>
      <c r="E1126" t="s">
        <v>28</v>
      </c>
      <c r="F1126">
        <v>2004334</v>
      </c>
      <c r="G1126">
        <v>2005103</v>
      </c>
      <c r="H1126">
        <v>11022</v>
      </c>
      <c r="I1126">
        <v>2246</v>
      </c>
      <c r="J1126">
        <v>50</v>
      </c>
      <c r="K1126">
        <v>313</v>
      </c>
      <c r="L1126">
        <v>0</v>
      </c>
      <c r="M1126">
        <v>25</v>
      </c>
      <c r="N1126">
        <v>17.577780000000001</v>
      </c>
      <c r="O1126">
        <v>6.4122209999999997</v>
      </c>
      <c r="P1126">
        <v>14.355</v>
      </c>
      <c r="Q1126">
        <v>47169</v>
      </c>
    </row>
    <row r="1127" spans="1:17" x14ac:dyDescent="0.25">
      <c r="A1127" t="s">
        <v>22</v>
      </c>
      <c r="B1127">
        <v>57</v>
      </c>
      <c r="C1127">
        <v>0.87</v>
      </c>
      <c r="D1127">
        <v>2005</v>
      </c>
      <c r="E1127" t="s">
        <v>28</v>
      </c>
      <c r="F1127">
        <v>2005334</v>
      </c>
      <c r="G1127">
        <v>2006096</v>
      </c>
      <c r="H1127">
        <v>11105</v>
      </c>
      <c r="I1127">
        <v>2525</v>
      </c>
      <c r="J1127">
        <v>50</v>
      </c>
      <c r="K1127">
        <v>612</v>
      </c>
      <c r="L1127">
        <v>0</v>
      </c>
      <c r="M1127">
        <v>25</v>
      </c>
      <c r="N1127">
        <v>17.978770000000001</v>
      </c>
      <c r="O1127">
        <v>7.3474849999999998</v>
      </c>
      <c r="P1127">
        <v>13.85196</v>
      </c>
      <c r="Q1127">
        <v>53015</v>
      </c>
    </row>
    <row r="1128" spans="1:17" x14ac:dyDescent="0.25">
      <c r="A1128" t="s">
        <v>22</v>
      </c>
      <c r="B1128">
        <v>57</v>
      </c>
      <c r="C1128">
        <v>0.87</v>
      </c>
      <c r="D1128">
        <v>2006</v>
      </c>
      <c r="E1128" t="s">
        <v>28</v>
      </c>
      <c r="F1128">
        <v>2006334</v>
      </c>
      <c r="G1128">
        <v>2007087</v>
      </c>
      <c r="H1128">
        <v>11522</v>
      </c>
      <c r="I1128">
        <v>2056</v>
      </c>
      <c r="J1128">
        <v>50</v>
      </c>
      <c r="K1128">
        <v>512</v>
      </c>
      <c r="L1128">
        <v>0</v>
      </c>
      <c r="M1128">
        <v>25</v>
      </c>
      <c r="N1128">
        <v>19.065560000000001</v>
      </c>
      <c r="O1128">
        <v>7.7200009999999999</v>
      </c>
      <c r="P1128">
        <v>14.498889999999999</v>
      </c>
      <c r="Q1128">
        <v>43175</v>
      </c>
    </row>
    <row r="1129" spans="1:17" x14ac:dyDescent="0.25">
      <c r="A1129" t="s">
        <v>22</v>
      </c>
      <c r="B1129">
        <v>57</v>
      </c>
      <c r="C1129">
        <v>0.87</v>
      </c>
      <c r="D1129">
        <v>2007</v>
      </c>
      <c r="E1129" t="s">
        <v>28</v>
      </c>
      <c r="F1129">
        <v>2007334</v>
      </c>
      <c r="G1129">
        <v>2008090</v>
      </c>
      <c r="H1129">
        <v>12053</v>
      </c>
      <c r="I1129">
        <v>2614</v>
      </c>
      <c r="J1129">
        <v>50</v>
      </c>
      <c r="K1129">
        <v>647</v>
      </c>
      <c r="L1129">
        <v>0</v>
      </c>
      <c r="M1129">
        <v>25</v>
      </c>
      <c r="N1129">
        <v>18.479340000000001</v>
      </c>
      <c r="O1129">
        <v>7.3625689999999997</v>
      </c>
      <c r="P1129">
        <v>14.02402</v>
      </c>
      <c r="Q1129">
        <v>54892</v>
      </c>
    </row>
    <row r="1130" spans="1:17" x14ac:dyDescent="0.25">
      <c r="A1130" t="s">
        <v>22</v>
      </c>
      <c r="B1130">
        <v>57</v>
      </c>
      <c r="C1130">
        <v>0.87</v>
      </c>
      <c r="D1130">
        <v>2008</v>
      </c>
      <c r="E1130" t="s">
        <v>28</v>
      </c>
      <c r="F1130">
        <v>2008334</v>
      </c>
      <c r="G1130">
        <v>2009097</v>
      </c>
      <c r="H1130">
        <v>12844</v>
      </c>
      <c r="I1130">
        <v>1886</v>
      </c>
      <c r="J1130">
        <v>50</v>
      </c>
      <c r="K1130">
        <v>418</v>
      </c>
      <c r="L1130">
        <v>0</v>
      </c>
      <c r="M1130">
        <v>25</v>
      </c>
      <c r="N1130">
        <v>18.029209999999999</v>
      </c>
      <c r="O1130">
        <v>6.6337080000000004</v>
      </c>
      <c r="P1130">
        <v>14.66966</v>
      </c>
      <c r="Q1130">
        <v>39600</v>
      </c>
    </row>
    <row r="1131" spans="1:17" x14ac:dyDescent="0.25">
      <c r="A1131" t="s">
        <v>22</v>
      </c>
      <c r="B1131">
        <v>57</v>
      </c>
      <c r="C1131">
        <v>0.87</v>
      </c>
      <c r="D1131">
        <v>2009</v>
      </c>
      <c r="E1131" t="s">
        <v>28</v>
      </c>
      <c r="F1131">
        <v>2009334</v>
      </c>
      <c r="G1131">
        <v>2010103</v>
      </c>
      <c r="H1131">
        <v>15267</v>
      </c>
      <c r="I1131">
        <v>2456</v>
      </c>
      <c r="J1131">
        <v>50</v>
      </c>
      <c r="K1131">
        <v>632</v>
      </c>
      <c r="L1131">
        <v>0</v>
      </c>
      <c r="M1131">
        <v>25</v>
      </c>
      <c r="N1131">
        <v>17.326260000000001</v>
      </c>
      <c r="O1131">
        <v>6.2223449999999998</v>
      </c>
      <c r="P1131">
        <v>13.13632</v>
      </c>
      <c r="Q1131">
        <v>51575</v>
      </c>
    </row>
    <row r="1132" spans="1:17" x14ac:dyDescent="0.25">
      <c r="A1132" t="s">
        <v>22</v>
      </c>
      <c r="B1132">
        <v>57</v>
      </c>
      <c r="C1132">
        <v>0.87</v>
      </c>
      <c r="D1132">
        <v>2010</v>
      </c>
      <c r="E1132" t="s">
        <v>29</v>
      </c>
      <c r="F1132">
        <v>2010334</v>
      </c>
      <c r="G1132">
        <v>2011093</v>
      </c>
      <c r="H1132">
        <v>9934</v>
      </c>
      <c r="I1132">
        <v>2051</v>
      </c>
      <c r="J1132">
        <v>50</v>
      </c>
      <c r="K1132">
        <v>350</v>
      </c>
      <c r="L1132">
        <v>0</v>
      </c>
      <c r="M1132">
        <v>25</v>
      </c>
      <c r="N1132">
        <v>18.817519999999998</v>
      </c>
      <c r="O1132">
        <v>7.592657</v>
      </c>
      <c r="P1132">
        <v>13.63729</v>
      </c>
      <c r="Q1132">
        <v>43063</v>
      </c>
    </row>
    <row r="1133" spans="1:17" x14ac:dyDescent="0.25">
      <c r="A1133" t="s">
        <v>22</v>
      </c>
      <c r="B1133">
        <v>57</v>
      </c>
      <c r="C1133">
        <v>0.87</v>
      </c>
      <c r="D1133">
        <v>2011</v>
      </c>
      <c r="E1133" t="s">
        <v>29</v>
      </c>
      <c r="F1133">
        <v>2011334</v>
      </c>
      <c r="G1133">
        <v>2012095</v>
      </c>
      <c r="H1133">
        <v>11037</v>
      </c>
      <c r="I1133">
        <v>2776</v>
      </c>
      <c r="J1133">
        <v>50</v>
      </c>
      <c r="K1133">
        <v>411</v>
      </c>
      <c r="L1133">
        <v>0</v>
      </c>
      <c r="M1133">
        <v>25</v>
      </c>
      <c r="N1133">
        <v>19.103349999999999</v>
      </c>
      <c r="O1133">
        <v>6.2564250000000001</v>
      </c>
      <c r="P1133">
        <v>14.03631</v>
      </c>
      <c r="Q1133">
        <v>58296</v>
      </c>
    </row>
    <row r="1134" spans="1:17" x14ac:dyDescent="0.25">
      <c r="A1134" t="s">
        <v>22</v>
      </c>
      <c r="B1134">
        <v>57</v>
      </c>
      <c r="C1134">
        <v>0.87</v>
      </c>
      <c r="D1134">
        <v>2012</v>
      </c>
      <c r="E1134" t="s">
        <v>29</v>
      </c>
      <c r="F1134">
        <v>2012334</v>
      </c>
      <c r="G1134">
        <v>2013087</v>
      </c>
      <c r="H1134">
        <v>7566</v>
      </c>
      <c r="I1134">
        <v>1427</v>
      </c>
      <c r="J1134">
        <v>50</v>
      </c>
      <c r="K1134">
        <v>444</v>
      </c>
      <c r="L1134">
        <v>0</v>
      </c>
      <c r="M1134">
        <v>25</v>
      </c>
      <c r="N1134">
        <v>19</v>
      </c>
      <c r="O1134">
        <v>6.6122899999999998</v>
      </c>
      <c r="P1134">
        <v>14.14246</v>
      </c>
      <c r="Q1134">
        <v>29975</v>
      </c>
    </row>
    <row r="1135" spans="1:17" x14ac:dyDescent="0.25">
      <c r="A1135" t="s">
        <v>22</v>
      </c>
      <c r="B1135">
        <v>57</v>
      </c>
      <c r="C1135">
        <v>0.87</v>
      </c>
      <c r="D1135">
        <v>2013</v>
      </c>
      <c r="E1135" t="s">
        <v>29</v>
      </c>
      <c r="F1135">
        <v>2013334</v>
      </c>
      <c r="G1135">
        <v>2014087</v>
      </c>
      <c r="H1135">
        <v>8309</v>
      </c>
      <c r="I1135">
        <v>1797</v>
      </c>
      <c r="J1135">
        <v>50</v>
      </c>
      <c r="K1135">
        <v>174</v>
      </c>
      <c r="L1135">
        <v>0</v>
      </c>
      <c r="M1135">
        <v>25</v>
      </c>
      <c r="N1135">
        <v>19.42858</v>
      </c>
      <c r="O1135">
        <v>7.3520009999999996</v>
      </c>
      <c r="P1135">
        <v>14.888</v>
      </c>
      <c r="Q1135">
        <v>37735</v>
      </c>
    </row>
    <row r="1136" spans="1:17" x14ac:dyDescent="0.25">
      <c r="A1136" t="s">
        <v>22</v>
      </c>
      <c r="B1136">
        <v>57</v>
      </c>
      <c r="C1136">
        <v>0.87</v>
      </c>
      <c r="D1136">
        <v>2014</v>
      </c>
      <c r="E1136" t="s">
        <v>29</v>
      </c>
      <c r="F1136">
        <v>2014334</v>
      </c>
      <c r="G1136">
        <v>2015093</v>
      </c>
      <c r="H1136">
        <v>12626</v>
      </c>
      <c r="I1136">
        <v>2597</v>
      </c>
      <c r="J1136">
        <v>50</v>
      </c>
      <c r="K1136">
        <v>612</v>
      </c>
      <c r="L1136">
        <v>0</v>
      </c>
      <c r="M1136">
        <v>25</v>
      </c>
      <c r="N1136">
        <v>18.921659999999999</v>
      </c>
      <c r="O1136">
        <v>6.4488899999999996</v>
      </c>
      <c r="P1136">
        <v>15.15222</v>
      </c>
      <c r="Q1136">
        <v>54547</v>
      </c>
    </row>
    <row r="1137" spans="1:17" x14ac:dyDescent="0.25">
      <c r="A1137" t="s">
        <v>22</v>
      </c>
      <c r="B1137">
        <v>57</v>
      </c>
      <c r="C1137">
        <v>0.87</v>
      </c>
      <c r="D1137">
        <v>2015</v>
      </c>
      <c r="E1137" t="s">
        <v>29</v>
      </c>
      <c r="F1137">
        <v>2015334</v>
      </c>
      <c r="G1137">
        <v>2016082</v>
      </c>
      <c r="H1137">
        <v>6517</v>
      </c>
      <c r="I1137">
        <v>1319</v>
      </c>
      <c r="J1137">
        <v>50</v>
      </c>
      <c r="K1137">
        <v>436</v>
      </c>
      <c r="L1137">
        <v>0</v>
      </c>
      <c r="M1137">
        <v>25</v>
      </c>
      <c r="N1137">
        <v>19.64134</v>
      </c>
      <c r="O1137">
        <v>7.7726230000000003</v>
      </c>
      <c r="P1137">
        <v>13.889379999999999</v>
      </c>
      <c r="Q1137">
        <v>27704</v>
      </c>
    </row>
    <row r="1138" spans="1:17" x14ac:dyDescent="0.25">
      <c r="A1138" t="s">
        <v>22</v>
      </c>
      <c r="B1138">
        <v>57</v>
      </c>
      <c r="C1138">
        <v>0.87</v>
      </c>
      <c r="D1138">
        <v>2016</v>
      </c>
      <c r="E1138" t="s">
        <v>29</v>
      </c>
      <c r="F1138">
        <v>2016334</v>
      </c>
      <c r="G1138">
        <v>2017085</v>
      </c>
      <c r="H1138">
        <v>13802</v>
      </c>
      <c r="I1138">
        <v>3273</v>
      </c>
      <c r="J1138">
        <v>50</v>
      </c>
      <c r="K1138">
        <v>560</v>
      </c>
      <c r="L1138">
        <v>0</v>
      </c>
      <c r="M1138">
        <v>25</v>
      </c>
      <c r="N1138">
        <v>19.46022</v>
      </c>
      <c r="O1138">
        <v>7.7696139999999998</v>
      </c>
      <c r="P1138">
        <v>14.54862</v>
      </c>
      <c r="Q1138">
        <v>68725</v>
      </c>
    </row>
    <row r="1139" spans="1:17" x14ac:dyDescent="0.25">
      <c r="A1139" t="s">
        <v>22</v>
      </c>
      <c r="B1139">
        <v>57</v>
      </c>
      <c r="C1139">
        <v>0.87</v>
      </c>
      <c r="D1139">
        <v>2017</v>
      </c>
      <c r="E1139" t="s">
        <v>29</v>
      </c>
      <c r="F1139">
        <v>2017334</v>
      </c>
      <c r="G1139">
        <v>2018090</v>
      </c>
      <c r="H1139">
        <v>6266</v>
      </c>
      <c r="I1139">
        <v>1155</v>
      </c>
      <c r="J1139">
        <v>50</v>
      </c>
      <c r="K1139">
        <v>237</v>
      </c>
      <c r="L1139">
        <v>0</v>
      </c>
      <c r="M1139">
        <v>25</v>
      </c>
      <c r="N1139">
        <v>19.261710000000001</v>
      </c>
      <c r="O1139">
        <v>6.8697150000000002</v>
      </c>
      <c r="P1139">
        <v>14.21372</v>
      </c>
      <c r="Q1139">
        <v>24252</v>
      </c>
    </row>
    <row r="1140" spans="1:17" x14ac:dyDescent="0.25">
      <c r="A1140" t="s">
        <v>22</v>
      </c>
      <c r="B1140">
        <v>57</v>
      </c>
      <c r="C1140">
        <v>0.87</v>
      </c>
      <c r="D1140">
        <v>2018</v>
      </c>
      <c r="E1140" t="s">
        <v>29</v>
      </c>
      <c r="F1140">
        <v>2018334</v>
      </c>
      <c r="G1140">
        <v>2019087</v>
      </c>
      <c r="H1140">
        <v>5674</v>
      </c>
      <c r="I1140">
        <v>961</v>
      </c>
      <c r="J1140">
        <v>50</v>
      </c>
      <c r="K1140">
        <v>525</v>
      </c>
      <c r="L1140">
        <v>0</v>
      </c>
      <c r="M1140">
        <v>25</v>
      </c>
      <c r="N1140">
        <v>19.491669999999999</v>
      </c>
      <c r="O1140">
        <v>6.8244470000000002</v>
      </c>
      <c r="P1140">
        <v>15.228339999999999</v>
      </c>
      <c r="Q1140">
        <v>20188</v>
      </c>
    </row>
    <row r="1141" spans="1:17" x14ac:dyDescent="0.25">
      <c r="A1141" t="s">
        <v>22</v>
      </c>
      <c r="B1141">
        <v>57</v>
      </c>
      <c r="C1141">
        <v>0.87</v>
      </c>
      <c r="D1141">
        <v>2019</v>
      </c>
      <c r="E1141" t="s">
        <v>29</v>
      </c>
      <c r="F1141">
        <v>2019334</v>
      </c>
      <c r="G1141">
        <v>2020076</v>
      </c>
      <c r="H1141">
        <v>12734</v>
      </c>
      <c r="I1141">
        <v>2706</v>
      </c>
      <c r="J1141">
        <v>50</v>
      </c>
      <c r="K1141">
        <v>594</v>
      </c>
      <c r="L1141">
        <v>0</v>
      </c>
      <c r="M1141">
        <v>25</v>
      </c>
      <c r="N1141">
        <v>19.65363</v>
      </c>
      <c r="O1141">
        <v>8.5564230000000006</v>
      </c>
      <c r="P1141">
        <v>12.908379999999999</v>
      </c>
      <c r="Q1141">
        <v>56832</v>
      </c>
    </row>
    <row r="1142" spans="1:17" x14ac:dyDescent="0.25">
      <c r="A1142" t="s">
        <v>22</v>
      </c>
      <c r="B1142">
        <v>58</v>
      </c>
      <c r="C1142">
        <v>0.85</v>
      </c>
      <c r="D1142">
        <v>2000</v>
      </c>
      <c r="E1142" t="s">
        <v>28</v>
      </c>
      <c r="F1142">
        <v>2000350</v>
      </c>
      <c r="G1142">
        <v>2001094</v>
      </c>
      <c r="H1142">
        <v>8609</v>
      </c>
      <c r="I1142">
        <v>987</v>
      </c>
      <c r="J1142">
        <v>50</v>
      </c>
      <c r="K1142">
        <v>441</v>
      </c>
      <c r="L1142">
        <v>0</v>
      </c>
      <c r="M1142">
        <v>25</v>
      </c>
      <c r="N1142">
        <v>19.67098</v>
      </c>
      <c r="O1142">
        <v>8.0246929999999992</v>
      </c>
      <c r="P1142">
        <v>14.775919999999999</v>
      </c>
      <c r="Q1142">
        <v>28628</v>
      </c>
    </row>
    <row r="1143" spans="1:17" x14ac:dyDescent="0.25">
      <c r="A1143" t="s">
        <v>22</v>
      </c>
      <c r="B1143">
        <v>58</v>
      </c>
      <c r="C1143">
        <v>0.85</v>
      </c>
      <c r="D1143">
        <v>2001</v>
      </c>
      <c r="E1143" t="s">
        <v>28</v>
      </c>
      <c r="F1143">
        <v>2001350</v>
      </c>
      <c r="G1143">
        <v>2002099</v>
      </c>
      <c r="H1143">
        <v>11423</v>
      </c>
      <c r="I1143">
        <v>1425</v>
      </c>
      <c r="J1143">
        <v>50</v>
      </c>
      <c r="K1143">
        <v>573</v>
      </c>
      <c r="L1143">
        <v>0</v>
      </c>
      <c r="M1143">
        <v>25</v>
      </c>
      <c r="N1143">
        <v>18.506209999999999</v>
      </c>
      <c r="O1143">
        <v>7.6161490000000001</v>
      </c>
      <c r="P1143">
        <v>14.23851</v>
      </c>
      <c r="Q1143">
        <v>41321</v>
      </c>
    </row>
    <row r="1144" spans="1:17" x14ac:dyDescent="0.25">
      <c r="A1144" t="s">
        <v>22</v>
      </c>
      <c r="B1144">
        <v>58</v>
      </c>
      <c r="C1144">
        <v>0.85</v>
      </c>
      <c r="D1144">
        <v>2002</v>
      </c>
      <c r="E1144" t="s">
        <v>28</v>
      </c>
      <c r="F1144">
        <v>2002350</v>
      </c>
      <c r="G1144">
        <v>2003105</v>
      </c>
      <c r="H1144">
        <v>17863</v>
      </c>
      <c r="I1144">
        <v>2879</v>
      </c>
      <c r="J1144">
        <v>50</v>
      </c>
      <c r="K1144">
        <v>509</v>
      </c>
      <c r="L1144">
        <v>0</v>
      </c>
      <c r="M1144">
        <v>25</v>
      </c>
      <c r="N1144">
        <v>18.208590000000001</v>
      </c>
      <c r="O1144">
        <v>7.6730070000000001</v>
      </c>
      <c r="P1144">
        <v>14.069330000000001</v>
      </c>
      <c r="Q1144">
        <v>83485</v>
      </c>
    </row>
    <row r="1145" spans="1:17" x14ac:dyDescent="0.25">
      <c r="A1145" t="s">
        <v>22</v>
      </c>
      <c r="B1145">
        <v>58</v>
      </c>
      <c r="C1145">
        <v>0.85</v>
      </c>
      <c r="D1145">
        <v>2003</v>
      </c>
      <c r="E1145" t="s">
        <v>28</v>
      </c>
      <c r="F1145">
        <v>2003350</v>
      </c>
      <c r="G1145">
        <v>2004107</v>
      </c>
      <c r="H1145">
        <v>7038</v>
      </c>
      <c r="I1145">
        <v>1000</v>
      </c>
      <c r="J1145">
        <v>50</v>
      </c>
      <c r="K1145">
        <v>651</v>
      </c>
      <c r="L1145">
        <v>0</v>
      </c>
      <c r="M1145">
        <v>25</v>
      </c>
      <c r="N1145">
        <v>17.669329999999999</v>
      </c>
      <c r="O1145">
        <v>6.8061350000000003</v>
      </c>
      <c r="P1145">
        <v>13.46749</v>
      </c>
      <c r="Q1145">
        <v>28992</v>
      </c>
    </row>
    <row r="1146" spans="1:17" x14ac:dyDescent="0.25">
      <c r="A1146" t="s">
        <v>22</v>
      </c>
      <c r="B1146">
        <v>58</v>
      </c>
      <c r="C1146">
        <v>0.85</v>
      </c>
      <c r="D1146">
        <v>2004</v>
      </c>
      <c r="E1146" t="s">
        <v>28</v>
      </c>
      <c r="F1146">
        <v>2004350</v>
      </c>
      <c r="G1146">
        <v>2005112</v>
      </c>
      <c r="H1146">
        <v>10858</v>
      </c>
      <c r="I1146">
        <v>2371</v>
      </c>
      <c r="J1146">
        <v>50</v>
      </c>
      <c r="K1146">
        <v>313</v>
      </c>
      <c r="L1146">
        <v>0</v>
      </c>
      <c r="M1146">
        <v>25</v>
      </c>
      <c r="N1146">
        <v>17.752120000000001</v>
      </c>
      <c r="O1146">
        <v>6.2490920000000001</v>
      </c>
      <c r="P1146">
        <v>15.227270000000001</v>
      </c>
      <c r="Q1146">
        <v>68767</v>
      </c>
    </row>
    <row r="1147" spans="1:17" x14ac:dyDescent="0.25">
      <c r="A1147" t="s">
        <v>22</v>
      </c>
      <c r="B1147">
        <v>58</v>
      </c>
      <c r="C1147">
        <v>0.85</v>
      </c>
      <c r="D1147">
        <v>2005</v>
      </c>
      <c r="E1147" t="s">
        <v>28</v>
      </c>
      <c r="F1147">
        <v>2005350</v>
      </c>
      <c r="G1147">
        <v>2006104</v>
      </c>
      <c r="H1147">
        <v>9042</v>
      </c>
      <c r="I1147">
        <v>2448</v>
      </c>
      <c r="J1147">
        <v>50</v>
      </c>
      <c r="K1147">
        <v>612</v>
      </c>
      <c r="L1147">
        <v>0</v>
      </c>
      <c r="M1147">
        <v>25</v>
      </c>
      <c r="N1147">
        <v>18.298760000000001</v>
      </c>
      <c r="O1147">
        <v>7.7604939999999996</v>
      </c>
      <c r="P1147">
        <v>14.52346</v>
      </c>
      <c r="Q1147">
        <v>70981</v>
      </c>
    </row>
    <row r="1148" spans="1:17" x14ac:dyDescent="0.25">
      <c r="A1148" t="s">
        <v>22</v>
      </c>
      <c r="B1148">
        <v>58</v>
      </c>
      <c r="C1148">
        <v>0.85</v>
      </c>
      <c r="D1148">
        <v>2006</v>
      </c>
      <c r="E1148" t="s">
        <v>28</v>
      </c>
      <c r="F1148">
        <v>2006350</v>
      </c>
      <c r="G1148">
        <v>2007098</v>
      </c>
      <c r="H1148">
        <v>12683</v>
      </c>
      <c r="I1148">
        <v>2130</v>
      </c>
      <c r="J1148">
        <v>50</v>
      </c>
      <c r="K1148">
        <v>512</v>
      </c>
      <c r="L1148">
        <v>0</v>
      </c>
      <c r="M1148">
        <v>25</v>
      </c>
      <c r="N1148">
        <v>19.335809999999999</v>
      </c>
      <c r="O1148">
        <v>7.9407399999999999</v>
      </c>
      <c r="P1148">
        <v>15.2142</v>
      </c>
      <c r="Q1148">
        <v>61758</v>
      </c>
    </row>
    <row r="1149" spans="1:17" x14ac:dyDescent="0.25">
      <c r="A1149" t="s">
        <v>22</v>
      </c>
      <c r="B1149">
        <v>58</v>
      </c>
      <c r="C1149">
        <v>0.85</v>
      </c>
      <c r="D1149">
        <v>2007</v>
      </c>
      <c r="E1149" t="s">
        <v>28</v>
      </c>
      <c r="F1149">
        <v>2007350</v>
      </c>
      <c r="G1149">
        <v>2008100</v>
      </c>
      <c r="H1149">
        <v>11964</v>
      </c>
      <c r="I1149">
        <v>2612</v>
      </c>
      <c r="J1149">
        <v>50</v>
      </c>
      <c r="K1149">
        <v>647</v>
      </c>
      <c r="L1149">
        <v>0</v>
      </c>
      <c r="M1149">
        <v>25</v>
      </c>
      <c r="N1149">
        <v>18.80001</v>
      </c>
      <c r="O1149">
        <v>7.6395049999999998</v>
      </c>
      <c r="P1149">
        <v>14.716049999999999</v>
      </c>
      <c r="Q1149">
        <v>75759</v>
      </c>
    </row>
    <row r="1150" spans="1:17" x14ac:dyDescent="0.25">
      <c r="A1150" t="s">
        <v>22</v>
      </c>
      <c r="B1150">
        <v>58</v>
      </c>
      <c r="C1150">
        <v>0.85</v>
      </c>
      <c r="D1150">
        <v>2008</v>
      </c>
      <c r="E1150" t="s">
        <v>28</v>
      </c>
      <c r="F1150">
        <v>2008350</v>
      </c>
      <c r="G1150">
        <v>2009108</v>
      </c>
      <c r="H1150">
        <v>11629</v>
      </c>
      <c r="I1150">
        <v>2028</v>
      </c>
      <c r="J1150">
        <v>50</v>
      </c>
      <c r="K1150">
        <v>418</v>
      </c>
      <c r="L1150">
        <v>0</v>
      </c>
      <c r="M1150">
        <v>25</v>
      </c>
      <c r="N1150">
        <v>18.301829999999999</v>
      </c>
      <c r="O1150">
        <v>6.8317069999999998</v>
      </c>
      <c r="P1150">
        <v>15.3628</v>
      </c>
      <c r="Q1150">
        <v>58799</v>
      </c>
    </row>
    <row r="1151" spans="1:17" x14ac:dyDescent="0.25">
      <c r="A1151" t="s">
        <v>22</v>
      </c>
      <c r="B1151">
        <v>58</v>
      </c>
      <c r="C1151">
        <v>0.85</v>
      </c>
      <c r="D1151">
        <v>2009</v>
      </c>
      <c r="E1151" t="s">
        <v>28</v>
      </c>
      <c r="F1151">
        <v>2009350</v>
      </c>
      <c r="G1151">
        <v>2010111</v>
      </c>
      <c r="H1151">
        <v>14813</v>
      </c>
      <c r="I1151">
        <v>2173</v>
      </c>
      <c r="J1151">
        <v>50</v>
      </c>
      <c r="K1151">
        <v>632</v>
      </c>
      <c r="L1151">
        <v>0</v>
      </c>
      <c r="M1151">
        <v>25</v>
      </c>
      <c r="N1151">
        <v>17.660869999999999</v>
      </c>
      <c r="O1151">
        <v>6.5354020000000004</v>
      </c>
      <c r="P1151">
        <v>13.8559</v>
      </c>
      <c r="Q1151">
        <v>63008</v>
      </c>
    </row>
    <row r="1152" spans="1:17" x14ac:dyDescent="0.25">
      <c r="A1152" t="s">
        <v>22</v>
      </c>
      <c r="B1152">
        <v>58</v>
      </c>
      <c r="C1152">
        <v>0.85</v>
      </c>
      <c r="D1152">
        <v>2010</v>
      </c>
      <c r="E1152" t="s">
        <v>28</v>
      </c>
      <c r="F1152">
        <v>2010350</v>
      </c>
      <c r="G1152">
        <v>2011102</v>
      </c>
      <c r="H1152">
        <v>10609</v>
      </c>
      <c r="I1152">
        <v>2189</v>
      </c>
      <c r="J1152">
        <v>50</v>
      </c>
      <c r="K1152">
        <v>350</v>
      </c>
      <c r="L1152">
        <v>0</v>
      </c>
      <c r="M1152">
        <v>25</v>
      </c>
      <c r="N1152">
        <v>19.13766</v>
      </c>
      <c r="O1152">
        <v>7.7802490000000004</v>
      </c>
      <c r="P1152">
        <v>14.379630000000001</v>
      </c>
      <c r="Q1152">
        <v>63480</v>
      </c>
    </row>
    <row r="1153" spans="1:17" x14ac:dyDescent="0.25">
      <c r="A1153" t="s">
        <v>22</v>
      </c>
      <c r="B1153">
        <v>58</v>
      </c>
      <c r="C1153">
        <v>0.85</v>
      </c>
      <c r="D1153">
        <v>2011</v>
      </c>
      <c r="E1153" t="s">
        <v>29</v>
      </c>
      <c r="F1153">
        <v>2011350</v>
      </c>
      <c r="G1153">
        <v>2012106</v>
      </c>
      <c r="H1153">
        <v>8899</v>
      </c>
      <c r="I1153">
        <v>2344</v>
      </c>
      <c r="J1153">
        <v>50</v>
      </c>
      <c r="K1153">
        <v>411</v>
      </c>
      <c r="L1153">
        <v>0</v>
      </c>
      <c r="M1153">
        <v>25</v>
      </c>
      <c r="N1153">
        <v>19.243829999999999</v>
      </c>
      <c r="O1153">
        <v>6.3407419999999997</v>
      </c>
      <c r="P1153">
        <v>14.830249999999999</v>
      </c>
      <c r="Q1153">
        <v>67965</v>
      </c>
    </row>
    <row r="1154" spans="1:17" x14ac:dyDescent="0.25">
      <c r="A1154" t="s">
        <v>22</v>
      </c>
      <c r="B1154">
        <v>58</v>
      </c>
      <c r="C1154">
        <v>0.85</v>
      </c>
      <c r="D1154">
        <v>2012</v>
      </c>
      <c r="E1154" t="s">
        <v>29</v>
      </c>
      <c r="F1154">
        <v>2012350</v>
      </c>
      <c r="G1154">
        <v>2013099</v>
      </c>
      <c r="H1154">
        <v>11786</v>
      </c>
      <c r="I1154">
        <v>2403</v>
      </c>
      <c r="J1154">
        <v>50</v>
      </c>
      <c r="K1154">
        <v>444</v>
      </c>
      <c r="L1154">
        <v>0</v>
      </c>
      <c r="M1154">
        <v>25</v>
      </c>
      <c r="N1154">
        <v>19.175609999999999</v>
      </c>
      <c r="O1154">
        <v>6.8024399999999998</v>
      </c>
      <c r="P1154">
        <v>14.77744</v>
      </c>
      <c r="Q1154">
        <v>69689</v>
      </c>
    </row>
    <row r="1155" spans="1:17" x14ac:dyDescent="0.25">
      <c r="A1155" t="s">
        <v>22</v>
      </c>
      <c r="B1155">
        <v>58</v>
      </c>
      <c r="C1155">
        <v>0.85</v>
      </c>
      <c r="D1155">
        <v>2013</v>
      </c>
      <c r="E1155" t="s">
        <v>29</v>
      </c>
      <c r="F1155">
        <v>2013350</v>
      </c>
      <c r="G1155">
        <v>2014098</v>
      </c>
      <c r="H1155">
        <v>5788</v>
      </c>
      <c r="I1155">
        <v>1277</v>
      </c>
      <c r="J1155">
        <v>50</v>
      </c>
      <c r="K1155">
        <v>174</v>
      </c>
      <c r="L1155">
        <v>0</v>
      </c>
      <c r="M1155">
        <v>25</v>
      </c>
      <c r="N1155">
        <v>19.733550000000001</v>
      </c>
      <c r="O1155">
        <v>7.5608700000000004</v>
      </c>
      <c r="P1155">
        <v>15.614280000000001</v>
      </c>
      <c r="Q1155">
        <v>37040</v>
      </c>
    </row>
    <row r="1156" spans="1:17" x14ac:dyDescent="0.25">
      <c r="A1156" t="s">
        <v>22</v>
      </c>
      <c r="B1156">
        <v>58</v>
      </c>
      <c r="C1156">
        <v>0.85</v>
      </c>
      <c r="D1156">
        <v>2014</v>
      </c>
      <c r="E1156" t="s">
        <v>29</v>
      </c>
      <c r="F1156">
        <v>2014350</v>
      </c>
      <c r="G1156">
        <v>2015106</v>
      </c>
      <c r="H1156">
        <v>10856</v>
      </c>
      <c r="I1156">
        <v>3129</v>
      </c>
      <c r="J1156">
        <v>50</v>
      </c>
      <c r="K1156">
        <v>612</v>
      </c>
      <c r="L1156">
        <v>0</v>
      </c>
      <c r="M1156">
        <v>25</v>
      </c>
      <c r="N1156">
        <v>19.171340000000001</v>
      </c>
      <c r="O1156">
        <v>6.6079270000000001</v>
      </c>
      <c r="P1156">
        <v>15.85427</v>
      </c>
      <c r="Q1156">
        <v>90740</v>
      </c>
    </row>
    <row r="1157" spans="1:17" x14ac:dyDescent="0.25">
      <c r="A1157" t="s">
        <v>22</v>
      </c>
      <c r="B1157">
        <v>58</v>
      </c>
      <c r="C1157">
        <v>0.85</v>
      </c>
      <c r="D1157">
        <v>2015</v>
      </c>
      <c r="E1157" t="s">
        <v>29</v>
      </c>
      <c r="F1157">
        <v>2015350</v>
      </c>
      <c r="G1157">
        <v>2016094</v>
      </c>
      <c r="H1157">
        <v>7103</v>
      </c>
      <c r="I1157">
        <v>1441</v>
      </c>
      <c r="J1157">
        <v>50</v>
      </c>
      <c r="K1157">
        <v>436</v>
      </c>
      <c r="L1157">
        <v>0</v>
      </c>
      <c r="M1157">
        <v>25</v>
      </c>
      <c r="N1157">
        <v>19.761970000000002</v>
      </c>
      <c r="O1157">
        <v>7.7398749999999996</v>
      </c>
      <c r="P1157">
        <v>14.562569999999999</v>
      </c>
      <c r="Q1157">
        <v>41778</v>
      </c>
    </row>
    <row r="1158" spans="1:17" x14ac:dyDescent="0.25">
      <c r="A1158" t="s">
        <v>22</v>
      </c>
      <c r="B1158">
        <v>58</v>
      </c>
      <c r="C1158">
        <v>0.85</v>
      </c>
      <c r="D1158">
        <v>2016</v>
      </c>
      <c r="E1158" t="s">
        <v>29</v>
      </c>
      <c r="F1158">
        <v>2016350</v>
      </c>
      <c r="G1158">
        <v>2017096</v>
      </c>
      <c r="H1158">
        <v>10693</v>
      </c>
      <c r="I1158">
        <v>2781</v>
      </c>
      <c r="J1158">
        <v>50</v>
      </c>
      <c r="K1158">
        <v>560</v>
      </c>
      <c r="L1158">
        <v>0</v>
      </c>
      <c r="M1158">
        <v>25</v>
      </c>
      <c r="N1158">
        <v>19.764019999999999</v>
      </c>
      <c r="O1158">
        <v>7.701829</v>
      </c>
      <c r="P1158">
        <v>15.439030000000001</v>
      </c>
      <c r="Q1158">
        <v>80657</v>
      </c>
    </row>
    <row r="1159" spans="1:17" x14ac:dyDescent="0.25">
      <c r="A1159" t="s">
        <v>22</v>
      </c>
      <c r="B1159">
        <v>58</v>
      </c>
      <c r="C1159">
        <v>0.85</v>
      </c>
      <c r="D1159">
        <v>2017</v>
      </c>
      <c r="E1159" t="s">
        <v>29</v>
      </c>
      <c r="F1159">
        <v>2017350</v>
      </c>
      <c r="G1159">
        <v>2018101</v>
      </c>
      <c r="H1159">
        <v>6352</v>
      </c>
      <c r="I1159">
        <v>1391</v>
      </c>
      <c r="J1159">
        <v>50</v>
      </c>
      <c r="K1159">
        <v>237</v>
      </c>
      <c r="L1159">
        <v>0</v>
      </c>
      <c r="M1159">
        <v>25</v>
      </c>
      <c r="N1159">
        <v>19.53312</v>
      </c>
      <c r="O1159">
        <v>7.2764340000000001</v>
      </c>
      <c r="P1159">
        <v>14.96369</v>
      </c>
      <c r="Q1159">
        <v>40329</v>
      </c>
    </row>
    <row r="1160" spans="1:17" x14ac:dyDescent="0.25">
      <c r="A1160" t="s">
        <v>22</v>
      </c>
      <c r="B1160">
        <v>58</v>
      </c>
      <c r="C1160">
        <v>0.85</v>
      </c>
      <c r="D1160">
        <v>2018</v>
      </c>
      <c r="E1160" t="s">
        <v>29</v>
      </c>
      <c r="F1160">
        <v>2018350</v>
      </c>
      <c r="G1160">
        <v>2019099</v>
      </c>
      <c r="H1160">
        <v>4549</v>
      </c>
      <c r="I1160">
        <v>932</v>
      </c>
      <c r="J1160">
        <v>50</v>
      </c>
      <c r="K1160">
        <v>525</v>
      </c>
      <c r="L1160">
        <v>0</v>
      </c>
      <c r="M1160">
        <v>25</v>
      </c>
      <c r="N1160">
        <v>19.63804</v>
      </c>
      <c r="O1160">
        <v>6.8331289999999996</v>
      </c>
      <c r="P1160">
        <v>16.006139999999998</v>
      </c>
      <c r="Q1160">
        <v>27031</v>
      </c>
    </row>
    <row r="1161" spans="1:17" x14ac:dyDescent="0.25">
      <c r="A1161" t="s">
        <v>22</v>
      </c>
      <c r="B1161">
        <v>58</v>
      </c>
      <c r="C1161">
        <v>0.85</v>
      </c>
      <c r="D1161">
        <v>2019</v>
      </c>
      <c r="E1161" t="s">
        <v>29</v>
      </c>
      <c r="F1161">
        <v>2019350</v>
      </c>
      <c r="G1161">
        <v>2020096</v>
      </c>
      <c r="H1161">
        <v>10598</v>
      </c>
      <c r="I1161">
        <v>2185</v>
      </c>
      <c r="J1161">
        <v>50</v>
      </c>
      <c r="K1161">
        <v>594</v>
      </c>
      <c r="L1161">
        <v>0</v>
      </c>
      <c r="M1161">
        <v>25</v>
      </c>
      <c r="N1161">
        <v>19.837810000000001</v>
      </c>
      <c r="O1161">
        <v>8.6902419999999996</v>
      </c>
      <c r="P1161">
        <v>13.5061</v>
      </c>
      <c r="Q1161">
        <v>63372</v>
      </c>
    </row>
    <row r="1162" spans="1:17" x14ac:dyDescent="0.25">
      <c r="A1162" t="s">
        <v>22</v>
      </c>
      <c r="B1162">
        <v>59</v>
      </c>
      <c r="C1162">
        <v>0.82</v>
      </c>
      <c r="D1162">
        <v>2000</v>
      </c>
      <c r="E1162" t="s">
        <v>28</v>
      </c>
      <c r="F1162">
        <v>2000350</v>
      </c>
      <c r="G1162">
        <v>2001094</v>
      </c>
      <c r="H1162">
        <v>9550</v>
      </c>
      <c r="I1162">
        <v>1186</v>
      </c>
      <c r="J1162">
        <v>50</v>
      </c>
      <c r="K1162">
        <v>441</v>
      </c>
      <c r="L1162">
        <v>0</v>
      </c>
      <c r="M1162">
        <v>75</v>
      </c>
      <c r="N1162">
        <v>19.67098</v>
      </c>
      <c r="O1162">
        <v>8.0246929999999992</v>
      </c>
      <c r="P1162">
        <v>14.775919999999999</v>
      </c>
      <c r="Q1162">
        <v>28463</v>
      </c>
    </row>
    <row r="1163" spans="1:17" x14ac:dyDescent="0.25">
      <c r="A1163" t="s">
        <v>22</v>
      </c>
      <c r="B1163">
        <v>59</v>
      </c>
      <c r="C1163">
        <v>0.82</v>
      </c>
      <c r="D1163">
        <v>2001</v>
      </c>
      <c r="E1163" t="s">
        <v>28</v>
      </c>
      <c r="F1163">
        <v>2001350</v>
      </c>
      <c r="G1163">
        <v>2002099</v>
      </c>
      <c r="H1163">
        <v>12816</v>
      </c>
      <c r="I1163">
        <v>1682</v>
      </c>
      <c r="J1163">
        <v>50</v>
      </c>
      <c r="K1163">
        <v>573</v>
      </c>
      <c r="L1163">
        <v>0</v>
      </c>
      <c r="M1163">
        <v>75</v>
      </c>
      <c r="N1163">
        <v>18.506209999999999</v>
      </c>
      <c r="O1163">
        <v>7.6161490000000001</v>
      </c>
      <c r="P1163">
        <v>14.23851</v>
      </c>
      <c r="Q1163">
        <v>40362</v>
      </c>
    </row>
    <row r="1164" spans="1:17" x14ac:dyDescent="0.25">
      <c r="A1164" t="s">
        <v>22</v>
      </c>
      <c r="B1164">
        <v>59</v>
      </c>
      <c r="C1164">
        <v>0.82</v>
      </c>
      <c r="D1164">
        <v>2002</v>
      </c>
      <c r="E1164" t="s">
        <v>28</v>
      </c>
      <c r="F1164">
        <v>2002350</v>
      </c>
      <c r="G1164">
        <v>2003105</v>
      </c>
      <c r="H1164">
        <v>18830</v>
      </c>
      <c r="I1164">
        <v>3035</v>
      </c>
      <c r="J1164">
        <v>50</v>
      </c>
      <c r="K1164">
        <v>509</v>
      </c>
      <c r="L1164">
        <v>0</v>
      </c>
      <c r="M1164">
        <v>75</v>
      </c>
      <c r="N1164">
        <v>18.208590000000001</v>
      </c>
      <c r="O1164">
        <v>7.6730070000000001</v>
      </c>
      <c r="P1164">
        <v>14.069330000000001</v>
      </c>
      <c r="Q1164">
        <v>72832</v>
      </c>
    </row>
    <row r="1165" spans="1:17" x14ac:dyDescent="0.25">
      <c r="A1165" t="s">
        <v>22</v>
      </c>
      <c r="B1165">
        <v>59</v>
      </c>
      <c r="C1165">
        <v>0.82</v>
      </c>
      <c r="D1165">
        <v>2003</v>
      </c>
      <c r="E1165" t="s">
        <v>28</v>
      </c>
      <c r="F1165">
        <v>2003350</v>
      </c>
      <c r="G1165">
        <v>2004107</v>
      </c>
      <c r="H1165">
        <v>12876</v>
      </c>
      <c r="I1165">
        <v>1831</v>
      </c>
      <c r="J1165">
        <v>50</v>
      </c>
      <c r="K1165">
        <v>651</v>
      </c>
      <c r="L1165">
        <v>0</v>
      </c>
      <c r="M1165">
        <v>75</v>
      </c>
      <c r="N1165">
        <v>17.669329999999999</v>
      </c>
      <c r="O1165">
        <v>6.8061350000000003</v>
      </c>
      <c r="P1165">
        <v>13.46749</v>
      </c>
      <c r="Q1165">
        <v>43936</v>
      </c>
    </row>
    <row r="1166" spans="1:17" x14ac:dyDescent="0.25">
      <c r="A1166" t="s">
        <v>22</v>
      </c>
      <c r="B1166">
        <v>59</v>
      </c>
      <c r="C1166">
        <v>0.82</v>
      </c>
      <c r="D1166">
        <v>2004</v>
      </c>
      <c r="E1166" t="s">
        <v>28</v>
      </c>
      <c r="F1166">
        <v>2004350</v>
      </c>
      <c r="G1166">
        <v>2005112</v>
      </c>
      <c r="H1166">
        <v>11168</v>
      </c>
      <c r="I1166">
        <v>2467</v>
      </c>
      <c r="J1166">
        <v>50</v>
      </c>
      <c r="K1166">
        <v>313</v>
      </c>
      <c r="L1166">
        <v>0</v>
      </c>
      <c r="M1166">
        <v>75</v>
      </c>
      <c r="N1166">
        <v>17.752120000000001</v>
      </c>
      <c r="O1166">
        <v>6.2490920000000001</v>
      </c>
      <c r="P1166">
        <v>15.227270000000001</v>
      </c>
      <c r="Q1166">
        <v>59219</v>
      </c>
    </row>
    <row r="1167" spans="1:17" x14ac:dyDescent="0.25">
      <c r="A1167" t="s">
        <v>22</v>
      </c>
      <c r="B1167">
        <v>59</v>
      </c>
      <c r="C1167">
        <v>0.82</v>
      </c>
      <c r="D1167">
        <v>2005</v>
      </c>
      <c r="E1167" t="s">
        <v>28</v>
      </c>
      <c r="F1167">
        <v>2005350</v>
      </c>
      <c r="G1167">
        <v>2006104</v>
      </c>
      <c r="H1167">
        <v>11817</v>
      </c>
      <c r="I1167">
        <v>3443</v>
      </c>
      <c r="J1167">
        <v>50</v>
      </c>
      <c r="K1167">
        <v>612</v>
      </c>
      <c r="L1167">
        <v>0</v>
      </c>
      <c r="M1167">
        <v>75</v>
      </c>
      <c r="N1167">
        <v>18.298760000000001</v>
      </c>
      <c r="O1167">
        <v>7.7604939999999996</v>
      </c>
      <c r="P1167">
        <v>14.52346</v>
      </c>
      <c r="Q1167">
        <v>82643</v>
      </c>
    </row>
    <row r="1168" spans="1:17" x14ac:dyDescent="0.25">
      <c r="A1168" t="s">
        <v>22</v>
      </c>
      <c r="B1168">
        <v>59</v>
      </c>
      <c r="C1168">
        <v>0.82</v>
      </c>
      <c r="D1168">
        <v>2006</v>
      </c>
      <c r="E1168" t="s">
        <v>28</v>
      </c>
      <c r="F1168">
        <v>2006350</v>
      </c>
      <c r="G1168">
        <v>2007098</v>
      </c>
      <c r="H1168">
        <v>13863</v>
      </c>
      <c r="I1168">
        <v>2278</v>
      </c>
      <c r="J1168">
        <v>50</v>
      </c>
      <c r="K1168">
        <v>512</v>
      </c>
      <c r="L1168">
        <v>0</v>
      </c>
      <c r="M1168">
        <v>75</v>
      </c>
      <c r="N1168">
        <v>19.335809999999999</v>
      </c>
      <c r="O1168">
        <v>7.9407399999999999</v>
      </c>
      <c r="P1168">
        <v>15.2142</v>
      </c>
      <c r="Q1168">
        <v>54670</v>
      </c>
    </row>
    <row r="1169" spans="1:17" x14ac:dyDescent="0.25">
      <c r="A1169" t="s">
        <v>22</v>
      </c>
      <c r="B1169">
        <v>59</v>
      </c>
      <c r="C1169">
        <v>0.82</v>
      </c>
      <c r="D1169">
        <v>2007</v>
      </c>
      <c r="E1169" t="s">
        <v>28</v>
      </c>
      <c r="F1169">
        <v>2007350</v>
      </c>
      <c r="G1169">
        <v>2008100</v>
      </c>
      <c r="H1169">
        <v>13371</v>
      </c>
      <c r="I1169">
        <v>3143</v>
      </c>
      <c r="J1169">
        <v>50</v>
      </c>
      <c r="K1169">
        <v>647</v>
      </c>
      <c r="L1169">
        <v>0</v>
      </c>
      <c r="M1169">
        <v>75</v>
      </c>
      <c r="N1169">
        <v>18.80001</v>
      </c>
      <c r="O1169">
        <v>7.6395049999999998</v>
      </c>
      <c r="P1169">
        <v>14.716049999999999</v>
      </c>
      <c r="Q1169">
        <v>75439</v>
      </c>
    </row>
    <row r="1170" spans="1:17" x14ac:dyDescent="0.25">
      <c r="A1170" t="s">
        <v>22</v>
      </c>
      <c r="B1170">
        <v>59</v>
      </c>
      <c r="C1170">
        <v>0.82</v>
      </c>
      <c r="D1170">
        <v>2008</v>
      </c>
      <c r="E1170" t="s">
        <v>28</v>
      </c>
      <c r="F1170">
        <v>2008350</v>
      </c>
      <c r="G1170">
        <v>2009108</v>
      </c>
      <c r="H1170">
        <v>12742</v>
      </c>
      <c r="I1170">
        <v>2422</v>
      </c>
      <c r="J1170">
        <v>50</v>
      </c>
      <c r="K1170">
        <v>418</v>
      </c>
      <c r="L1170">
        <v>0</v>
      </c>
      <c r="M1170">
        <v>75</v>
      </c>
      <c r="N1170">
        <v>18.301829999999999</v>
      </c>
      <c r="O1170">
        <v>6.8317069999999998</v>
      </c>
      <c r="P1170">
        <v>15.3628</v>
      </c>
      <c r="Q1170">
        <v>58119</v>
      </c>
    </row>
    <row r="1171" spans="1:17" x14ac:dyDescent="0.25">
      <c r="A1171" t="s">
        <v>22</v>
      </c>
      <c r="B1171">
        <v>59</v>
      </c>
      <c r="C1171">
        <v>0.82</v>
      </c>
      <c r="D1171">
        <v>2009</v>
      </c>
      <c r="E1171" t="s">
        <v>28</v>
      </c>
      <c r="F1171">
        <v>2009350</v>
      </c>
      <c r="G1171">
        <v>2010111</v>
      </c>
      <c r="H1171">
        <v>18004</v>
      </c>
      <c r="I1171">
        <v>3015</v>
      </c>
      <c r="J1171">
        <v>50</v>
      </c>
      <c r="K1171">
        <v>632</v>
      </c>
      <c r="L1171">
        <v>0</v>
      </c>
      <c r="M1171">
        <v>75</v>
      </c>
      <c r="N1171">
        <v>17.660869999999999</v>
      </c>
      <c r="O1171">
        <v>6.5354020000000004</v>
      </c>
      <c r="P1171">
        <v>13.8559</v>
      </c>
      <c r="Q1171">
        <v>72348</v>
      </c>
    </row>
    <row r="1172" spans="1:17" x14ac:dyDescent="0.25">
      <c r="A1172" t="s">
        <v>22</v>
      </c>
      <c r="B1172">
        <v>59</v>
      </c>
      <c r="C1172">
        <v>0.82</v>
      </c>
      <c r="D1172">
        <v>2010</v>
      </c>
      <c r="E1172" t="s">
        <v>28</v>
      </c>
      <c r="F1172">
        <v>2010350</v>
      </c>
      <c r="G1172">
        <v>2011102</v>
      </c>
      <c r="H1172">
        <v>11378</v>
      </c>
      <c r="I1172">
        <v>2642</v>
      </c>
      <c r="J1172">
        <v>50</v>
      </c>
      <c r="K1172">
        <v>350</v>
      </c>
      <c r="L1172">
        <v>0</v>
      </c>
      <c r="M1172">
        <v>75</v>
      </c>
      <c r="N1172">
        <v>19.13766</v>
      </c>
      <c r="O1172">
        <v>7.7802490000000004</v>
      </c>
      <c r="P1172">
        <v>14.379630000000001</v>
      </c>
      <c r="Q1172">
        <v>63398</v>
      </c>
    </row>
    <row r="1173" spans="1:17" x14ac:dyDescent="0.25">
      <c r="A1173" t="s">
        <v>22</v>
      </c>
      <c r="B1173">
        <v>59</v>
      </c>
      <c r="C1173">
        <v>0.82</v>
      </c>
      <c r="D1173">
        <v>2011</v>
      </c>
      <c r="E1173" t="s">
        <v>29</v>
      </c>
      <c r="F1173">
        <v>2011350</v>
      </c>
      <c r="G1173">
        <v>2012106</v>
      </c>
      <c r="H1173">
        <v>9795</v>
      </c>
      <c r="I1173">
        <v>2931</v>
      </c>
      <c r="J1173">
        <v>50</v>
      </c>
      <c r="K1173">
        <v>411</v>
      </c>
      <c r="L1173">
        <v>0</v>
      </c>
      <c r="M1173">
        <v>75</v>
      </c>
      <c r="N1173">
        <v>19.243829999999999</v>
      </c>
      <c r="O1173">
        <v>6.3407419999999997</v>
      </c>
      <c r="P1173">
        <v>14.830249999999999</v>
      </c>
      <c r="Q1173">
        <v>70347</v>
      </c>
    </row>
    <row r="1174" spans="1:17" x14ac:dyDescent="0.25">
      <c r="A1174" t="s">
        <v>22</v>
      </c>
      <c r="B1174">
        <v>59</v>
      </c>
      <c r="C1174">
        <v>0.82</v>
      </c>
      <c r="D1174">
        <v>2012</v>
      </c>
      <c r="E1174" t="s">
        <v>29</v>
      </c>
      <c r="F1174">
        <v>2012350</v>
      </c>
      <c r="G1174">
        <v>2013099</v>
      </c>
      <c r="H1174">
        <v>16979</v>
      </c>
      <c r="I1174">
        <v>3461</v>
      </c>
      <c r="J1174">
        <v>50</v>
      </c>
      <c r="K1174">
        <v>444</v>
      </c>
      <c r="L1174">
        <v>0</v>
      </c>
      <c r="M1174">
        <v>75</v>
      </c>
      <c r="N1174">
        <v>19.175609999999999</v>
      </c>
      <c r="O1174">
        <v>6.8024399999999998</v>
      </c>
      <c r="P1174">
        <v>14.77744</v>
      </c>
      <c r="Q1174">
        <v>83062</v>
      </c>
    </row>
    <row r="1175" spans="1:17" x14ac:dyDescent="0.25">
      <c r="A1175" t="s">
        <v>22</v>
      </c>
      <c r="B1175">
        <v>59</v>
      </c>
      <c r="C1175">
        <v>0.82</v>
      </c>
      <c r="D1175">
        <v>2013</v>
      </c>
      <c r="E1175" t="s">
        <v>29</v>
      </c>
      <c r="F1175">
        <v>2013350</v>
      </c>
      <c r="G1175">
        <v>2014098</v>
      </c>
      <c r="H1175">
        <v>4623</v>
      </c>
      <c r="I1175">
        <v>953</v>
      </c>
      <c r="J1175">
        <v>50</v>
      </c>
      <c r="K1175">
        <v>174</v>
      </c>
      <c r="L1175">
        <v>0</v>
      </c>
      <c r="M1175">
        <v>75</v>
      </c>
      <c r="N1175">
        <v>19.733550000000001</v>
      </c>
      <c r="O1175">
        <v>7.5608700000000004</v>
      </c>
      <c r="P1175">
        <v>15.614280000000001</v>
      </c>
      <c r="Q1175">
        <v>22872</v>
      </c>
    </row>
    <row r="1176" spans="1:17" x14ac:dyDescent="0.25">
      <c r="A1176" t="s">
        <v>22</v>
      </c>
      <c r="B1176">
        <v>59</v>
      </c>
      <c r="C1176">
        <v>0.82</v>
      </c>
      <c r="D1176">
        <v>2014</v>
      </c>
      <c r="E1176" t="s">
        <v>29</v>
      </c>
      <c r="F1176">
        <v>2014350</v>
      </c>
      <c r="G1176">
        <v>2015106</v>
      </c>
      <c r="H1176">
        <v>11946</v>
      </c>
      <c r="I1176">
        <v>3645</v>
      </c>
      <c r="J1176">
        <v>50</v>
      </c>
      <c r="K1176">
        <v>612</v>
      </c>
      <c r="L1176">
        <v>0</v>
      </c>
      <c r="M1176">
        <v>75</v>
      </c>
      <c r="N1176">
        <v>19.171340000000001</v>
      </c>
      <c r="O1176">
        <v>6.6079270000000001</v>
      </c>
      <c r="P1176">
        <v>15.85427</v>
      </c>
      <c r="Q1176">
        <v>87478</v>
      </c>
    </row>
    <row r="1177" spans="1:17" x14ac:dyDescent="0.25">
      <c r="A1177" t="s">
        <v>22</v>
      </c>
      <c r="B1177">
        <v>59</v>
      </c>
      <c r="C1177">
        <v>0.82</v>
      </c>
      <c r="D1177">
        <v>2015</v>
      </c>
      <c r="E1177" t="s">
        <v>29</v>
      </c>
      <c r="F1177">
        <v>2015350</v>
      </c>
      <c r="G1177">
        <v>2016094</v>
      </c>
      <c r="H1177">
        <v>10914</v>
      </c>
      <c r="I1177">
        <v>2374</v>
      </c>
      <c r="J1177">
        <v>50</v>
      </c>
      <c r="K1177">
        <v>436</v>
      </c>
      <c r="L1177">
        <v>0</v>
      </c>
      <c r="M1177">
        <v>75</v>
      </c>
      <c r="N1177">
        <v>19.761970000000002</v>
      </c>
      <c r="O1177">
        <v>7.7398749999999996</v>
      </c>
      <c r="P1177">
        <v>14.562569999999999</v>
      </c>
      <c r="Q1177">
        <v>56982</v>
      </c>
    </row>
    <row r="1178" spans="1:17" x14ac:dyDescent="0.25">
      <c r="A1178" t="s">
        <v>22</v>
      </c>
      <c r="B1178">
        <v>59</v>
      </c>
      <c r="C1178">
        <v>0.82</v>
      </c>
      <c r="D1178">
        <v>2016</v>
      </c>
      <c r="E1178" t="s">
        <v>29</v>
      </c>
      <c r="F1178">
        <v>2016350</v>
      </c>
      <c r="G1178">
        <v>2017096</v>
      </c>
      <c r="H1178">
        <v>13444</v>
      </c>
      <c r="I1178">
        <v>4206</v>
      </c>
      <c r="J1178">
        <v>50</v>
      </c>
      <c r="K1178">
        <v>560</v>
      </c>
      <c r="L1178">
        <v>0</v>
      </c>
      <c r="M1178">
        <v>75</v>
      </c>
      <c r="N1178">
        <v>19.764019999999999</v>
      </c>
      <c r="O1178">
        <v>7.701829</v>
      </c>
      <c r="P1178">
        <v>15.439030000000001</v>
      </c>
      <c r="Q1178">
        <v>100956</v>
      </c>
    </row>
    <row r="1179" spans="1:17" x14ac:dyDescent="0.25">
      <c r="A1179" t="s">
        <v>22</v>
      </c>
      <c r="B1179">
        <v>59</v>
      </c>
      <c r="C1179">
        <v>0.82</v>
      </c>
      <c r="D1179">
        <v>2017</v>
      </c>
      <c r="E1179" t="s">
        <v>29</v>
      </c>
      <c r="F1179">
        <v>2017350</v>
      </c>
      <c r="G1179">
        <v>2018101</v>
      </c>
      <c r="H1179">
        <v>7225</v>
      </c>
      <c r="I1179">
        <v>1990</v>
      </c>
      <c r="J1179">
        <v>50</v>
      </c>
      <c r="K1179">
        <v>237</v>
      </c>
      <c r="L1179">
        <v>0</v>
      </c>
      <c r="M1179">
        <v>75</v>
      </c>
      <c r="N1179">
        <v>19.53312</v>
      </c>
      <c r="O1179">
        <v>7.2764340000000001</v>
      </c>
      <c r="P1179">
        <v>14.96369</v>
      </c>
      <c r="Q1179">
        <v>47770</v>
      </c>
    </row>
    <row r="1180" spans="1:17" x14ac:dyDescent="0.25">
      <c r="A1180" t="s">
        <v>22</v>
      </c>
      <c r="B1180">
        <v>59</v>
      </c>
      <c r="C1180">
        <v>0.82</v>
      </c>
      <c r="D1180">
        <v>2018</v>
      </c>
      <c r="E1180" t="s">
        <v>29</v>
      </c>
      <c r="F1180">
        <v>2018350</v>
      </c>
      <c r="G1180">
        <v>2019099</v>
      </c>
      <c r="H1180">
        <v>7826</v>
      </c>
      <c r="I1180">
        <v>1549</v>
      </c>
      <c r="J1180">
        <v>50</v>
      </c>
      <c r="K1180">
        <v>525</v>
      </c>
      <c r="L1180">
        <v>0</v>
      </c>
      <c r="M1180">
        <v>75</v>
      </c>
      <c r="N1180">
        <v>19.63804</v>
      </c>
      <c r="O1180">
        <v>6.8331289999999996</v>
      </c>
      <c r="P1180">
        <v>16.006139999999998</v>
      </c>
      <c r="Q1180">
        <v>37165</v>
      </c>
    </row>
    <row r="1181" spans="1:17" x14ac:dyDescent="0.25">
      <c r="A1181" t="s">
        <v>22</v>
      </c>
      <c r="B1181">
        <v>59</v>
      </c>
      <c r="C1181">
        <v>0.82</v>
      </c>
      <c r="D1181">
        <v>2019</v>
      </c>
      <c r="E1181" t="s">
        <v>29</v>
      </c>
      <c r="F1181">
        <v>2019350</v>
      </c>
      <c r="G1181">
        <v>2020096</v>
      </c>
      <c r="H1181">
        <v>12891</v>
      </c>
      <c r="I1181">
        <v>2643</v>
      </c>
      <c r="J1181">
        <v>50</v>
      </c>
      <c r="K1181">
        <v>594</v>
      </c>
      <c r="L1181">
        <v>0</v>
      </c>
      <c r="M1181">
        <v>75</v>
      </c>
      <c r="N1181">
        <v>19.837810000000001</v>
      </c>
      <c r="O1181">
        <v>8.6902419999999996</v>
      </c>
      <c r="P1181">
        <v>13.5061</v>
      </c>
      <c r="Q1181">
        <v>63438</v>
      </c>
    </row>
    <row r="1182" spans="1:17" x14ac:dyDescent="0.25">
      <c r="A1182" t="s">
        <v>22</v>
      </c>
      <c r="B1182">
        <v>60</v>
      </c>
      <c r="C1182">
        <v>0.79</v>
      </c>
      <c r="D1182">
        <v>2000</v>
      </c>
      <c r="E1182" t="s">
        <v>28</v>
      </c>
      <c r="F1182">
        <v>2000334</v>
      </c>
      <c r="G1182">
        <v>2001085</v>
      </c>
      <c r="H1182">
        <v>6765</v>
      </c>
      <c r="I1182">
        <v>1029</v>
      </c>
      <c r="J1182">
        <v>50</v>
      </c>
      <c r="K1182">
        <v>441</v>
      </c>
      <c r="L1182">
        <v>0</v>
      </c>
      <c r="M1182">
        <v>50</v>
      </c>
      <c r="N1182">
        <v>19.017219999999998</v>
      </c>
      <c r="O1182">
        <v>7.5955570000000003</v>
      </c>
      <c r="P1182">
        <v>13.911659999999999</v>
      </c>
      <c r="Q1182">
        <v>28815</v>
      </c>
    </row>
    <row r="1183" spans="1:17" x14ac:dyDescent="0.25">
      <c r="A1183" t="s">
        <v>22</v>
      </c>
      <c r="B1183">
        <v>60</v>
      </c>
      <c r="C1183">
        <v>0.79</v>
      </c>
      <c r="D1183">
        <v>2001</v>
      </c>
      <c r="E1183" t="s">
        <v>28</v>
      </c>
      <c r="F1183">
        <v>2001334</v>
      </c>
      <c r="G1183">
        <v>2002090</v>
      </c>
      <c r="H1183">
        <v>11975</v>
      </c>
      <c r="I1183">
        <v>1505</v>
      </c>
      <c r="J1183">
        <v>50</v>
      </c>
      <c r="K1183">
        <v>573</v>
      </c>
      <c r="L1183">
        <v>0</v>
      </c>
      <c r="M1183">
        <v>50</v>
      </c>
      <c r="N1183">
        <v>17.96593</v>
      </c>
      <c r="O1183">
        <v>7.2256999999999998</v>
      </c>
      <c r="P1183">
        <v>13.42347</v>
      </c>
      <c r="Q1183">
        <v>42149</v>
      </c>
    </row>
    <row r="1184" spans="1:17" x14ac:dyDescent="0.25">
      <c r="A1184" t="s">
        <v>22</v>
      </c>
      <c r="B1184">
        <v>60</v>
      </c>
      <c r="C1184">
        <v>0.79</v>
      </c>
      <c r="D1184">
        <v>2002</v>
      </c>
      <c r="E1184" t="s">
        <v>28</v>
      </c>
      <c r="F1184">
        <v>2002334</v>
      </c>
      <c r="G1184">
        <v>2003091</v>
      </c>
      <c r="H1184">
        <v>16041</v>
      </c>
      <c r="I1184">
        <v>2524</v>
      </c>
      <c r="J1184">
        <v>50</v>
      </c>
      <c r="K1184">
        <v>509</v>
      </c>
      <c r="L1184">
        <v>0</v>
      </c>
      <c r="M1184">
        <v>50</v>
      </c>
      <c r="N1184">
        <v>18.017320000000002</v>
      </c>
      <c r="O1184">
        <v>7.5843569999999998</v>
      </c>
      <c r="P1184">
        <v>13.343019999999999</v>
      </c>
      <c r="Q1184">
        <v>70671</v>
      </c>
    </row>
    <row r="1185" spans="1:17" x14ac:dyDescent="0.25">
      <c r="A1185" t="s">
        <v>22</v>
      </c>
      <c r="B1185">
        <v>60</v>
      </c>
      <c r="C1185">
        <v>0.79</v>
      </c>
      <c r="D1185">
        <v>2003</v>
      </c>
      <c r="E1185" t="s">
        <v>28</v>
      </c>
      <c r="F1185">
        <v>2003334</v>
      </c>
      <c r="G1185">
        <v>2004092</v>
      </c>
      <c r="H1185">
        <v>15636</v>
      </c>
      <c r="I1185">
        <v>2315</v>
      </c>
      <c r="J1185">
        <v>50</v>
      </c>
      <c r="K1185">
        <v>651</v>
      </c>
      <c r="L1185">
        <v>0</v>
      </c>
      <c r="M1185">
        <v>50</v>
      </c>
      <c r="N1185">
        <v>17.562919999999998</v>
      </c>
      <c r="O1185">
        <v>6.7780899999999997</v>
      </c>
      <c r="P1185">
        <v>12.85674</v>
      </c>
      <c r="Q1185">
        <v>64829</v>
      </c>
    </row>
    <row r="1186" spans="1:17" x14ac:dyDescent="0.25">
      <c r="A1186" t="s">
        <v>22</v>
      </c>
      <c r="B1186">
        <v>60</v>
      </c>
      <c r="C1186">
        <v>0.79</v>
      </c>
      <c r="D1186">
        <v>2004</v>
      </c>
      <c r="E1186" t="s">
        <v>28</v>
      </c>
      <c r="F1186">
        <v>2004334</v>
      </c>
      <c r="G1186">
        <v>2005103</v>
      </c>
      <c r="H1186">
        <v>11232</v>
      </c>
      <c r="I1186">
        <v>2337</v>
      </c>
      <c r="J1186">
        <v>50</v>
      </c>
      <c r="K1186">
        <v>313</v>
      </c>
      <c r="L1186">
        <v>0</v>
      </c>
      <c r="M1186">
        <v>50</v>
      </c>
      <c r="N1186">
        <v>17.577780000000001</v>
      </c>
      <c r="O1186">
        <v>6.4122209999999997</v>
      </c>
      <c r="P1186">
        <v>14.355</v>
      </c>
      <c r="Q1186">
        <v>65436</v>
      </c>
    </row>
    <row r="1187" spans="1:17" x14ac:dyDescent="0.25">
      <c r="A1187" t="s">
        <v>22</v>
      </c>
      <c r="B1187">
        <v>60</v>
      </c>
      <c r="C1187">
        <v>0.79</v>
      </c>
      <c r="D1187">
        <v>2005</v>
      </c>
      <c r="E1187" t="s">
        <v>28</v>
      </c>
      <c r="F1187">
        <v>2005334</v>
      </c>
      <c r="G1187">
        <v>2006096</v>
      </c>
      <c r="H1187">
        <v>12442</v>
      </c>
      <c r="I1187">
        <v>3027</v>
      </c>
      <c r="J1187">
        <v>50</v>
      </c>
      <c r="K1187">
        <v>612</v>
      </c>
      <c r="L1187">
        <v>0</v>
      </c>
      <c r="M1187">
        <v>50</v>
      </c>
      <c r="N1187">
        <v>17.978770000000001</v>
      </c>
      <c r="O1187">
        <v>7.3474849999999998</v>
      </c>
      <c r="P1187">
        <v>13.85196</v>
      </c>
      <c r="Q1187">
        <v>84763</v>
      </c>
    </row>
    <row r="1188" spans="1:17" x14ac:dyDescent="0.25">
      <c r="A1188" t="s">
        <v>22</v>
      </c>
      <c r="B1188">
        <v>60</v>
      </c>
      <c r="C1188">
        <v>0.79</v>
      </c>
      <c r="D1188">
        <v>2006</v>
      </c>
      <c r="E1188" t="s">
        <v>28</v>
      </c>
      <c r="F1188">
        <v>2006334</v>
      </c>
      <c r="G1188">
        <v>2007087</v>
      </c>
      <c r="H1188">
        <v>12206</v>
      </c>
      <c r="I1188">
        <v>2146</v>
      </c>
      <c r="J1188">
        <v>50</v>
      </c>
      <c r="K1188">
        <v>512</v>
      </c>
      <c r="L1188">
        <v>0</v>
      </c>
      <c r="M1188">
        <v>50</v>
      </c>
      <c r="N1188">
        <v>19.065560000000001</v>
      </c>
      <c r="O1188">
        <v>7.7200009999999999</v>
      </c>
      <c r="P1188">
        <v>14.498889999999999</v>
      </c>
      <c r="Q1188">
        <v>60091</v>
      </c>
    </row>
    <row r="1189" spans="1:17" x14ac:dyDescent="0.25">
      <c r="A1189" t="s">
        <v>22</v>
      </c>
      <c r="B1189">
        <v>60</v>
      </c>
      <c r="C1189">
        <v>0.79</v>
      </c>
      <c r="D1189">
        <v>2007</v>
      </c>
      <c r="E1189" t="s">
        <v>29</v>
      </c>
      <c r="F1189">
        <v>2007334</v>
      </c>
      <c r="G1189">
        <v>2008090</v>
      </c>
      <c r="H1189">
        <v>11585</v>
      </c>
      <c r="I1189">
        <v>3386</v>
      </c>
      <c r="J1189">
        <v>50</v>
      </c>
      <c r="K1189">
        <v>647</v>
      </c>
      <c r="L1189">
        <v>0</v>
      </c>
      <c r="M1189">
        <v>50</v>
      </c>
      <c r="N1189">
        <v>18.479340000000001</v>
      </c>
      <c r="O1189">
        <v>7.3625689999999997</v>
      </c>
      <c r="P1189">
        <v>14.02402</v>
      </c>
      <c r="Q1189">
        <v>94810</v>
      </c>
    </row>
    <row r="1190" spans="1:17" x14ac:dyDescent="0.25">
      <c r="A1190" t="s">
        <v>22</v>
      </c>
      <c r="B1190">
        <v>60</v>
      </c>
      <c r="C1190">
        <v>0.79</v>
      </c>
      <c r="D1190">
        <v>2008</v>
      </c>
      <c r="E1190" t="s">
        <v>29</v>
      </c>
      <c r="F1190">
        <v>2008334</v>
      </c>
      <c r="G1190">
        <v>2009097</v>
      </c>
      <c r="H1190">
        <v>13689</v>
      </c>
      <c r="I1190">
        <v>2739</v>
      </c>
      <c r="J1190">
        <v>50</v>
      </c>
      <c r="K1190">
        <v>418</v>
      </c>
      <c r="L1190">
        <v>0</v>
      </c>
      <c r="M1190">
        <v>50</v>
      </c>
      <c r="N1190">
        <v>18.029209999999999</v>
      </c>
      <c r="O1190">
        <v>6.6337080000000004</v>
      </c>
      <c r="P1190">
        <v>14.66966</v>
      </c>
      <c r="Q1190">
        <v>76693</v>
      </c>
    </row>
    <row r="1191" spans="1:17" x14ac:dyDescent="0.25">
      <c r="A1191" t="s">
        <v>22</v>
      </c>
      <c r="B1191">
        <v>60</v>
      </c>
      <c r="C1191">
        <v>0.79</v>
      </c>
      <c r="D1191">
        <v>2009</v>
      </c>
      <c r="E1191" t="s">
        <v>29</v>
      </c>
      <c r="F1191">
        <v>2009334</v>
      </c>
      <c r="G1191">
        <v>2010103</v>
      </c>
      <c r="H1191">
        <v>17222</v>
      </c>
      <c r="I1191">
        <v>3842</v>
      </c>
      <c r="J1191">
        <v>50</v>
      </c>
      <c r="K1191">
        <v>632</v>
      </c>
      <c r="L1191">
        <v>0</v>
      </c>
      <c r="M1191">
        <v>50</v>
      </c>
      <c r="N1191">
        <v>17.326260000000001</v>
      </c>
      <c r="O1191">
        <v>6.2223449999999998</v>
      </c>
      <c r="P1191">
        <v>13.13632</v>
      </c>
      <c r="Q1191">
        <v>107573</v>
      </c>
    </row>
    <row r="1192" spans="1:17" x14ac:dyDescent="0.25">
      <c r="A1192" t="s">
        <v>22</v>
      </c>
      <c r="B1192">
        <v>60</v>
      </c>
      <c r="C1192">
        <v>0.79</v>
      </c>
      <c r="D1192">
        <v>2010</v>
      </c>
      <c r="E1192" t="s">
        <v>29</v>
      </c>
      <c r="F1192">
        <v>2010334</v>
      </c>
      <c r="G1192">
        <v>2011093</v>
      </c>
      <c r="H1192">
        <v>10134</v>
      </c>
      <c r="I1192">
        <v>2113</v>
      </c>
      <c r="J1192">
        <v>50</v>
      </c>
      <c r="K1192">
        <v>350</v>
      </c>
      <c r="L1192">
        <v>0</v>
      </c>
      <c r="M1192">
        <v>50</v>
      </c>
      <c r="N1192">
        <v>18.817519999999998</v>
      </c>
      <c r="O1192">
        <v>7.592657</v>
      </c>
      <c r="P1192">
        <v>13.63729</v>
      </c>
      <c r="Q1192">
        <v>59170</v>
      </c>
    </row>
    <row r="1193" spans="1:17" x14ac:dyDescent="0.25">
      <c r="A1193" t="s">
        <v>22</v>
      </c>
      <c r="B1193">
        <v>60</v>
      </c>
      <c r="C1193">
        <v>0.79</v>
      </c>
      <c r="D1193">
        <v>2011</v>
      </c>
      <c r="E1193" t="s">
        <v>29</v>
      </c>
      <c r="F1193">
        <v>2011334</v>
      </c>
      <c r="G1193">
        <v>2012095</v>
      </c>
      <c r="H1193">
        <v>11489</v>
      </c>
      <c r="I1193">
        <v>2899</v>
      </c>
      <c r="J1193">
        <v>50</v>
      </c>
      <c r="K1193">
        <v>411</v>
      </c>
      <c r="L1193">
        <v>0</v>
      </c>
      <c r="M1193">
        <v>50</v>
      </c>
      <c r="N1193">
        <v>19.103349999999999</v>
      </c>
      <c r="O1193">
        <v>6.2564250000000001</v>
      </c>
      <c r="P1193">
        <v>14.03631</v>
      </c>
      <c r="Q1193">
        <v>81181</v>
      </c>
    </row>
    <row r="1194" spans="1:17" x14ac:dyDescent="0.25">
      <c r="A1194" t="s">
        <v>22</v>
      </c>
      <c r="B1194">
        <v>60</v>
      </c>
      <c r="C1194">
        <v>0.79</v>
      </c>
      <c r="D1194">
        <v>2012</v>
      </c>
      <c r="E1194" t="s">
        <v>29</v>
      </c>
      <c r="F1194">
        <v>2012334</v>
      </c>
      <c r="G1194">
        <v>2013087</v>
      </c>
      <c r="H1194">
        <v>10997</v>
      </c>
      <c r="I1194">
        <v>2090</v>
      </c>
      <c r="J1194">
        <v>50</v>
      </c>
      <c r="K1194">
        <v>444</v>
      </c>
      <c r="L1194">
        <v>0</v>
      </c>
      <c r="M1194">
        <v>50</v>
      </c>
      <c r="N1194">
        <v>19</v>
      </c>
      <c r="O1194">
        <v>6.6122899999999998</v>
      </c>
      <c r="P1194">
        <v>14.14246</v>
      </c>
      <c r="Q1194">
        <v>58507</v>
      </c>
    </row>
    <row r="1195" spans="1:17" x14ac:dyDescent="0.25">
      <c r="A1195" t="s">
        <v>22</v>
      </c>
      <c r="B1195">
        <v>60</v>
      </c>
      <c r="C1195">
        <v>0.79</v>
      </c>
      <c r="D1195">
        <v>2013</v>
      </c>
      <c r="E1195" t="s">
        <v>29</v>
      </c>
      <c r="F1195">
        <v>2013334</v>
      </c>
      <c r="G1195">
        <v>2014087</v>
      </c>
      <c r="H1195">
        <v>7679</v>
      </c>
      <c r="I1195">
        <v>1523</v>
      </c>
      <c r="J1195">
        <v>50</v>
      </c>
      <c r="K1195">
        <v>174</v>
      </c>
      <c r="L1195">
        <v>0</v>
      </c>
      <c r="M1195">
        <v>50</v>
      </c>
      <c r="N1195">
        <v>19.42858</v>
      </c>
      <c r="O1195">
        <v>7.3520009999999996</v>
      </c>
      <c r="P1195">
        <v>14.888</v>
      </c>
      <c r="Q1195">
        <v>42640</v>
      </c>
    </row>
    <row r="1196" spans="1:17" x14ac:dyDescent="0.25">
      <c r="A1196" t="s">
        <v>22</v>
      </c>
      <c r="B1196">
        <v>60</v>
      </c>
      <c r="C1196">
        <v>0.79</v>
      </c>
      <c r="D1196">
        <v>2014</v>
      </c>
      <c r="E1196" t="s">
        <v>29</v>
      </c>
      <c r="F1196">
        <v>2014334</v>
      </c>
      <c r="G1196">
        <v>2015093</v>
      </c>
      <c r="H1196">
        <v>12814</v>
      </c>
      <c r="I1196">
        <v>2692</v>
      </c>
      <c r="J1196">
        <v>50</v>
      </c>
      <c r="K1196">
        <v>612</v>
      </c>
      <c r="L1196">
        <v>0</v>
      </c>
      <c r="M1196">
        <v>50</v>
      </c>
      <c r="N1196">
        <v>18.921659999999999</v>
      </c>
      <c r="O1196">
        <v>6.4488899999999996</v>
      </c>
      <c r="P1196">
        <v>15.15222</v>
      </c>
      <c r="Q1196">
        <v>75377</v>
      </c>
    </row>
    <row r="1197" spans="1:17" x14ac:dyDescent="0.25">
      <c r="A1197" t="s">
        <v>22</v>
      </c>
      <c r="B1197">
        <v>60</v>
      </c>
      <c r="C1197">
        <v>0.79</v>
      </c>
      <c r="D1197">
        <v>2015</v>
      </c>
      <c r="E1197" t="s">
        <v>29</v>
      </c>
      <c r="F1197">
        <v>2015334</v>
      </c>
      <c r="G1197">
        <v>2016082</v>
      </c>
      <c r="H1197">
        <v>7992</v>
      </c>
      <c r="I1197">
        <v>1635</v>
      </c>
      <c r="J1197">
        <v>50</v>
      </c>
      <c r="K1197">
        <v>436</v>
      </c>
      <c r="L1197">
        <v>0</v>
      </c>
      <c r="M1197">
        <v>50</v>
      </c>
      <c r="N1197">
        <v>19.64134</v>
      </c>
      <c r="O1197">
        <v>7.7726230000000003</v>
      </c>
      <c r="P1197">
        <v>13.889379999999999</v>
      </c>
      <c r="Q1197">
        <v>45779</v>
      </c>
    </row>
    <row r="1198" spans="1:17" x14ac:dyDescent="0.25">
      <c r="A1198" t="s">
        <v>22</v>
      </c>
      <c r="B1198">
        <v>60</v>
      </c>
      <c r="C1198">
        <v>0.79</v>
      </c>
      <c r="D1198">
        <v>2016</v>
      </c>
      <c r="E1198" t="s">
        <v>29</v>
      </c>
      <c r="F1198">
        <v>2016334</v>
      </c>
      <c r="G1198">
        <v>2017085</v>
      </c>
      <c r="H1198">
        <v>15312</v>
      </c>
      <c r="I1198">
        <v>3869</v>
      </c>
      <c r="J1198">
        <v>50</v>
      </c>
      <c r="K1198">
        <v>560</v>
      </c>
      <c r="L1198">
        <v>0</v>
      </c>
      <c r="M1198">
        <v>50</v>
      </c>
      <c r="N1198">
        <v>19.46022</v>
      </c>
      <c r="O1198">
        <v>7.7696139999999998</v>
      </c>
      <c r="P1198">
        <v>14.54862</v>
      </c>
      <c r="Q1198">
        <v>108344</v>
      </c>
    </row>
    <row r="1199" spans="1:17" x14ac:dyDescent="0.25">
      <c r="A1199" t="s">
        <v>22</v>
      </c>
      <c r="B1199">
        <v>60</v>
      </c>
      <c r="C1199">
        <v>0.79</v>
      </c>
      <c r="D1199">
        <v>2017</v>
      </c>
      <c r="E1199" t="s">
        <v>29</v>
      </c>
      <c r="F1199">
        <v>2017334</v>
      </c>
      <c r="G1199">
        <v>2018090</v>
      </c>
      <c r="H1199">
        <v>6838</v>
      </c>
      <c r="I1199">
        <v>1337</v>
      </c>
      <c r="J1199">
        <v>50</v>
      </c>
      <c r="K1199">
        <v>237</v>
      </c>
      <c r="L1199">
        <v>0</v>
      </c>
      <c r="M1199">
        <v>50</v>
      </c>
      <c r="N1199">
        <v>19.261710000000001</v>
      </c>
      <c r="O1199">
        <v>6.8697150000000002</v>
      </c>
      <c r="P1199">
        <v>14.21372</v>
      </c>
      <c r="Q1199">
        <v>37433</v>
      </c>
    </row>
    <row r="1200" spans="1:17" x14ac:dyDescent="0.25">
      <c r="A1200" t="s">
        <v>22</v>
      </c>
      <c r="B1200">
        <v>60</v>
      </c>
      <c r="C1200">
        <v>0.79</v>
      </c>
      <c r="D1200">
        <v>2018</v>
      </c>
      <c r="E1200" t="s">
        <v>29</v>
      </c>
      <c r="F1200">
        <v>2018334</v>
      </c>
      <c r="G1200">
        <v>2019087</v>
      </c>
      <c r="H1200">
        <v>6331</v>
      </c>
      <c r="I1200">
        <v>996</v>
      </c>
      <c r="J1200">
        <v>50</v>
      </c>
      <c r="K1200">
        <v>525</v>
      </c>
      <c r="L1200">
        <v>0</v>
      </c>
      <c r="M1200">
        <v>50</v>
      </c>
      <c r="N1200">
        <v>19.491669999999999</v>
      </c>
      <c r="O1200">
        <v>6.8244470000000002</v>
      </c>
      <c r="P1200">
        <v>15.228339999999999</v>
      </c>
      <c r="Q1200">
        <v>27900</v>
      </c>
    </row>
    <row r="1201" spans="1:17" x14ac:dyDescent="0.25">
      <c r="A1201" t="s">
        <v>22</v>
      </c>
      <c r="B1201">
        <v>60</v>
      </c>
      <c r="C1201">
        <v>0.79</v>
      </c>
      <c r="D1201">
        <v>2019</v>
      </c>
      <c r="E1201" t="s">
        <v>29</v>
      </c>
      <c r="F1201">
        <v>2019334</v>
      </c>
      <c r="G1201">
        <v>2020076</v>
      </c>
      <c r="H1201">
        <v>13804</v>
      </c>
      <c r="I1201">
        <v>2910</v>
      </c>
      <c r="J1201">
        <v>50</v>
      </c>
      <c r="K1201">
        <v>594</v>
      </c>
      <c r="L1201">
        <v>0</v>
      </c>
      <c r="M1201">
        <v>50</v>
      </c>
      <c r="N1201">
        <v>19.65363</v>
      </c>
      <c r="O1201">
        <v>8.5564230000000006</v>
      </c>
      <c r="P1201">
        <v>12.908379999999999</v>
      </c>
      <c r="Q1201">
        <v>81489</v>
      </c>
    </row>
    <row r="1202" spans="1:17" x14ac:dyDescent="0.25">
      <c r="A1202" t="s">
        <v>22</v>
      </c>
      <c r="B1202">
        <v>61</v>
      </c>
      <c r="C1202">
        <v>0.59</v>
      </c>
      <c r="D1202">
        <v>2000</v>
      </c>
      <c r="E1202" t="s">
        <v>28</v>
      </c>
      <c r="F1202">
        <v>2000320</v>
      </c>
      <c r="G1202">
        <v>2001077</v>
      </c>
      <c r="H1202">
        <v>8841</v>
      </c>
      <c r="I1202">
        <v>1384</v>
      </c>
      <c r="J1202">
        <v>50</v>
      </c>
      <c r="K1202">
        <v>441</v>
      </c>
      <c r="L1202">
        <v>0</v>
      </c>
      <c r="M1202">
        <v>25</v>
      </c>
      <c r="N1202">
        <v>18.856179999999998</v>
      </c>
      <c r="O1202">
        <v>7.4345369999999997</v>
      </c>
      <c r="P1202">
        <v>13.4969</v>
      </c>
      <c r="Q1202">
        <v>37363</v>
      </c>
    </row>
    <row r="1203" spans="1:17" x14ac:dyDescent="0.25">
      <c r="A1203" t="s">
        <v>22</v>
      </c>
      <c r="B1203">
        <v>61</v>
      </c>
      <c r="C1203">
        <v>0.59</v>
      </c>
      <c r="D1203">
        <v>2001</v>
      </c>
      <c r="E1203" t="s">
        <v>28</v>
      </c>
      <c r="F1203">
        <v>2001320</v>
      </c>
      <c r="G1203">
        <v>2002079</v>
      </c>
      <c r="H1203">
        <v>11451</v>
      </c>
      <c r="I1203">
        <v>1513</v>
      </c>
      <c r="J1203">
        <v>50</v>
      </c>
      <c r="K1203">
        <v>573</v>
      </c>
      <c r="L1203">
        <v>0</v>
      </c>
      <c r="M1203">
        <v>25</v>
      </c>
      <c r="N1203">
        <v>17.880320000000001</v>
      </c>
      <c r="O1203">
        <v>7.0906760000000002</v>
      </c>
      <c r="P1203">
        <v>13.041969999999999</v>
      </c>
      <c r="Q1203">
        <v>40858</v>
      </c>
    </row>
    <row r="1204" spans="1:17" x14ac:dyDescent="0.25">
      <c r="A1204" t="s">
        <v>22</v>
      </c>
      <c r="B1204">
        <v>61</v>
      </c>
      <c r="C1204">
        <v>0.59</v>
      </c>
      <c r="D1204">
        <v>2002</v>
      </c>
      <c r="E1204" t="s">
        <v>28</v>
      </c>
      <c r="F1204">
        <v>2002320</v>
      </c>
      <c r="G1204">
        <v>2003080</v>
      </c>
      <c r="H1204">
        <v>15222</v>
      </c>
      <c r="I1204">
        <v>2434</v>
      </c>
      <c r="J1204">
        <v>50</v>
      </c>
      <c r="K1204">
        <v>509</v>
      </c>
      <c r="L1204">
        <v>0</v>
      </c>
      <c r="M1204">
        <v>25</v>
      </c>
      <c r="N1204">
        <v>18.089639999999999</v>
      </c>
      <c r="O1204">
        <v>7.5005179999999996</v>
      </c>
      <c r="P1204">
        <v>12.870990000000001</v>
      </c>
      <c r="Q1204">
        <v>65710</v>
      </c>
    </row>
    <row r="1205" spans="1:17" x14ac:dyDescent="0.25">
      <c r="A1205" t="s">
        <v>22</v>
      </c>
      <c r="B1205">
        <v>61</v>
      </c>
      <c r="C1205">
        <v>0.59</v>
      </c>
      <c r="D1205">
        <v>2003</v>
      </c>
      <c r="E1205" t="s">
        <v>28</v>
      </c>
      <c r="F1205">
        <v>2003320</v>
      </c>
      <c r="G1205">
        <v>2004081</v>
      </c>
      <c r="H1205">
        <v>15378</v>
      </c>
      <c r="I1205">
        <v>2209</v>
      </c>
      <c r="J1205">
        <v>50</v>
      </c>
      <c r="K1205">
        <v>651</v>
      </c>
      <c r="L1205">
        <v>0</v>
      </c>
      <c r="M1205">
        <v>25</v>
      </c>
      <c r="N1205">
        <v>17.49587</v>
      </c>
      <c r="O1205">
        <v>6.8262900000000002</v>
      </c>
      <c r="P1205">
        <v>12.2799</v>
      </c>
      <c r="Q1205">
        <v>59643</v>
      </c>
    </row>
    <row r="1206" spans="1:17" x14ac:dyDescent="0.25">
      <c r="A1206" t="s">
        <v>22</v>
      </c>
      <c r="B1206">
        <v>61</v>
      </c>
      <c r="C1206">
        <v>0.59</v>
      </c>
      <c r="D1206">
        <v>2004</v>
      </c>
      <c r="E1206" t="s">
        <v>28</v>
      </c>
      <c r="F1206">
        <v>2004320</v>
      </c>
      <c r="G1206">
        <v>2005091</v>
      </c>
      <c r="H1206">
        <v>11792</v>
      </c>
      <c r="I1206">
        <v>2244</v>
      </c>
      <c r="J1206">
        <v>50</v>
      </c>
      <c r="K1206">
        <v>313</v>
      </c>
      <c r="L1206">
        <v>0</v>
      </c>
      <c r="M1206">
        <v>25</v>
      </c>
      <c r="N1206">
        <v>17.480930000000001</v>
      </c>
      <c r="O1206">
        <v>6.4716480000000001</v>
      </c>
      <c r="P1206">
        <v>13.795360000000001</v>
      </c>
      <c r="Q1206">
        <v>60593</v>
      </c>
    </row>
    <row r="1207" spans="1:17" x14ac:dyDescent="0.25">
      <c r="A1207" t="s">
        <v>22</v>
      </c>
      <c r="B1207">
        <v>61</v>
      </c>
      <c r="C1207">
        <v>0.59</v>
      </c>
      <c r="D1207">
        <v>2005</v>
      </c>
      <c r="E1207" t="s">
        <v>28</v>
      </c>
      <c r="F1207">
        <v>2005320</v>
      </c>
      <c r="G1207">
        <v>2006087</v>
      </c>
      <c r="H1207">
        <v>12702</v>
      </c>
      <c r="I1207">
        <v>2497</v>
      </c>
      <c r="J1207">
        <v>50</v>
      </c>
      <c r="K1207">
        <v>612</v>
      </c>
      <c r="L1207">
        <v>0</v>
      </c>
      <c r="M1207">
        <v>25</v>
      </c>
      <c r="N1207">
        <v>17.81804</v>
      </c>
      <c r="O1207">
        <v>7.1618560000000002</v>
      </c>
      <c r="P1207">
        <v>13.35619</v>
      </c>
      <c r="Q1207">
        <v>67408</v>
      </c>
    </row>
    <row r="1208" spans="1:17" x14ac:dyDescent="0.25">
      <c r="A1208" t="s">
        <v>22</v>
      </c>
      <c r="B1208">
        <v>61</v>
      </c>
      <c r="C1208">
        <v>0.59</v>
      </c>
      <c r="D1208">
        <v>2006</v>
      </c>
      <c r="E1208" t="s">
        <v>28</v>
      </c>
      <c r="F1208">
        <v>2006320</v>
      </c>
      <c r="G1208">
        <v>2007077</v>
      </c>
      <c r="H1208">
        <v>8084</v>
      </c>
      <c r="I1208">
        <v>1403</v>
      </c>
      <c r="J1208">
        <v>50</v>
      </c>
      <c r="K1208">
        <v>512</v>
      </c>
      <c r="L1208">
        <v>0</v>
      </c>
      <c r="M1208">
        <v>25</v>
      </c>
      <c r="N1208">
        <v>19.12011</v>
      </c>
      <c r="O1208">
        <v>7.8597939999999999</v>
      </c>
      <c r="P1208">
        <v>14.00412</v>
      </c>
      <c r="Q1208">
        <v>37873</v>
      </c>
    </row>
    <row r="1209" spans="1:17" x14ac:dyDescent="0.25">
      <c r="A1209" t="s">
        <v>22</v>
      </c>
      <c r="B1209">
        <v>61</v>
      </c>
      <c r="C1209">
        <v>0.59</v>
      </c>
      <c r="D1209">
        <v>2007</v>
      </c>
      <c r="E1209" t="s">
        <v>29</v>
      </c>
      <c r="F1209">
        <v>2007320</v>
      </c>
      <c r="G1209">
        <v>2008077</v>
      </c>
      <c r="H1209">
        <v>11687</v>
      </c>
      <c r="I1209">
        <v>2272</v>
      </c>
      <c r="J1209">
        <v>50</v>
      </c>
      <c r="K1209">
        <v>647</v>
      </c>
      <c r="L1209">
        <v>0</v>
      </c>
      <c r="M1209">
        <v>25</v>
      </c>
      <c r="N1209">
        <v>18.42136</v>
      </c>
      <c r="O1209">
        <v>7.2234369999999997</v>
      </c>
      <c r="P1209">
        <v>13.7026</v>
      </c>
      <c r="Q1209">
        <v>61339</v>
      </c>
    </row>
    <row r="1210" spans="1:17" x14ac:dyDescent="0.25">
      <c r="A1210" t="s">
        <v>22</v>
      </c>
      <c r="B1210">
        <v>61</v>
      </c>
      <c r="C1210">
        <v>0.59</v>
      </c>
      <c r="D1210">
        <v>2008</v>
      </c>
      <c r="E1210" t="s">
        <v>29</v>
      </c>
      <c r="F1210">
        <v>2008320</v>
      </c>
      <c r="G1210">
        <v>2009087</v>
      </c>
      <c r="H1210">
        <v>13570</v>
      </c>
      <c r="I1210">
        <v>2534</v>
      </c>
      <c r="J1210">
        <v>50</v>
      </c>
      <c r="K1210">
        <v>418</v>
      </c>
      <c r="L1210">
        <v>0</v>
      </c>
      <c r="M1210">
        <v>25</v>
      </c>
      <c r="N1210">
        <v>17.878969999999999</v>
      </c>
      <c r="O1210">
        <v>6.3512820000000003</v>
      </c>
      <c r="P1210">
        <v>14.23282</v>
      </c>
      <c r="Q1210">
        <v>68410</v>
      </c>
    </row>
    <row r="1211" spans="1:17" x14ac:dyDescent="0.25">
      <c r="A1211" t="s">
        <v>22</v>
      </c>
      <c r="B1211">
        <v>61</v>
      </c>
      <c r="C1211">
        <v>0.59</v>
      </c>
      <c r="D1211">
        <v>2009</v>
      </c>
      <c r="E1211" t="s">
        <v>29</v>
      </c>
      <c r="F1211">
        <v>2009320</v>
      </c>
      <c r="G1211">
        <v>2010091</v>
      </c>
      <c r="H1211">
        <v>11586</v>
      </c>
      <c r="I1211">
        <v>2316</v>
      </c>
      <c r="J1211">
        <v>50</v>
      </c>
      <c r="K1211">
        <v>632</v>
      </c>
      <c r="L1211">
        <v>0</v>
      </c>
      <c r="M1211">
        <v>25</v>
      </c>
      <c r="N1211">
        <v>17.426939999999998</v>
      </c>
      <c r="O1211">
        <v>6.2450770000000002</v>
      </c>
      <c r="P1211">
        <v>12.773059999999999</v>
      </c>
      <c r="Q1211">
        <v>62530</v>
      </c>
    </row>
    <row r="1212" spans="1:17" x14ac:dyDescent="0.25">
      <c r="A1212" t="s">
        <v>22</v>
      </c>
      <c r="B1212">
        <v>61</v>
      </c>
      <c r="C1212">
        <v>0.59</v>
      </c>
      <c r="D1212">
        <v>2010</v>
      </c>
      <c r="E1212" t="s">
        <v>29</v>
      </c>
      <c r="F1212">
        <v>2010320</v>
      </c>
      <c r="G1212">
        <v>2011084</v>
      </c>
      <c r="H1212">
        <v>11316</v>
      </c>
      <c r="I1212">
        <v>2059</v>
      </c>
      <c r="J1212">
        <v>50</v>
      </c>
      <c r="K1212">
        <v>350</v>
      </c>
      <c r="L1212">
        <v>0</v>
      </c>
      <c r="M1212">
        <v>25</v>
      </c>
      <c r="N1212">
        <v>18.548439999999999</v>
      </c>
      <c r="O1212">
        <v>7.220834</v>
      </c>
      <c r="P1212">
        <v>13.15781</v>
      </c>
      <c r="Q1212">
        <v>55604</v>
      </c>
    </row>
    <row r="1213" spans="1:17" x14ac:dyDescent="0.25">
      <c r="A1213" t="s">
        <v>22</v>
      </c>
      <c r="B1213">
        <v>61</v>
      </c>
      <c r="C1213">
        <v>0.59</v>
      </c>
      <c r="D1213">
        <v>2011</v>
      </c>
      <c r="E1213" t="s">
        <v>29</v>
      </c>
      <c r="F1213">
        <v>2011320</v>
      </c>
      <c r="G1213">
        <v>2012086</v>
      </c>
      <c r="H1213">
        <v>13127</v>
      </c>
      <c r="I1213">
        <v>3368</v>
      </c>
      <c r="J1213">
        <v>50</v>
      </c>
      <c r="K1213">
        <v>411</v>
      </c>
      <c r="L1213">
        <v>0</v>
      </c>
      <c r="M1213">
        <v>25</v>
      </c>
      <c r="N1213">
        <v>19.00516</v>
      </c>
      <c r="O1213">
        <v>6.4541240000000002</v>
      </c>
      <c r="P1213">
        <v>13.414429999999999</v>
      </c>
      <c r="Q1213">
        <v>90933</v>
      </c>
    </row>
    <row r="1214" spans="1:17" x14ac:dyDescent="0.25">
      <c r="A1214" t="s">
        <v>22</v>
      </c>
      <c r="B1214">
        <v>61</v>
      </c>
      <c r="C1214">
        <v>0.59</v>
      </c>
      <c r="D1214">
        <v>2012</v>
      </c>
      <c r="E1214" t="s">
        <v>29</v>
      </c>
      <c r="F1214">
        <v>2012320</v>
      </c>
      <c r="G1214">
        <v>2013078</v>
      </c>
      <c r="H1214">
        <v>10274</v>
      </c>
      <c r="I1214">
        <v>1726</v>
      </c>
      <c r="J1214">
        <v>50</v>
      </c>
      <c r="K1214">
        <v>444</v>
      </c>
      <c r="L1214">
        <v>0</v>
      </c>
      <c r="M1214">
        <v>25</v>
      </c>
      <c r="N1214">
        <v>18.845130000000001</v>
      </c>
      <c r="O1214">
        <v>6.5446160000000004</v>
      </c>
      <c r="P1214">
        <v>13.657439999999999</v>
      </c>
      <c r="Q1214">
        <v>46593</v>
      </c>
    </row>
    <row r="1215" spans="1:17" x14ac:dyDescent="0.25">
      <c r="A1215" t="s">
        <v>22</v>
      </c>
      <c r="B1215">
        <v>61</v>
      </c>
      <c r="C1215">
        <v>0.59</v>
      </c>
      <c r="D1215">
        <v>2013</v>
      </c>
      <c r="E1215" t="s">
        <v>29</v>
      </c>
      <c r="F1215">
        <v>2013320</v>
      </c>
      <c r="G1215">
        <v>2014077</v>
      </c>
      <c r="H1215">
        <v>7795</v>
      </c>
      <c r="I1215">
        <v>1890</v>
      </c>
      <c r="J1215">
        <v>50</v>
      </c>
      <c r="K1215">
        <v>174</v>
      </c>
      <c r="L1215">
        <v>0</v>
      </c>
      <c r="M1215">
        <v>25</v>
      </c>
      <c r="N1215">
        <v>19.100519999999999</v>
      </c>
      <c r="O1215">
        <v>6.9278360000000001</v>
      </c>
      <c r="P1215">
        <v>14.307729999999999</v>
      </c>
      <c r="Q1215">
        <v>51035</v>
      </c>
    </row>
    <row r="1216" spans="1:17" x14ac:dyDescent="0.25">
      <c r="A1216" t="s">
        <v>22</v>
      </c>
      <c r="B1216">
        <v>61</v>
      </c>
      <c r="C1216">
        <v>0.59</v>
      </c>
      <c r="D1216">
        <v>2014</v>
      </c>
      <c r="E1216" t="s">
        <v>29</v>
      </c>
      <c r="F1216">
        <v>2014320</v>
      </c>
      <c r="G1216">
        <v>2015086</v>
      </c>
      <c r="H1216">
        <v>15164</v>
      </c>
      <c r="I1216">
        <v>2843</v>
      </c>
      <c r="J1216">
        <v>50</v>
      </c>
      <c r="K1216">
        <v>612</v>
      </c>
      <c r="L1216">
        <v>0</v>
      </c>
      <c r="M1216">
        <v>25</v>
      </c>
      <c r="N1216">
        <v>18.909839999999999</v>
      </c>
      <c r="O1216">
        <v>6.7497429999999996</v>
      </c>
      <c r="P1216">
        <v>14.530049999999999</v>
      </c>
      <c r="Q1216">
        <v>76767</v>
      </c>
    </row>
    <row r="1217" spans="1:17" x14ac:dyDescent="0.25">
      <c r="A1217" t="s">
        <v>22</v>
      </c>
      <c r="B1217">
        <v>61</v>
      </c>
      <c r="C1217">
        <v>0.59</v>
      </c>
      <c r="D1217">
        <v>2015</v>
      </c>
      <c r="E1217" t="s">
        <v>29</v>
      </c>
      <c r="F1217">
        <v>2015320</v>
      </c>
      <c r="G1217">
        <v>2016065</v>
      </c>
      <c r="H1217">
        <v>2495</v>
      </c>
      <c r="I1217">
        <v>446</v>
      </c>
      <c r="J1217">
        <v>50</v>
      </c>
      <c r="K1217">
        <v>436</v>
      </c>
      <c r="L1217">
        <v>0</v>
      </c>
      <c r="M1217">
        <v>25</v>
      </c>
      <c r="N1217">
        <v>19.558759999999999</v>
      </c>
      <c r="O1217">
        <v>7.6721630000000003</v>
      </c>
      <c r="P1217">
        <v>13.53505</v>
      </c>
      <c r="Q1217">
        <v>12038</v>
      </c>
    </row>
    <row r="1218" spans="1:17" x14ac:dyDescent="0.25">
      <c r="A1218" t="s">
        <v>22</v>
      </c>
      <c r="B1218">
        <v>61</v>
      </c>
      <c r="C1218">
        <v>0.59</v>
      </c>
      <c r="D1218">
        <v>2016</v>
      </c>
      <c r="E1218" t="s">
        <v>29</v>
      </c>
      <c r="F1218">
        <v>2016320</v>
      </c>
      <c r="G1218">
        <v>2017071</v>
      </c>
      <c r="H1218">
        <v>14924</v>
      </c>
      <c r="I1218">
        <v>2832</v>
      </c>
      <c r="J1218">
        <v>50</v>
      </c>
      <c r="K1218">
        <v>560</v>
      </c>
      <c r="L1218">
        <v>0</v>
      </c>
      <c r="M1218">
        <v>25</v>
      </c>
      <c r="N1218">
        <v>19.213840000000001</v>
      </c>
      <c r="O1218">
        <v>7.838463</v>
      </c>
      <c r="P1218">
        <v>13.850770000000001</v>
      </c>
      <c r="Q1218">
        <v>76455</v>
      </c>
    </row>
    <row r="1219" spans="1:17" x14ac:dyDescent="0.25">
      <c r="A1219" t="s">
        <v>22</v>
      </c>
      <c r="B1219">
        <v>61</v>
      </c>
      <c r="C1219">
        <v>0.59</v>
      </c>
      <c r="D1219">
        <v>2017</v>
      </c>
      <c r="E1219" t="s">
        <v>29</v>
      </c>
      <c r="F1219">
        <v>2017320</v>
      </c>
      <c r="G1219">
        <v>2018080</v>
      </c>
      <c r="H1219">
        <v>4428</v>
      </c>
      <c r="I1219">
        <v>894</v>
      </c>
      <c r="J1219">
        <v>50</v>
      </c>
      <c r="K1219">
        <v>237</v>
      </c>
      <c r="L1219">
        <v>0</v>
      </c>
      <c r="M1219">
        <v>25</v>
      </c>
      <c r="N1219">
        <v>19.079689999999999</v>
      </c>
      <c r="O1219">
        <v>6.6177099999999998</v>
      </c>
      <c r="P1219">
        <v>13.731260000000001</v>
      </c>
      <c r="Q1219">
        <v>24149</v>
      </c>
    </row>
    <row r="1220" spans="1:17" x14ac:dyDescent="0.25">
      <c r="A1220" t="s">
        <v>22</v>
      </c>
      <c r="B1220">
        <v>61</v>
      </c>
      <c r="C1220">
        <v>0.59</v>
      </c>
      <c r="D1220">
        <v>2018</v>
      </c>
      <c r="E1220" t="s">
        <v>29</v>
      </c>
      <c r="F1220">
        <v>2018320</v>
      </c>
      <c r="G1220">
        <v>2019072</v>
      </c>
      <c r="H1220">
        <v>5780</v>
      </c>
      <c r="I1220">
        <v>1000</v>
      </c>
      <c r="J1220">
        <v>50</v>
      </c>
      <c r="K1220">
        <v>525</v>
      </c>
      <c r="L1220">
        <v>0</v>
      </c>
      <c r="M1220">
        <v>25</v>
      </c>
      <c r="N1220">
        <v>19.40053</v>
      </c>
      <c r="O1220">
        <v>6.8211360000000001</v>
      </c>
      <c r="P1220">
        <v>14.724740000000001</v>
      </c>
      <c r="Q1220">
        <v>26991</v>
      </c>
    </row>
    <row r="1221" spans="1:17" x14ac:dyDescent="0.25">
      <c r="A1221" t="s">
        <v>22</v>
      </c>
      <c r="B1221">
        <v>61</v>
      </c>
      <c r="C1221">
        <v>0.59</v>
      </c>
      <c r="D1221">
        <v>2019</v>
      </c>
      <c r="E1221" t="s">
        <v>29</v>
      </c>
      <c r="F1221">
        <v>2019320</v>
      </c>
      <c r="G1221">
        <v>2020066</v>
      </c>
      <c r="H1221">
        <v>10941</v>
      </c>
      <c r="I1221">
        <v>2326</v>
      </c>
      <c r="J1221">
        <v>50</v>
      </c>
      <c r="K1221">
        <v>594</v>
      </c>
      <c r="L1221">
        <v>0</v>
      </c>
      <c r="M1221">
        <v>25</v>
      </c>
      <c r="N1221">
        <v>19.588609999999999</v>
      </c>
      <c r="O1221">
        <v>8.5455950000000005</v>
      </c>
      <c r="P1221">
        <v>12.478759999999999</v>
      </c>
      <c r="Q1221">
        <v>62815</v>
      </c>
    </row>
    <row r="1222" spans="1:17" x14ac:dyDescent="0.25">
      <c r="A1222" t="s">
        <v>22</v>
      </c>
      <c r="B1222">
        <v>62</v>
      </c>
      <c r="C1222">
        <v>0.67</v>
      </c>
      <c r="D1222">
        <v>2000</v>
      </c>
      <c r="E1222" t="s">
        <v>28</v>
      </c>
      <c r="F1222">
        <v>2000334</v>
      </c>
      <c r="G1222">
        <v>2001085</v>
      </c>
      <c r="H1222">
        <v>6749</v>
      </c>
      <c r="I1222">
        <v>1026</v>
      </c>
      <c r="J1222">
        <v>50</v>
      </c>
      <c r="K1222">
        <v>441</v>
      </c>
      <c r="L1222">
        <v>0</v>
      </c>
      <c r="M1222">
        <v>50</v>
      </c>
      <c r="N1222">
        <v>19.017219999999998</v>
      </c>
      <c r="O1222">
        <v>7.5955570000000003</v>
      </c>
      <c r="P1222">
        <v>13.911659999999999</v>
      </c>
      <c r="Q1222">
        <v>30771</v>
      </c>
    </row>
    <row r="1223" spans="1:17" x14ac:dyDescent="0.25">
      <c r="A1223" t="s">
        <v>22</v>
      </c>
      <c r="B1223">
        <v>62</v>
      </c>
      <c r="C1223">
        <v>0.67</v>
      </c>
      <c r="D1223">
        <v>2001</v>
      </c>
      <c r="E1223" t="s">
        <v>28</v>
      </c>
      <c r="F1223">
        <v>2001334</v>
      </c>
      <c r="G1223">
        <v>2002090</v>
      </c>
      <c r="H1223">
        <v>11922</v>
      </c>
      <c r="I1223">
        <v>1497</v>
      </c>
      <c r="J1223">
        <v>50</v>
      </c>
      <c r="K1223">
        <v>573</v>
      </c>
      <c r="L1223">
        <v>0</v>
      </c>
      <c r="M1223">
        <v>50</v>
      </c>
      <c r="N1223">
        <v>17.96593</v>
      </c>
      <c r="O1223">
        <v>7.2256999999999998</v>
      </c>
      <c r="P1223">
        <v>13.42347</v>
      </c>
      <c r="Q1223">
        <v>44896</v>
      </c>
    </row>
    <row r="1224" spans="1:17" x14ac:dyDescent="0.25">
      <c r="A1224" t="s">
        <v>22</v>
      </c>
      <c r="B1224">
        <v>62</v>
      </c>
      <c r="C1224">
        <v>0.67</v>
      </c>
      <c r="D1224">
        <v>2002</v>
      </c>
      <c r="E1224" t="s">
        <v>28</v>
      </c>
      <c r="F1224">
        <v>2002334</v>
      </c>
      <c r="G1224">
        <v>2003091</v>
      </c>
      <c r="H1224">
        <v>15781</v>
      </c>
      <c r="I1224">
        <v>2466</v>
      </c>
      <c r="J1224">
        <v>50</v>
      </c>
      <c r="K1224">
        <v>509</v>
      </c>
      <c r="L1224">
        <v>0</v>
      </c>
      <c r="M1224">
        <v>50</v>
      </c>
      <c r="N1224">
        <v>18.017320000000002</v>
      </c>
      <c r="O1224">
        <v>7.5843569999999998</v>
      </c>
      <c r="P1224">
        <v>13.343019999999999</v>
      </c>
      <c r="Q1224">
        <v>73985</v>
      </c>
    </row>
    <row r="1225" spans="1:17" x14ac:dyDescent="0.25">
      <c r="A1225" t="s">
        <v>22</v>
      </c>
      <c r="B1225">
        <v>62</v>
      </c>
      <c r="C1225">
        <v>0.67</v>
      </c>
      <c r="D1225">
        <v>2003</v>
      </c>
      <c r="E1225" t="s">
        <v>28</v>
      </c>
      <c r="F1225">
        <v>2003334</v>
      </c>
      <c r="G1225">
        <v>2004092</v>
      </c>
      <c r="H1225">
        <v>15300</v>
      </c>
      <c r="I1225">
        <v>2260</v>
      </c>
      <c r="J1225">
        <v>50</v>
      </c>
      <c r="K1225">
        <v>651</v>
      </c>
      <c r="L1225">
        <v>0</v>
      </c>
      <c r="M1225">
        <v>50</v>
      </c>
      <c r="N1225">
        <v>17.562919999999998</v>
      </c>
      <c r="O1225">
        <v>6.7780899999999997</v>
      </c>
      <c r="P1225">
        <v>12.85674</v>
      </c>
      <c r="Q1225">
        <v>67798</v>
      </c>
    </row>
    <row r="1226" spans="1:17" x14ac:dyDescent="0.25">
      <c r="A1226" t="s">
        <v>22</v>
      </c>
      <c r="B1226">
        <v>62</v>
      </c>
      <c r="C1226">
        <v>0.67</v>
      </c>
      <c r="D1226">
        <v>2004</v>
      </c>
      <c r="E1226" t="s">
        <v>28</v>
      </c>
      <c r="F1226">
        <v>2004334</v>
      </c>
      <c r="G1226">
        <v>2005103</v>
      </c>
      <c r="H1226">
        <v>11159</v>
      </c>
      <c r="I1226">
        <v>2325</v>
      </c>
      <c r="J1226">
        <v>50</v>
      </c>
      <c r="K1226">
        <v>313</v>
      </c>
      <c r="L1226">
        <v>0</v>
      </c>
      <c r="M1226">
        <v>50</v>
      </c>
      <c r="N1226">
        <v>17.577780000000001</v>
      </c>
      <c r="O1226">
        <v>6.4122209999999997</v>
      </c>
      <c r="P1226">
        <v>14.355</v>
      </c>
      <c r="Q1226">
        <v>69764</v>
      </c>
    </row>
    <row r="1227" spans="1:17" x14ac:dyDescent="0.25">
      <c r="A1227" t="s">
        <v>22</v>
      </c>
      <c r="B1227">
        <v>62</v>
      </c>
      <c r="C1227">
        <v>0.67</v>
      </c>
      <c r="D1227">
        <v>2005</v>
      </c>
      <c r="E1227" t="s">
        <v>28</v>
      </c>
      <c r="F1227">
        <v>2005334</v>
      </c>
      <c r="G1227">
        <v>2006096</v>
      </c>
      <c r="H1227">
        <v>12303</v>
      </c>
      <c r="I1227">
        <v>3000</v>
      </c>
      <c r="J1227">
        <v>50</v>
      </c>
      <c r="K1227">
        <v>612</v>
      </c>
      <c r="L1227">
        <v>0</v>
      </c>
      <c r="M1227">
        <v>50</v>
      </c>
      <c r="N1227">
        <v>17.978770000000001</v>
      </c>
      <c r="O1227">
        <v>7.3474849999999998</v>
      </c>
      <c r="P1227">
        <v>13.85196</v>
      </c>
      <c r="Q1227">
        <v>90003</v>
      </c>
    </row>
    <row r="1228" spans="1:17" x14ac:dyDescent="0.25">
      <c r="A1228" t="s">
        <v>22</v>
      </c>
      <c r="B1228">
        <v>62</v>
      </c>
      <c r="C1228">
        <v>0.67</v>
      </c>
      <c r="D1228">
        <v>2006</v>
      </c>
      <c r="E1228" t="s">
        <v>28</v>
      </c>
      <c r="F1228">
        <v>2006334</v>
      </c>
      <c r="G1228">
        <v>2007087</v>
      </c>
      <c r="H1228">
        <v>12051</v>
      </c>
      <c r="I1228">
        <v>2092</v>
      </c>
      <c r="J1228">
        <v>50</v>
      </c>
      <c r="K1228">
        <v>512</v>
      </c>
      <c r="L1228">
        <v>0</v>
      </c>
      <c r="M1228">
        <v>50</v>
      </c>
      <c r="N1228">
        <v>19.065560000000001</v>
      </c>
      <c r="O1228">
        <v>7.7200009999999999</v>
      </c>
      <c r="P1228">
        <v>14.498889999999999</v>
      </c>
      <c r="Q1228">
        <v>62752</v>
      </c>
    </row>
    <row r="1229" spans="1:17" x14ac:dyDescent="0.25">
      <c r="A1229" t="s">
        <v>22</v>
      </c>
      <c r="B1229">
        <v>62</v>
      </c>
      <c r="C1229">
        <v>0.67</v>
      </c>
      <c r="D1229">
        <v>2007</v>
      </c>
      <c r="E1229" t="s">
        <v>28</v>
      </c>
      <c r="F1229">
        <v>2007334</v>
      </c>
      <c r="G1229">
        <v>2008090</v>
      </c>
      <c r="H1229">
        <v>12198</v>
      </c>
      <c r="I1229">
        <v>2713</v>
      </c>
      <c r="J1229">
        <v>50</v>
      </c>
      <c r="K1229">
        <v>647</v>
      </c>
      <c r="L1229">
        <v>0</v>
      </c>
      <c r="M1229">
        <v>50</v>
      </c>
      <c r="N1229">
        <v>18.479340000000001</v>
      </c>
      <c r="O1229">
        <v>7.3625689999999997</v>
      </c>
      <c r="P1229">
        <v>14.02402</v>
      </c>
      <c r="Q1229">
        <v>81404</v>
      </c>
    </row>
    <row r="1230" spans="1:17" x14ac:dyDescent="0.25">
      <c r="A1230" t="s">
        <v>22</v>
      </c>
      <c r="B1230">
        <v>62</v>
      </c>
      <c r="C1230">
        <v>0.67</v>
      </c>
      <c r="D1230">
        <v>2008</v>
      </c>
      <c r="E1230" t="s">
        <v>28</v>
      </c>
      <c r="F1230">
        <v>2008334</v>
      </c>
      <c r="G1230">
        <v>2009097</v>
      </c>
      <c r="H1230">
        <v>13693</v>
      </c>
      <c r="I1230">
        <v>2206</v>
      </c>
      <c r="J1230">
        <v>50</v>
      </c>
      <c r="K1230">
        <v>418</v>
      </c>
      <c r="L1230">
        <v>0</v>
      </c>
      <c r="M1230">
        <v>50</v>
      </c>
      <c r="N1230">
        <v>18.029209999999999</v>
      </c>
      <c r="O1230">
        <v>6.6337080000000004</v>
      </c>
      <c r="P1230">
        <v>14.66966</v>
      </c>
      <c r="Q1230">
        <v>66182</v>
      </c>
    </row>
    <row r="1231" spans="1:17" x14ac:dyDescent="0.25">
      <c r="A1231" t="s">
        <v>22</v>
      </c>
      <c r="B1231">
        <v>62</v>
      </c>
      <c r="C1231">
        <v>0.67</v>
      </c>
      <c r="D1231">
        <v>2009</v>
      </c>
      <c r="E1231" t="s">
        <v>28</v>
      </c>
      <c r="F1231">
        <v>2009334</v>
      </c>
      <c r="G1231">
        <v>2010103</v>
      </c>
      <c r="H1231">
        <v>17117</v>
      </c>
      <c r="I1231">
        <v>3053</v>
      </c>
      <c r="J1231">
        <v>50</v>
      </c>
      <c r="K1231">
        <v>632</v>
      </c>
      <c r="L1231">
        <v>0</v>
      </c>
      <c r="M1231">
        <v>50</v>
      </c>
      <c r="N1231">
        <v>17.326260000000001</v>
      </c>
      <c r="O1231">
        <v>6.2223449999999998</v>
      </c>
      <c r="P1231">
        <v>13.13632</v>
      </c>
      <c r="Q1231">
        <v>91577</v>
      </c>
    </row>
    <row r="1232" spans="1:17" x14ac:dyDescent="0.25">
      <c r="A1232" t="s">
        <v>22</v>
      </c>
      <c r="B1232">
        <v>62</v>
      </c>
      <c r="C1232">
        <v>0.67</v>
      </c>
      <c r="D1232">
        <v>2010</v>
      </c>
      <c r="E1232" t="s">
        <v>28</v>
      </c>
      <c r="F1232">
        <v>2010334</v>
      </c>
      <c r="G1232">
        <v>2011093</v>
      </c>
      <c r="H1232">
        <v>10205</v>
      </c>
      <c r="I1232">
        <v>1697</v>
      </c>
      <c r="J1232">
        <v>50</v>
      </c>
      <c r="K1232">
        <v>350</v>
      </c>
      <c r="L1232">
        <v>0</v>
      </c>
      <c r="M1232">
        <v>50</v>
      </c>
      <c r="N1232">
        <v>18.817519999999998</v>
      </c>
      <c r="O1232">
        <v>7.592657</v>
      </c>
      <c r="P1232">
        <v>13.63729</v>
      </c>
      <c r="Q1232">
        <v>50925</v>
      </c>
    </row>
    <row r="1233" spans="1:17" x14ac:dyDescent="0.25">
      <c r="A1233" t="s">
        <v>22</v>
      </c>
      <c r="B1233">
        <v>62</v>
      </c>
      <c r="C1233">
        <v>0.67</v>
      </c>
      <c r="D1233">
        <v>2011</v>
      </c>
      <c r="E1233" t="s">
        <v>29</v>
      </c>
      <c r="F1233">
        <v>2011334</v>
      </c>
      <c r="G1233">
        <v>2012095</v>
      </c>
      <c r="H1233">
        <v>11341</v>
      </c>
      <c r="I1233">
        <v>2861</v>
      </c>
      <c r="J1233">
        <v>50</v>
      </c>
      <c r="K1233">
        <v>411</v>
      </c>
      <c r="L1233">
        <v>0</v>
      </c>
      <c r="M1233">
        <v>50</v>
      </c>
      <c r="N1233">
        <v>19.103349999999999</v>
      </c>
      <c r="O1233">
        <v>6.2564250000000001</v>
      </c>
      <c r="P1233">
        <v>14.03631</v>
      </c>
      <c r="Q1233">
        <v>85844</v>
      </c>
    </row>
    <row r="1234" spans="1:17" x14ac:dyDescent="0.25">
      <c r="A1234" t="s">
        <v>22</v>
      </c>
      <c r="B1234">
        <v>62</v>
      </c>
      <c r="C1234">
        <v>0.67</v>
      </c>
      <c r="D1234">
        <v>2012</v>
      </c>
      <c r="E1234" t="s">
        <v>29</v>
      </c>
      <c r="F1234">
        <v>2012334</v>
      </c>
      <c r="G1234">
        <v>2013087</v>
      </c>
      <c r="H1234">
        <v>10499</v>
      </c>
      <c r="I1234">
        <v>1991</v>
      </c>
      <c r="J1234">
        <v>50</v>
      </c>
      <c r="K1234">
        <v>444</v>
      </c>
      <c r="L1234">
        <v>0</v>
      </c>
      <c r="M1234">
        <v>50</v>
      </c>
      <c r="N1234">
        <v>19</v>
      </c>
      <c r="O1234">
        <v>6.6122899999999998</v>
      </c>
      <c r="P1234">
        <v>14.14246</v>
      </c>
      <c r="Q1234">
        <v>59735</v>
      </c>
    </row>
    <row r="1235" spans="1:17" x14ac:dyDescent="0.25">
      <c r="A1235" t="s">
        <v>22</v>
      </c>
      <c r="B1235">
        <v>62</v>
      </c>
      <c r="C1235">
        <v>0.67</v>
      </c>
      <c r="D1235">
        <v>2013</v>
      </c>
      <c r="E1235" t="s">
        <v>29</v>
      </c>
      <c r="F1235">
        <v>2013334</v>
      </c>
      <c r="G1235">
        <v>2014087</v>
      </c>
      <c r="H1235">
        <v>7785</v>
      </c>
      <c r="I1235">
        <v>1563</v>
      </c>
      <c r="J1235">
        <v>50</v>
      </c>
      <c r="K1235">
        <v>174</v>
      </c>
      <c r="L1235">
        <v>0</v>
      </c>
      <c r="M1235">
        <v>50</v>
      </c>
      <c r="N1235">
        <v>19.42858</v>
      </c>
      <c r="O1235">
        <v>7.3520009999999996</v>
      </c>
      <c r="P1235">
        <v>14.888</v>
      </c>
      <c r="Q1235">
        <v>46897</v>
      </c>
    </row>
    <row r="1236" spans="1:17" x14ac:dyDescent="0.25">
      <c r="A1236" t="s">
        <v>22</v>
      </c>
      <c r="B1236">
        <v>62</v>
      </c>
      <c r="C1236">
        <v>0.67</v>
      </c>
      <c r="D1236">
        <v>2014</v>
      </c>
      <c r="E1236" t="s">
        <v>29</v>
      </c>
      <c r="F1236">
        <v>2014334</v>
      </c>
      <c r="G1236">
        <v>2015093</v>
      </c>
      <c r="H1236">
        <v>12668</v>
      </c>
      <c r="I1236">
        <v>2660</v>
      </c>
      <c r="J1236">
        <v>50</v>
      </c>
      <c r="K1236">
        <v>612</v>
      </c>
      <c r="L1236">
        <v>0</v>
      </c>
      <c r="M1236">
        <v>50</v>
      </c>
      <c r="N1236">
        <v>18.921659999999999</v>
      </c>
      <c r="O1236">
        <v>6.4488899999999996</v>
      </c>
      <c r="P1236">
        <v>15.15222</v>
      </c>
      <c r="Q1236">
        <v>79786</v>
      </c>
    </row>
    <row r="1237" spans="1:17" x14ac:dyDescent="0.25">
      <c r="A1237" t="s">
        <v>22</v>
      </c>
      <c r="B1237">
        <v>62</v>
      </c>
      <c r="C1237">
        <v>0.67</v>
      </c>
      <c r="D1237">
        <v>2015</v>
      </c>
      <c r="E1237" t="s">
        <v>29</v>
      </c>
      <c r="F1237">
        <v>2015334</v>
      </c>
      <c r="G1237">
        <v>2016082</v>
      </c>
      <c r="H1237">
        <v>7243</v>
      </c>
      <c r="I1237">
        <v>1480</v>
      </c>
      <c r="J1237">
        <v>50</v>
      </c>
      <c r="K1237">
        <v>436</v>
      </c>
      <c r="L1237">
        <v>0</v>
      </c>
      <c r="M1237">
        <v>50</v>
      </c>
      <c r="N1237">
        <v>19.64134</v>
      </c>
      <c r="O1237">
        <v>7.7726230000000003</v>
      </c>
      <c r="P1237">
        <v>13.889379999999999</v>
      </c>
      <c r="Q1237">
        <v>44414</v>
      </c>
    </row>
    <row r="1238" spans="1:17" x14ac:dyDescent="0.25">
      <c r="A1238" t="s">
        <v>22</v>
      </c>
      <c r="B1238">
        <v>62</v>
      </c>
      <c r="C1238">
        <v>0.67</v>
      </c>
      <c r="D1238">
        <v>2016</v>
      </c>
      <c r="E1238" t="s">
        <v>29</v>
      </c>
      <c r="F1238">
        <v>2016334</v>
      </c>
      <c r="G1238">
        <v>2017085</v>
      </c>
      <c r="H1238">
        <v>14979</v>
      </c>
      <c r="I1238">
        <v>3807</v>
      </c>
      <c r="J1238">
        <v>50</v>
      </c>
      <c r="K1238">
        <v>560</v>
      </c>
      <c r="L1238">
        <v>0</v>
      </c>
      <c r="M1238">
        <v>50</v>
      </c>
      <c r="N1238">
        <v>19.46022</v>
      </c>
      <c r="O1238">
        <v>7.7696139999999998</v>
      </c>
      <c r="P1238">
        <v>14.54862</v>
      </c>
      <c r="Q1238">
        <v>114217</v>
      </c>
    </row>
    <row r="1239" spans="1:17" x14ac:dyDescent="0.25">
      <c r="A1239" t="s">
        <v>22</v>
      </c>
      <c r="B1239">
        <v>62</v>
      </c>
      <c r="C1239">
        <v>0.67</v>
      </c>
      <c r="D1239">
        <v>2017</v>
      </c>
      <c r="E1239" t="s">
        <v>29</v>
      </c>
      <c r="F1239">
        <v>2017334</v>
      </c>
      <c r="G1239">
        <v>2018090</v>
      </c>
      <c r="H1239">
        <v>6745</v>
      </c>
      <c r="I1239">
        <v>1315</v>
      </c>
      <c r="J1239">
        <v>50</v>
      </c>
      <c r="K1239">
        <v>237</v>
      </c>
      <c r="L1239">
        <v>0</v>
      </c>
      <c r="M1239">
        <v>50</v>
      </c>
      <c r="N1239">
        <v>19.261710000000001</v>
      </c>
      <c r="O1239">
        <v>6.8697150000000002</v>
      </c>
      <c r="P1239">
        <v>14.21372</v>
      </c>
      <c r="Q1239">
        <v>39442</v>
      </c>
    </row>
    <row r="1240" spans="1:17" x14ac:dyDescent="0.25">
      <c r="A1240" t="s">
        <v>22</v>
      </c>
      <c r="B1240">
        <v>62</v>
      </c>
      <c r="C1240">
        <v>0.67</v>
      </c>
      <c r="D1240">
        <v>2018</v>
      </c>
      <c r="E1240" t="s">
        <v>29</v>
      </c>
      <c r="F1240">
        <v>2018334</v>
      </c>
      <c r="G1240">
        <v>2019087</v>
      </c>
      <c r="H1240">
        <v>6072</v>
      </c>
      <c r="I1240">
        <v>983</v>
      </c>
      <c r="J1240">
        <v>50</v>
      </c>
      <c r="K1240">
        <v>525</v>
      </c>
      <c r="L1240">
        <v>0</v>
      </c>
      <c r="M1240">
        <v>50</v>
      </c>
      <c r="N1240">
        <v>19.491669999999999</v>
      </c>
      <c r="O1240">
        <v>6.8244470000000002</v>
      </c>
      <c r="P1240">
        <v>15.228339999999999</v>
      </c>
      <c r="Q1240">
        <v>29486</v>
      </c>
    </row>
    <row r="1241" spans="1:17" x14ac:dyDescent="0.25">
      <c r="A1241" t="s">
        <v>22</v>
      </c>
      <c r="B1241">
        <v>62</v>
      </c>
      <c r="C1241">
        <v>0.67</v>
      </c>
      <c r="D1241">
        <v>2019</v>
      </c>
      <c r="E1241" t="s">
        <v>29</v>
      </c>
      <c r="F1241">
        <v>2019334</v>
      </c>
      <c r="G1241">
        <v>2020076</v>
      </c>
      <c r="H1241">
        <v>13700</v>
      </c>
      <c r="I1241">
        <v>2889</v>
      </c>
      <c r="J1241">
        <v>50</v>
      </c>
      <c r="K1241">
        <v>594</v>
      </c>
      <c r="L1241">
        <v>0</v>
      </c>
      <c r="M1241">
        <v>50</v>
      </c>
      <c r="N1241">
        <v>19.65363</v>
      </c>
      <c r="O1241">
        <v>8.5564230000000006</v>
      </c>
      <c r="P1241">
        <v>12.908379999999999</v>
      </c>
      <c r="Q1241">
        <v>86666</v>
      </c>
    </row>
  </sheetData>
  <mergeCells count="1">
    <mergeCell ref="T1:Y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CE6F28BE-BA23-490A-BFE0-D6B323458F50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output_all_farms_sunflower</vt:lpstr>
      <vt:lpstr>output_all_farms_wheat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FV_Remote</dc:creator>
  <cp:lastModifiedBy>FV_Remote</cp:lastModifiedBy>
  <dcterms:created xsi:type="dcterms:W3CDTF">2022-03-14T09:20:00Z</dcterms:created>
  <dcterms:modified xsi:type="dcterms:W3CDTF">2022-03-27T18:26:06Z</dcterms:modified>
</cp:coreProperties>
</file>